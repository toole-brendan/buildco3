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0" fontId="7" fillId="0" borderId="0" applyAlignment="1" pivotButton="0" quotePrefix="0" xfId="0">
      <alignment vertical="center"/>
    </xf>
    <xf numFmtId="165" fontId="7" fillId="0" borderId="0" applyAlignment="1" pivotButton="0" quotePrefix="0" xfId="0">
      <alignment vertical="center"/>
    </xf>
    <xf numFmtId="166" fontId="7" fillId="0" borderId="0" applyAlignment="1" pivotButton="0" quotePrefix="0" xfId="0">
      <alignment vertical="center"/>
    </xf>
    <xf numFmtId="0" fontId="12" fillId="0" borderId="0" applyAlignment="1" pivotButton="0" quotePrefix="0" xfId="0">
      <alignment vertical="center"/>
    </xf>
    <xf numFmtId="165" fontId="12" fillId="0" borderId="0" applyAlignment="1" pivotButton="0" quotePrefix="0" xfId="0">
      <alignment vertical="center"/>
    </xf>
    <xf numFmtId="0" fontId="0" fillId="0" borderId="6" pivotButton="0" quotePrefix="0" xfId="0"/>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72</xdr:row>
      <xdr:rowOff>28575</xdr:rowOff>
    </xdr:from>
    <xdr:ext cx="3657600" cy="32004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in section (F).</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99</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(D) is</a:t>
          </a:r>
        </a:p>
        <a:p>
          <a:r>
            <a:rPr lang="en-US" sz="800">
              <a:solidFill>
                <a:srgbClr val="333333"/>
              </a:solidFill>
              <a:latin typeface="Arial"/>
            </a:rPr>
            <a:t>multiplied by the percentage mix from (E).</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(D).</a:t>
          </a:r>
        </a:p>
      </xdr:txBody>
    </xdr:sp>
    <xdr:clientData/>
  </xdr:oneCellAnchor>
  <xdr:oneCellAnchor>
    <xdr:from>
      <xdr:col>14</xdr:col>
      <xdr:colOff>457200</xdr:colOff>
      <xdr:row>42</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oneCellAnchor>
    <xdr:from>
      <xdr:col>15</xdr:col>
      <xdr:colOff>457200</xdr:colOff>
      <xdr:row>132</xdr:row>
      <xdr:rowOff>28575</xdr:rowOff>
    </xdr:from>
    <xdr:ext cx="1943100" cy="2466340"/>
    <xdr:sp macro="" textlink="">
      <xdr:nvSpPr>
        <xdr:cNvPr id="5" name="Note 5"/>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Contract-Addressable MRO SAM</a:t>
          </a:r>
        </a:p>
        <a:p>
          <a:endParaRPr lang="en-US" sz="800"/>
        </a:p>
        <a:p>
          <a:r>
            <a:rPr lang="en-US" sz="800">
              <a:solidFill>
                <a:srgbClr val="333333"/>
              </a:solidFill>
              <a:latin typeface="Arial"/>
            </a:rPr>
            <a:t>The narrowest SAM — the MRO market a</a:t>
          </a:r>
        </a:p>
        <a:p>
          <a:r>
            <a:rPr lang="en-US" sz="800">
              <a:solidFill>
                <a:srgbClr val="333333"/>
              </a:solidFill>
              <a:latin typeface="Arial"/>
            </a:rPr>
            <a:t>company could realistically compete for.</a:t>
          </a:r>
        </a:p>
        <a:p>
          <a:endParaRPr lang="en-US" sz="800"/>
        </a:p>
        <a:p>
          <a:r>
            <a:rPr lang="en-US" sz="800">
              <a:solidFill>
                <a:srgbClr val="333333"/>
              </a:solidFill>
              <a:latin typeface="Arial"/>
            </a:rPr>
            <a:t>SDM is reduced from full hull totals to</a:t>
          </a:r>
        </a:p>
        <a:p>
          <a:r>
            <a:rPr lang="en-US" sz="800">
              <a:solidFill>
                <a:srgbClr val="333333"/>
              </a:solidFill>
              <a:latin typeface="Arial"/>
            </a:rPr>
            <a:t>only the ~31% that flows to private-sector</a:t>
          </a:r>
        </a:p>
        <a:p>
          <a:r>
            <a:rPr lang="en-US" sz="800">
              <a:solidFill>
                <a:srgbClr val="333333"/>
              </a:solidFill>
              <a:latin typeface="Arial"/>
            </a:rPr>
            <a:t>contracts (Ship Maintenance By Contract +</a:t>
          </a:r>
        </a:p>
        <a:p>
          <a:r>
            <a:rPr lang="en-US" sz="800">
              <a:solidFill>
                <a:srgbClr val="333333"/>
              </a:solidFill>
              <a:latin typeface="Arial"/>
            </a:rPr>
            <a:t>Equipment Maintenance By Contract from</a:t>
          </a:r>
        </a:p>
        <a:p>
          <a:r>
            <a:rPr lang="en-US" sz="800">
              <a:solidFill>
                <a:srgbClr val="333333"/>
              </a:solidFill>
              <a:latin typeface="Arial"/>
            </a:rPr>
            <a:t>section E). Government shipyard labor,</a:t>
          </a:r>
        </a:p>
        <a:p>
          <a:r>
            <a:rPr lang="en-US" sz="800">
              <a:solidFill>
                <a:srgbClr val="333333"/>
              </a:solidFill>
              <a:latin typeface="Arial"/>
            </a:rPr>
            <a:t>materials, MSC, and weapons depot work</a:t>
          </a:r>
        </a:p>
        <a:p>
          <a:r>
            <a:rPr lang="en-US" sz="800">
              <a:solidFill>
                <a:srgbClr val="333333"/>
              </a:solidFill>
              <a:latin typeface="Arial"/>
            </a:rPr>
            <a:t>are excluded from SDM.</a:t>
          </a:r>
        </a:p>
        <a:p>
          <a:endParaRPr lang="en-US" sz="800"/>
        </a:p>
        <a:p>
          <a:r>
            <a:rPr lang="en-US" sz="800">
              <a:solidFill>
                <a:srgbClr val="333333"/>
              </a:solidFill>
              <a:latin typeface="Arial"/>
            </a:rPr>
            <a:t>Cont/Emerg, Mod, and Major LC are retained</a:t>
          </a:r>
        </a:p>
        <a:p>
          <a:r>
            <a:rPr lang="en-US" sz="800">
              <a:solidFill>
                <a:srgbClr val="333333"/>
              </a:solidFill>
              <a:latin typeface="Arial"/>
            </a:rPr>
            <a:t>at full hull-level totals — these work</a:t>
          </a:r>
        </a:p>
        <a:p>
          <a:r>
            <a:rPr lang="en-US" sz="800">
              <a:solidFill>
                <a:srgbClr val="333333"/>
              </a:solidFill>
              <a:latin typeface="Arial"/>
            </a:rPr>
            <a:t>types do not have the same sub-component</a:t>
          </a:r>
        </a:p>
        <a:p>
          <a:r>
            <a:rPr lang="en-US" sz="800">
              <a:solidFill>
                <a:srgbClr val="333333"/>
              </a:solidFill>
              <a:latin typeface="Arial"/>
            </a:rPr>
            <a:t>breakdown in the justification books.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Research, Survey &amp; Instrumentation Ships</t>
        </is>
      </c>
      <c r="B27" s="30" t="inlineStr">
        <is>
          <t>MSC</t>
        </is>
      </c>
      <c r="C27" s="31">
        <f>SUMIFS(JB_26BV,JB_B,1,JB_W,"Research, Survey &amp; Instrumentation Ships",JB_RC,"ADD")</f>
        <v/>
      </c>
      <c r="D27" s="37">
        <f>IFERROR(C27/C$44,0)</f>
        <v/>
      </c>
    </row>
    <row r="28" ht="10" customHeight="1">
      <c r="A28" s="30" t="inlineStr">
        <is>
          <t>Aviation Logistics Support Ship</t>
        </is>
      </c>
      <c r="B28" s="30" t="inlineStr">
        <is>
          <t>USN</t>
        </is>
      </c>
      <c r="C28" s="31">
        <f>SUMIFS(JB_26BV,JB_B,1,JB_W,"Aviation Logistics Support Ship",JB_RC,"ADD")</f>
        <v/>
      </c>
      <c r="D28" s="37">
        <f>IFERROR(C28/C$44,0)</f>
        <v/>
      </c>
    </row>
    <row r="29" ht="10" customHeight="1">
      <c r="A29" s="30" t="inlineStr">
        <is>
          <t>Material Support Ships</t>
        </is>
      </c>
      <c r="B29" s="30" t="inlineStr">
        <is>
          <t>USN</t>
        </is>
      </c>
      <c r="C29" s="31">
        <f>SUMIFS(JB_26BV,JB_B,1,JB_W,"Material Support Ships",JB_RC,"ADD")</f>
        <v/>
      </c>
      <c r="D29" s="37">
        <f>IFERROR(C29/C$44,0)</f>
        <v/>
      </c>
    </row>
    <row r="30" ht="10" customHeight="1">
      <c r="A30" s="30" t="inlineStr">
        <is>
          <t>Mine Warfare</t>
        </is>
      </c>
      <c r="B30" s="30" t="inlineStr">
        <is>
          <t>USN</t>
        </is>
      </c>
      <c r="C30" s="31">
        <f>SUMIFS(JB_26BV,JB_B,1,JB_W,"Mine Warfare",JB_RC,"ADD")</f>
        <v/>
      </c>
      <c r="D30" s="37">
        <f>IFERROR(C30/C$44,0)</f>
        <v/>
      </c>
    </row>
    <row r="31" ht="10" customHeight="1">
      <c r="A31" s="30" t="inlineStr">
        <is>
          <t>High Speed Transport</t>
        </is>
      </c>
      <c r="B31" s="30" t="inlineStr">
        <is>
          <t>USN</t>
        </is>
      </c>
      <c r="C31" s="31">
        <f>SUMIFS(JB_26BV,JB_B,1,JB_W,"High Speed Transport",JB_RC,"ADD")</f>
        <v/>
      </c>
      <c r="D31" s="37">
        <f>IFERROR(C31/C$44,0)</f>
        <v/>
      </c>
    </row>
    <row r="32" ht="10" customHeight="1">
      <c r="A32" s="30" t="inlineStr">
        <is>
          <t>Submarine Escort Ship</t>
        </is>
      </c>
      <c r="B32" s="30" t="inlineStr">
        <is>
          <t>USN</t>
        </is>
      </c>
      <c r="C32" s="31">
        <f>SUMIFS(JB_26BV,JB_B,1,JB_W,"Submarine Escort Ship",JB_RC,"ADD")</f>
        <v/>
      </c>
      <c r="D32" s="37">
        <f>IFERROR(C32/C$44,0)</f>
        <v/>
      </c>
    </row>
    <row r="33" ht="10" customHeight="1">
      <c r="A33" s="30" t="inlineStr">
        <is>
          <t>Hospital Ship</t>
        </is>
      </c>
      <c r="B33" s="30" t="inlineStr">
        <is>
          <t>MSC</t>
        </is>
      </c>
      <c r="C33" s="31">
        <f>SUMIFS(JB_26BV,JB_B,1,JB_W,"Hospital Ship",JB_RC,"ADD")</f>
        <v/>
      </c>
      <c r="D33" s="37">
        <f>IFERROR(C33/C$44,0)</f>
        <v/>
      </c>
    </row>
    <row r="34" ht="10" customHeight="1">
      <c r="A34" s="30" t="inlineStr">
        <is>
          <t>General Auxiliary</t>
        </is>
      </c>
      <c r="B34" s="30" t="inlineStr">
        <is>
          <t>USN</t>
        </is>
      </c>
      <c r="C34" s="31">
        <f>SUMIFS(JB_26BV,JB_B,1,JB_W,"General Auxiliary",JB_RC,"ADD")</f>
        <v/>
      </c>
      <c r="D34" s="37">
        <f>IFERROR(C34/C$44,0)</f>
        <v/>
      </c>
    </row>
    <row r="35" ht="10" customHeight="1">
      <c r="A35" s="30" t="inlineStr">
        <is>
          <t>Command Ships</t>
        </is>
      </c>
      <c r="B35" s="30" t="inlineStr">
        <is>
          <t>USN</t>
        </is>
      </c>
      <c r="C35" s="31">
        <f>SUMIFS(JB_26BV,JB_B,1,JB_W,"Command Ships",JB_RC,"ADD")</f>
        <v/>
      </c>
      <c r="D35" s="37">
        <f>IFERROR(C35/C$44,0)</f>
        <v/>
      </c>
    </row>
    <row r="36" ht="10" customHeight="1">
      <c r="A36" s="30" t="inlineStr">
        <is>
          <t>Crane Ship</t>
        </is>
      </c>
      <c r="B36" s="30" t="inlineStr">
        <is>
          <t>USN</t>
        </is>
      </c>
      <c r="C36" s="31">
        <f>SUMIFS(JB_26BV,JB_B,1,JB_W,"Crane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Coastal Buoy Tenders</t>
        </is>
      </c>
      <c r="B41" s="30" t="inlineStr">
        <is>
          <t>USCG</t>
        </is>
      </c>
      <c r="C41" s="31">
        <f>SUMIFS(JB_26BV,JB_B,1,JB_W,"Coastal Buoy Tenders",JB_RC,"ADD")</f>
        <v/>
      </c>
      <c r="D41" s="37">
        <f>IFERROR(C41/C$44,0)</f>
        <v/>
      </c>
    </row>
    <row r="42" ht="10" customHeight="1">
      <c r="A42" s="30" t="inlineStr">
        <is>
          <t>National Security Cutters</t>
        </is>
      </c>
      <c r="B42" s="30" t="inlineStr">
        <is>
          <t>USCG</t>
        </is>
      </c>
      <c r="C42" s="31">
        <f>SUMIFS(JB_26BV,JB_B,1,JB_W,"National Security Cutters",JB_RC,"ADD")</f>
        <v/>
      </c>
      <c r="D42" s="37">
        <f>IFERROR(C42/C$44,0)</f>
        <v/>
      </c>
    </row>
    <row r="43" ht="10" customHeight="1">
      <c r="A43" s="30" t="inlineStr">
        <is>
          <t>Icebreakers, Great Lakes</t>
        </is>
      </c>
      <c r="B43" s="30" t="inlineStr">
        <is>
          <t>USCG</t>
        </is>
      </c>
      <c r="C43" s="31">
        <f>SUMIFS(JB_26BV,JB_B,1,JB_W,"Icebreakers,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S200"/>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14" customWidth="1" min="5" max="5"/>
    <col width="32" customWidth="1" min="6" max="6"/>
    <col width="22" customWidth="1" min="7" max="7"/>
    <col width="14" customWidth="1" min="8" max="8"/>
    <col width="10" customWidth="1" min="9" max="9"/>
    <col width="32" customWidth="1" min="11" max="11"/>
    <col width="22" customWidth="1" min="12" max="12"/>
    <col width="14" customWidth="1" min="13" max="13"/>
    <col width="10" customWidth="1" min="14" max="14"/>
    <col width="32" customWidth="1" min="16" max="16"/>
    <col width="22" customWidth="1" min="17" max="17"/>
    <col width="14" customWidth="1" min="18" max="18"/>
    <col width="10" customWidth="1" min="19" max="1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Electrical",JB_H,"T-AO",JB_RC,"ALT")</f>
        <v/>
      </c>
      <c r="H69" s="31">
        <f>SUMIFS(JB_26BV,JB_B,1,JB_EX,"P-5c",JB_CC,"Hull, Mechanical, and Electrical",JB_H,"T-ATS",JB_RC,"ALT")</f>
        <v/>
      </c>
      <c r="I69" s="45">
        <f>SUM(B69:H69)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SUMIFS(JB_26BV,JB_B,1,JB_EX,"P-5c",JB_CC,"Ordnance",JB_H,"T-AO",JB_RC,"ALT")</f>
        <v/>
      </c>
      <c r="H70" s="31">
        <f>SUMIFS(JB_26BV,JB_B,1,JB_EX,"P-5c",JB_CC,"Ordnance",JB_H,"T-ATS",JB_RC,"ALT")</f>
        <v/>
      </c>
      <c r="I70" s="45">
        <f>SUM(B70:H70)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Cost",JB_H,"T-AO",JB_RC,"ALT")</f>
        <v/>
      </c>
      <c r="H71" s="31">
        <f>SUMIFS(JB_26BV,JB_B,1,JB_EX,"P-5c",JB_CC,"Other Cost",JB_H,"T-ATS",JB_RC,"ALT")</f>
        <v/>
      </c>
      <c r="I71" s="45">
        <f>SUM(B71:H71)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44">
        <f>SUM(I65:I71)</f>
        <v/>
      </c>
    </row>
    <row r="73" ht="10" customHeight="1"/>
    <row r="74" ht="10" customHeight="1">
      <c r="A74" s="46" t="inlineStr">
        <is>
          <t>Cost category mix (% of gross total per hull program)</t>
        </is>
      </c>
      <c r="B74" s="41" t="n"/>
      <c r="C74" s="39" t="n"/>
      <c r="D74" s="39" t="n"/>
      <c r="E74" s="39" t="n"/>
      <c r="F74" s="39" t="n"/>
      <c r="G74" s="39" t="n"/>
      <c r="H74" s="39" t="n"/>
      <c r="I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T-AO</t>
        </is>
      </c>
      <c r="H75" s="29" t="inlineStr">
        <is>
          <t>T-ATS</t>
        </is>
      </c>
      <c r="I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43">
        <f>IFERROR(I65/I$72,0)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43">
        <f>IFERROR(I66/I$72,0)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43">
        <f>IFERROR(I67/I$72,0)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43">
        <f>IFERROR(I68/I$72,0)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43">
        <f>IFERROR(I69/I$72,0)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43">
        <f>IFERROR(I70/I$72,0)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43">
        <f>IFERROR(I71/I$72,0)</f>
        <v/>
      </c>
    </row>
    <row r="83" ht="10" customHeight="1">
      <c r="A83" s="32" t="inlineStr">
        <is>
          <t>Total</t>
        </is>
      </c>
      <c r="B83" s="47" t="n">
        <v>1</v>
      </c>
      <c r="C83" s="38" t="n">
        <v>1</v>
      </c>
      <c r="D83" s="38" t="n">
        <v>1</v>
      </c>
      <c r="E83" s="38" t="n">
        <v>1</v>
      </c>
      <c r="F83" s="38" t="n">
        <v>1</v>
      </c>
      <c r="G83" s="38" t="n">
        <v>1</v>
      </c>
      <c r="H83" s="38" t="n">
        <v>1</v>
      </c>
      <c r="I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48">
        <f>SUM(B90:H90)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45">
        <f>SUM(B91:H91)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45">
        <f>SUM(B92:H92)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45">
        <f>SUM(B93:H93)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45">
        <f>SUM(B94:H94)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45">
        <f>SUM(B95:H95)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45">
        <f>SUM(B96:H96)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45">
        <f>SUM(B97:H97)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44">
        <f>SUM(I91:I97)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row>
    <row r="102" ht="10" customHeight="1">
      <c r="A102" s="39" t="n"/>
      <c r="B102" s="40" t="inlineStr">
        <is>
          <t>USN</t>
        </is>
      </c>
      <c r="C102" s="39" t="n"/>
      <c r="D102" s="39" t="n"/>
      <c r="E102" s="39" t="n"/>
      <c r="F102" s="39" t="n"/>
      <c r="G102" s="39" t="n"/>
      <c r="H102" s="39" t="n"/>
      <c r="I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43">
        <f>IFERROR(SUMPRODUCT(B104:H104,B$111:H$111)/I$111,0)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43">
        <f>IFERROR(SUMPRODUCT(B105:H105,B$111:H$111)/I$111,0)</f>
        <v/>
      </c>
    </row>
    <row r="106" ht="10" customHeight="1">
      <c r="A106" s="30" t="inlineStr">
        <is>
          <t>Change Orders</t>
        </is>
      </c>
      <c r="B106" s="43">
        <f>IFERROR((SUMIFS(JB_26BV,JB_B,1,JB_EX,"P-5c",JB_CC,"Change Orders",JB_H,"DDG",JB_RC,"ALT"))/(SUMIFS(JB_26BV,JB_B,1,JB_EX,"P-5c",JB_H,"DDG",JB_RC,"ALT")),0)</f>
        <v/>
      </c>
      <c r="C106" s="37">
        <f>IFERROR((SUMIFS(JB_26BV,JB_B,1,JB_EX,"P-5c",JB_CC,"Change Orders",JB_H,"T-AO",JB_RC,"ALT"))/(SUMIFS(JB_26BV,JB_B,1,JB_EX,"P-5c",JB_H,"T-AO",JB_RC,"ALT")),0)</f>
        <v/>
      </c>
      <c r="D106" s="37">
        <f>IFERROR((SUMIFS(JB_26BV,JB_B,1,JB_EX,"P-5c",JB_CC,"Change Orders",JB_H,"LPD",JB_RC,"ALT"))/(SUMIFS(JB_26BV,JB_B,1,JB_EX,"P-5c",JB_H,"LPD",JB_RC,"ALT")),0)</f>
        <v/>
      </c>
      <c r="E106" s="37">
        <f>IFERROR((SUMIFS(JB_26BV,JB_B,1,JB_EX,"P-5c",JB_CC,"Change Orders",JB_H,"LHA",JB_RC,"ALT"))/(SUMIFS(JB_26BV,JB_B,1,JB_EX,"P-5c",JB_H,"LHA",JB_RC,"ALT")),0)</f>
        <v/>
      </c>
      <c r="F106" s="37">
        <f>IFERROR((SUMIFS(JB_26BV,JB_B,1,JB_EX,"P-5c",JB_CC,"Change Orders",JB_H,"T-AGOS",JB_RC,"ALT"))/(SUMIFS(JB_26BV,JB_B,1,JB_EX,"P-5c",JB_H,"T-AGOS",JB_RC,"ALT")),0)</f>
        <v/>
      </c>
      <c r="G106" s="37">
        <f>IFERROR((SUMIFS(JB_26BV,JB_B,1,JB_EX,"P-5c",JB_CC,"Change Orders",JB_H,"FFG",JB_RC,"ALT"))/(SUMIFS(JB_26BV,JB_B,1,JB_EX,"P-5c",JB_H,"FFG",JB_RC,"ALT")),0)</f>
        <v/>
      </c>
      <c r="H106" s="37">
        <f>IFERROR((SUMIFS(JB_26BV,JB_B,1,JB_EX,"P-5c",JB_CC,"Change Orders",JB_H,"T-ATS",JB_RC,"ALT"))/(SUMIFS(JB_26BV,JB_B,1,JB_EX,"P-5c",JB_H,"T-ATS",JB_RC,"ALT")),0)</f>
        <v/>
      </c>
      <c r="I106" s="43">
        <f>IFERROR(SUMPRODUCT(B106:H106,B$111:H$111)/I$111,0)</f>
        <v/>
      </c>
    </row>
    <row r="107" ht="10" customHeight="1">
      <c r="A107" s="30" t="inlineStr">
        <is>
          <t>Electronics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43">
        <f>IFERROR(SUMPRODUCT(B107:H107,B$111:H$111)/I$111,0)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43">
        <f>IFERROR(SUMPRODUCT(B108:H108,B$111:H$111)/I$111,0)</f>
        <v/>
      </c>
    </row>
    <row r="109" ht="10" customHeight="1">
      <c r="A109" s="30" t="inlineStr">
        <is>
          <t>Ordnance</t>
        </is>
      </c>
      <c r="B109" s="43">
        <f>IFERROR((SUMIFS(JB_26BV,JB_B,1,JB_EX,"P-5c",JB_CC,"Ordnance",JB_H,"DDG",JB_RC,"ALT"))/(SUMIFS(JB_26BV,JB_B,1,JB_EX,"P-5c",JB_H,"DDG",JB_RC,"ALT")),0)</f>
        <v/>
      </c>
      <c r="C109" s="37">
        <f>IFERROR((SUMIFS(JB_26BV,JB_B,1,JB_EX,"P-5c",JB_CC,"Ordnance",JB_H,"T-AO",JB_RC,"ALT"))/(SUMIFS(JB_26BV,JB_B,1,JB_EX,"P-5c",JB_H,"T-AO",JB_RC,"ALT")),0)</f>
        <v/>
      </c>
      <c r="D109" s="37">
        <f>IFERROR((SUMIFS(JB_26BV,JB_B,1,JB_EX,"P-5c",JB_CC,"Ordnance",JB_H,"LPD",JB_RC,"ALT"))/(SUMIFS(JB_26BV,JB_B,1,JB_EX,"P-5c",JB_H,"LPD",JB_RC,"ALT")),0)</f>
        <v/>
      </c>
      <c r="E109" s="37">
        <f>IFERROR((SUMIFS(JB_26BV,JB_B,1,JB_EX,"P-5c",JB_CC,"Ordnance",JB_H,"LHA",JB_RC,"ALT"))/(SUMIFS(JB_26BV,JB_B,1,JB_EX,"P-5c",JB_H,"LHA",JB_RC,"ALT")),0)</f>
        <v/>
      </c>
      <c r="F109" s="37">
        <f>IFERROR((SUMIFS(JB_26BV,JB_B,1,JB_EX,"P-5c",JB_CC,"Ordnance",JB_H,"T-AGOS",JB_RC,"ALT"))/(SUMIFS(JB_26BV,JB_B,1,JB_EX,"P-5c",JB_H,"T-AGOS",JB_RC,"ALT")),0)</f>
        <v/>
      </c>
      <c r="G109" s="37">
        <f>IFERROR((SUMIFS(JB_26BV,JB_B,1,JB_EX,"P-5c",JB_CC,"Ordnance",JB_H,"FFG",JB_RC,"ALT"))/(SUMIFS(JB_26BV,JB_B,1,JB_EX,"P-5c",JB_H,"FFG",JB_RC,"ALT")),0)</f>
        <v/>
      </c>
      <c r="H109" s="37">
        <f>IFERROR((SUMIFS(JB_26BV,JB_B,1,JB_EX,"P-5c",JB_CC,"Ordnance",JB_H,"T-ATS",JB_RC,"ALT"))/(SUMIFS(JB_26BV,JB_B,1,JB_EX,"P-5c",JB_H,"T-ATS",JB_RC,"ALT")),0)</f>
        <v/>
      </c>
      <c r="I109" s="43">
        <f>IFERROR(SUMPRODUCT(B109:H109,B$111:H$111)/I$111,0)</f>
        <v/>
      </c>
    </row>
    <row r="110" ht="10" customHeight="1">
      <c r="A110" s="30" t="inlineStr">
        <is>
          <t>Other Cost</t>
        </is>
      </c>
      <c r="B110" s="43">
        <f>IFERROR((SUMIFS(JB_26BV,JB_B,1,JB_EX,"P-5c",JB_CC,"Other Cost",JB_H,"DDG",JB_RC,"ALT"))/(SUMIFS(JB_26BV,JB_B,1,JB_EX,"P-5c",JB_H,"DDG",JB_RC,"ALT")),0)</f>
        <v/>
      </c>
      <c r="C110" s="37">
        <f>IFERROR((SUMIFS(JB_26BV,JB_B,1,JB_EX,"P-5c",JB_CC,"Other Cost",JB_H,"T-AO",JB_RC,"ALT"))/(SUMIFS(JB_26BV,JB_B,1,JB_EX,"P-5c",JB_H,"T-AO",JB_RC,"ALT")),0)</f>
        <v/>
      </c>
      <c r="D110" s="37">
        <f>IFERROR((SUMIFS(JB_26BV,JB_B,1,JB_EX,"P-5c",JB_CC,"Other Cost",JB_H,"LPD",JB_RC,"ALT"))/(SUMIFS(JB_26BV,JB_B,1,JB_EX,"P-5c",JB_H,"LPD",JB_RC,"ALT")),0)</f>
        <v/>
      </c>
      <c r="E110" s="37">
        <f>IFERROR((SUMIFS(JB_26BV,JB_B,1,JB_EX,"P-5c",JB_CC,"Other Cost",JB_H,"LHA",JB_RC,"ALT"))/(SUMIFS(JB_26BV,JB_B,1,JB_EX,"P-5c",JB_H,"LHA",JB_RC,"ALT")),0)</f>
        <v/>
      </c>
      <c r="F110" s="37">
        <f>IFERROR((SUMIFS(JB_26BV,JB_B,1,JB_EX,"P-5c",JB_CC,"Other Cost",JB_H,"T-AGOS",JB_RC,"ALT"))/(SUMIFS(JB_26BV,JB_B,1,JB_EX,"P-5c",JB_H,"T-AGOS",JB_RC,"ALT")),0)</f>
        <v/>
      </c>
      <c r="G110" s="37">
        <f>IFERROR((SUMIFS(JB_26BV,JB_B,1,JB_EX,"P-5c",JB_CC,"Other Cost",JB_H,"FFG",JB_RC,"ALT"))/(SUMIFS(JB_26BV,JB_B,1,JB_EX,"P-5c",JB_H,"FFG",JB_RC,"ALT")),0)</f>
        <v/>
      </c>
      <c r="H110" s="37">
        <f>IFERROR((SUMIFS(JB_26BV,JB_B,1,JB_EX,"P-5c",JB_CC,"Other Cost",JB_H,"T-ATS",JB_RC,"ALT"))/(SUMIFS(JB_26BV,JB_B,1,JB_EX,"P-5c",JB_H,"T-ATS",JB_RC,"ALT")),0)</f>
        <v/>
      </c>
      <c r="I110" s="43">
        <f>IFERROR(SUMPRODUCT(B110:H110,B$111:H$111)/I$111,0)</f>
        <v/>
      </c>
    </row>
    <row r="111" ht="10" customHeight="1">
      <c r="A111" s="32" t="inlineStr">
        <is>
          <t>Total ($K)</t>
        </is>
      </c>
      <c r="B111" s="44">
        <f>SUMIFS(JB_26BV,JB_B,1,JB_H,"DDG",JB_RC,"ADD")</f>
        <v/>
      </c>
      <c r="C111" s="33">
        <f>SUMIFS(JB_26BV,JB_B,1,JB_H,"T-AO",JB_RC,"ADD")</f>
        <v/>
      </c>
      <c r="D111" s="33">
        <f>SUMIFS(JB_26BV,JB_B,1,JB_H,"LPD",JB_RC,"ADD")</f>
        <v/>
      </c>
      <c r="E111" s="33">
        <f>SUMIFS(JB_26BV,JB_B,1,JB_H,"LHA",JB_RC,"ADD")</f>
        <v/>
      </c>
      <c r="F111" s="33">
        <f>SUMIFS(JB_26BV,JB_B,1,JB_H,"T-AGOS",JB_RC,"ADD")</f>
        <v/>
      </c>
      <c r="G111" s="33">
        <f>SUMIFS(JB_26BV,JB_B,1,JB_H,"FFG",JB_RC,"ADD")</f>
        <v/>
      </c>
      <c r="H111" s="33">
        <f>SUMIFS(JB_26BV,JB_B,1,JB_H,"T-ATS",JB_RC,"ADD")</f>
        <v/>
      </c>
      <c r="I111" s="44">
        <f>SUM(B111:H111)</f>
        <v/>
      </c>
    </row>
    <row r="112" ht="10" customHeight="1"/>
    <row r="113" ht="10" customHeight="1"/>
    <row r="114" ht="10" customHeight="1">
      <c r="A114" s="27" t="inlineStr">
        <is>
          <t>(G) P-8a System-Level Detail by Hull Program — FY2026 ($K)</t>
        </is>
      </c>
      <c r="B114" s="28" t="n"/>
      <c r="C114" s="28" t="n"/>
      <c r="D114" s="28" t="n"/>
      <c r="E114" s="28" t="n"/>
      <c r="F114" s="28" t="n"/>
      <c r="G114" s="28" t="n"/>
      <c r="H114" s="28" t="n"/>
      <c r="I114" s="28" t="n"/>
      <c r="J114" s="28" t="n"/>
      <c r="K114" s="28" t="n"/>
      <c r="L114" s="28" t="n"/>
      <c r="M114" s="28" t="n"/>
      <c r="N114" s="28" t="n"/>
      <c r="O114" s="28" t="n"/>
      <c r="P114" s="28" t="n"/>
      <c r="Q114" s="28" t="n"/>
      <c r="R114" s="28" t="n"/>
      <c r="S114" s="28" t="n"/>
    </row>
    <row r="115" ht="10" customHeight="1">
      <c r="A115" s="26" t="inlineStr">
        <is>
          <t>Individual GFE systems from Exhibit P-8a (radars, weapons, electronics, propulsion), grouped by cost category within each hull program. Gross values from SCN justification books.</t>
        </is>
      </c>
    </row>
    <row r="116" ht="10" customHeight="1"/>
    <row r="117" ht="10" customHeight="1">
      <c r="A117" s="46" t="inlineStr">
        <is>
          <t>DDG (Surface Combatants)</t>
        </is>
      </c>
      <c r="B117" s="39" t="n"/>
      <c r="C117" s="39" t="n"/>
      <c r="D117" s="39" t="n"/>
      <c r="F117" s="46" t="inlineStr">
        <is>
          <t>LHA (Amphibious Warfare Ships)</t>
        </is>
      </c>
      <c r="G117" s="39" t="n"/>
      <c r="H117" s="39" t="n"/>
      <c r="I117" s="39" t="n"/>
      <c r="K117" s="46" t="inlineStr">
        <is>
          <t>FFG (Surface Combatants)</t>
        </is>
      </c>
      <c r="L117" s="39" t="n"/>
      <c r="M117" s="39" t="n"/>
      <c r="N117" s="39" t="n"/>
      <c r="P117" s="46" t="inlineStr">
        <is>
          <t>LPD (Amphibious Warfare Ships)</t>
        </is>
      </c>
      <c r="Q117" s="39" t="n"/>
      <c r="R117" s="39" t="n"/>
      <c r="S117" s="39" t="n"/>
    </row>
    <row r="118" ht="10" customHeight="1">
      <c r="A118" s="29" t="inlineStr">
        <is>
          <t>System</t>
        </is>
      </c>
      <c r="B118" s="29" t="inlineStr">
        <is>
          <t>Cost Category</t>
        </is>
      </c>
      <c r="C118" s="29" t="inlineStr">
        <is>
          <t>FY2026 ($K)</t>
        </is>
      </c>
      <c r="D118" s="29" t="inlineStr">
        <is>
          <t>% of Hull</t>
        </is>
      </c>
      <c r="F118" s="29" t="inlineStr">
        <is>
          <t>System</t>
        </is>
      </c>
      <c r="G118" s="29" t="inlineStr">
        <is>
          <t>Cost Category</t>
        </is>
      </c>
      <c r="H118" s="29" t="inlineStr">
        <is>
          <t>FY2026 ($K)</t>
        </is>
      </c>
      <c r="I118" s="29" t="inlineStr">
        <is>
          <t>% of Hull</t>
        </is>
      </c>
      <c r="K118" s="29" t="inlineStr">
        <is>
          <t>System</t>
        </is>
      </c>
      <c r="L118" s="29" t="inlineStr">
        <is>
          <t>Cost Category</t>
        </is>
      </c>
      <c r="M118" s="29" t="inlineStr">
        <is>
          <t>FY2026 ($K)</t>
        </is>
      </c>
      <c r="N118" s="29" t="inlineStr">
        <is>
          <t>% of Hull</t>
        </is>
      </c>
      <c r="P118" s="29" t="inlineStr">
        <is>
          <t>System</t>
        </is>
      </c>
      <c r="Q118" s="29" t="inlineStr">
        <is>
          <t>Cost Category</t>
        </is>
      </c>
      <c r="R118" s="29" t="inlineStr">
        <is>
          <t>FY2026 ($K)</t>
        </is>
      </c>
      <c r="S118" s="29" t="inlineStr">
        <is>
          <t>% of Hull</t>
        </is>
      </c>
    </row>
    <row r="119" ht="10" customHeight="1">
      <c r="A119" s="49" t="inlineStr">
        <is>
          <t>Electronics</t>
        </is>
      </c>
      <c r="C119" s="50">
        <f>SUM(C120:C151)</f>
        <v/>
      </c>
      <c r="D119" s="51">
        <f>IFERROR(C119/C$180,0)</f>
        <v/>
      </c>
      <c r="F119" s="49" t="inlineStr">
        <is>
          <t>Electronics</t>
        </is>
      </c>
      <c r="H119" s="50">
        <f>SUM(H120:H144)</f>
        <v/>
      </c>
      <c r="I119" s="51">
        <f>IFERROR(H119/H$180,0)</f>
        <v/>
      </c>
      <c r="K119" s="49" t="inlineStr">
        <is>
          <t>Electronics</t>
        </is>
      </c>
      <c r="M119" s="50">
        <f>SUM(M120:M126)</f>
        <v/>
      </c>
      <c r="N119" s="51">
        <f>IFERROR(M119/M$180,0)</f>
        <v/>
      </c>
      <c r="P119" s="49" t="inlineStr">
        <is>
          <t>Electronics</t>
        </is>
      </c>
      <c r="R119" s="50">
        <f>SUM(R120:R136)</f>
        <v/>
      </c>
      <c r="S119" s="51">
        <f>IFERROR(R119/R$180,0)</f>
        <v/>
      </c>
    </row>
    <row r="120" ht="10" customHeight="1">
      <c r="A120" s="52" t="inlineStr">
        <is>
          <t xml:space="preserve">  VERTICAL LAUNCHING SYSTEM (VLS) MK 57 4-CELL MODULES</t>
        </is>
      </c>
      <c r="B120" s="52" t="inlineStr">
        <is>
          <t>Electronics</t>
        </is>
      </c>
      <c r="C120" s="53">
        <f>SUMIFS(JB_26BV,JB_B,1,JB_EX,"P-8a",JB_CC,"Electronics",JB_H,"DDG",JB_CE,"VERTICAL LAUNCHING SYSTEM (VLS) MK 57 4-CELL MODULES",JB_RC,"ALT")</f>
        <v/>
      </c>
      <c r="D120" s="37">
        <f>IFERROR(C120/C$180,0)</f>
        <v/>
      </c>
      <c r="F120" s="52" t="inlineStr">
        <is>
          <t xml:space="preserve">  Command, Control, Communication, Computer Intelligence Surveillance and Reconnaissance (C4ISR)</t>
        </is>
      </c>
      <c r="G120" s="52" t="inlineStr">
        <is>
          <t>Electronics</t>
        </is>
      </c>
      <c r="H120" s="53">
        <f>SUMIFS(JB_26BV,JB_B,1,JB_EX,"P-8a",JB_CC,"Electronics",JB_H,"LHA",JB_CE,"Command, Control, Communication, Computer Intelligence Surveillance and Reconnaissance (C4ISR)",JB_RC,"ALT")</f>
        <v/>
      </c>
      <c r="I120" s="37">
        <f>IFERROR(H120/H$180,0)</f>
        <v/>
      </c>
      <c r="K120" s="52" t="inlineStr">
        <is>
          <t xml:space="preserve">  Enterprise Air Surveillance Radar (EASR)</t>
        </is>
      </c>
      <c r="L120" s="52" t="inlineStr">
        <is>
          <t>Electronics</t>
        </is>
      </c>
      <c r="M120" s="53">
        <f>SUMIFS(JB_26BV,JB_B,1,JB_EX,"P-8a",JB_CC,"Electronics",JB_H,"FFG",JB_CE,"Enterprise Air Surveillance Radar (EASR)",JB_RC,"ALT")</f>
        <v/>
      </c>
      <c r="N120" s="37">
        <f>IFERROR(M120/M$180,0)</f>
        <v/>
      </c>
      <c r="P120" s="52" t="inlineStr">
        <is>
          <t xml:space="preserve">  C4ISR</t>
        </is>
      </c>
      <c r="Q120" s="52" t="inlineStr">
        <is>
          <t>Electronics</t>
        </is>
      </c>
      <c r="R120" s="53">
        <f>SUMIFS(JB_26BV,JB_B,1,JB_EX,"P-8a",JB_CC,"Electronics",JB_H,"LPD",JB_CE,"C4ISR",JB_RC,"ALT")</f>
        <v/>
      </c>
      <c r="S120" s="37">
        <f>IFERROR(R120/R$180,0)</f>
        <v/>
      </c>
    </row>
    <row r="121" ht="10" customHeight="1">
      <c r="A121" s="52" t="inlineStr">
        <is>
          <t xml:space="preserve">  MULTI FUNCTION RADAR (MFR)</t>
        </is>
      </c>
      <c r="B121" s="52" t="inlineStr">
        <is>
          <t>Electronics</t>
        </is>
      </c>
      <c r="C121" s="53">
        <f>SUMIFS(JB_26BV,JB_B,1,JB_EX,"P-8a",JB_CC,"Electronics",JB_H,"DDG",JB_CE,"MULTI FUNCTION RADAR (MFR)",JB_RC,"ALT")</f>
        <v/>
      </c>
      <c r="D121" s="37">
        <f>IFERROR(C121/C$180,0)</f>
        <v/>
      </c>
      <c r="F121" s="52" t="inlineStr">
        <is>
          <t xml:space="preserve">  MK 2 MOD 4E Ship Self Defense System (SSDS)</t>
        </is>
      </c>
      <c r="G121" s="52" t="inlineStr">
        <is>
          <t>Electronics</t>
        </is>
      </c>
      <c r="H121" s="53">
        <f>SUMIFS(JB_26BV,JB_B,1,JB_EX,"P-8a",JB_CC,"Electronics",JB_H,"LHA",JB_CE,"MK 2 MOD 4E Ship Self Defense System (SSDS)",JB_RC,"ALT")</f>
        <v/>
      </c>
      <c r="I121" s="37">
        <f>IFERROR(H121/H$180,0)</f>
        <v/>
      </c>
      <c r="K121" s="52" t="inlineStr">
        <is>
          <t xml:space="preserve">  AEGIS Weapon System (AWS)</t>
        </is>
      </c>
      <c r="L121" s="52" t="inlineStr">
        <is>
          <t>Electronics</t>
        </is>
      </c>
      <c r="M121" s="53">
        <f>SUMIFS(JB_26BV,JB_B,1,JB_EX,"P-8a",JB_CC,"Electronics",JB_H,"FFG",JB_CE,"AEGIS Weapon System (AWS)",JB_RC,"ALT")</f>
        <v/>
      </c>
      <c r="N121" s="37">
        <f>IFERROR(M121/M$180,0)</f>
        <v/>
      </c>
      <c r="P121" s="52" t="inlineStr">
        <is>
          <t xml:space="preserve">  Mission Systems</t>
        </is>
      </c>
      <c r="Q121" s="52" t="inlineStr">
        <is>
          <t>Electronics</t>
        </is>
      </c>
      <c r="R121" s="53">
        <f>SUMIFS(JB_26BV,JB_B,1,JB_EX,"P-8a",JB_CC,"Electronics",JB_H,"LPD",JB_CE,"Mission Systems",JB_RC,"ALT")</f>
        <v/>
      </c>
      <c r="S121" s="37">
        <f>IFERROR(R121/R$180,0)</f>
        <v/>
      </c>
    </row>
    <row r="122" ht="10" customHeight="1">
      <c r="A122" s="52" t="inlineStr">
        <is>
          <t xml:space="preserve">  TOTAL SHIP COMPUTING ENVIRONMENT (TSCE)</t>
        </is>
      </c>
      <c r="B122" s="52" t="inlineStr">
        <is>
          <t>Electronics</t>
        </is>
      </c>
      <c r="C122" s="53">
        <f>SUMIFS(JB_26BV,JB_B,1,JB_EX,"P-8a",JB_CC,"Electronics",JB_H,"DDG",JB_CE,"TOTAL SHIP COMPUTING ENVIRONMENT (TSCE)",JB_RC,"ALT")</f>
        <v/>
      </c>
      <c r="D122" s="37">
        <f>IFERROR(C122/C$180,0)</f>
        <v/>
      </c>
      <c r="F122" s="52" t="inlineStr">
        <is>
          <t xml:space="preserve">  AN/SPN-50 (V)1</t>
        </is>
      </c>
      <c r="G122" s="52" t="inlineStr">
        <is>
          <t>Electronics</t>
        </is>
      </c>
      <c r="H122" s="53">
        <f>SUMIFS(JB_26BV,JB_B,1,JB_EX,"P-8a",JB_CC,"Electronics",JB_H,"LHA",JB_CE,"AN/SPN-50 (V)1",JB_RC,"ALT")</f>
        <v/>
      </c>
      <c r="I122" s="37">
        <f>IFERROR(H122/H$180,0)</f>
        <v/>
      </c>
      <c r="K122" s="52" t="inlineStr">
        <is>
          <t xml:space="preserve">  Anti-Submarine Warfare (ASW) Combat Suite</t>
        </is>
      </c>
      <c r="L122" s="52" t="inlineStr">
        <is>
          <t>Electronics</t>
        </is>
      </c>
      <c r="M122" s="53">
        <f>SUMIFS(JB_26BV,JB_B,1,JB_EX,"P-8a",JB_CC,"Electronics",JB_H,"FFG",JB_CE,"Anti-Submarine Warfare (ASW) Combat Suite",JB_RC,"ALT")</f>
        <v/>
      </c>
      <c r="N122" s="37">
        <f>IFERROR(M122/M$180,0)</f>
        <v/>
      </c>
      <c r="P122" s="52" t="inlineStr">
        <is>
          <t xml:space="preserve">  Miscellaneous Electronics</t>
        </is>
      </c>
      <c r="Q122" s="52" t="inlineStr">
        <is>
          <t>Electronics</t>
        </is>
      </c>
      <c r="R122" s="53">
        <f>SUMIFS(JB_26BV,JB_B,1,JB_EX,"P-8a",JB_CC,"Electronics",JB_H,"LPD",JB_CE,"Miscellaneous Electronics",JB_RC,"ALT")</f>
        <v/>
      </c>
      <c r="S122" s="37">
        <f>IFERROR(R122/R$180,0)</f>
        <v/>
      </c>
    </row>
    <row r="123" ht="10" customHeight="1">
      <c r="A123" s="52" t="inlineStr">
        <is>
          <t xml:space="preserve">  AN/SLQ-32 SEWIP V(7)</t>
        </is>
      </c>
      <c r="B123" s="52" t="inlineStr">
        <is>
          <t>Electronics</t>
        </is>
      </c>
      <c r="C123" s="53">
        <f>SUMIFS(JB_26BV,JB_B,1,JB_EX,"P-8a",JB_CC,"Electronics",JB_H,"DDG",JB_CE,"AN/SLQ-32 SEWIP V(7)",JB_RC,"ALT")</f>
        <v/>
      </c>
      <c r="D123" s="37">
        <f>IFERROR(C123/C$180,0)</f>
        <v/>
      </c>
      <c r="F123" s="52" t="inlineStr">
        <is>
          <t xml:space="preserve">  AN/SLQ-32(V), Surface Warfare Improvement Program (SEWIP)</t>
        </is>
      </c>
      <c r="G123" s="52" t="inlineStr">
        <is>
          <t>Electronics</t>
        </is>
      </c>
      <c r="H123" s="53">
        <f>SUMIFS(JB_26BV,JB_B,1,JB_EX,"P-8a",JB_CC,"Electronics",JB_H,"LHA",JB_CE,"AN/SLQ-32(V), Surface Warfare Improvement Program (SEWIP)",JB_RC,"ALT")</f>
        <v/>
      </c>
      <c r="I123" s="37">
        <f>IFERROR(H123/H$180,0)</f>
        <v/>
      </c>
      <c r="K123" s="52" t="inlineStr">
        <is>
          <t xml:space="preserve">  Tactical COMINT System- Spectral</t>
        </is>
      </c>
      <c r="L123" s="52" t="inlineStr">
        <is>
          <t>Electronics</t>
        </is>
      </c>
      <c r="M123" s="53">
        <f>SUMIFS(JB_26BV,JB_B,1,JB_EX,"P-8a",JB_CC,"Electronics",JB_H,"FFG",JB_CE,"Tactical COMINT System- Spectral",JB_RC,"ALT")</f>
        <v/>
      </c>
      <c r="N123" s="37">
        <f>IFERROR(M123/M$180,0)</f>
        <v/>
      </c>
      <c r="P123" s="52" t="inlineStr">
        <is>
          <t xml:space="preserve">  Ship Self Defense System (SSDS)</t>
        </is>
      </c>
      <c r="Q123" s="52" t="inlineStr">
        <is>
          <t>Electronics</t>
        </is>
      </c>
      <c r="R123" s="53">
        <f>SUMIFS(JB_26BV,JB_B,1,JB_EX,"P-8a",JB_CC,"Electronics",JB_H,"LPD",JB_CE,"Ship Self Defense System (SSDS)",JB_RC,"ALT")</f>
        <v/>
      </c>
      <c r="S123" s="37">
        <f>IFERROR(R123/R$180,0)</f>
        <v/>
      </c>
    </row>
    <row r="124" ht="10" customHeight="1">
      <c r="A124" s="52" t="inlineStr">
        <is>
          <t xml:space="preserve">  EXCOMM</t>
        </is>
      </c>
      <c r="B124" s="52" t="inlineStr">
        <is>
          <t>Electronics</t>
        </is>
      </c>
      <c r="C124" s="53">
        <f>SUMIFS(JB_26BV,JB_B,1,JB_EX,"P-8a",JB_CC,"Electronics",JB_H,"DDG",JB_CE,"EXCOMM",JB_RC,"ALT")</f>
        <v/>
      </c>
      <c r="D124" s="37">
        <f>IFERROR(C124/C$180,0)</f>
        <v/>
      </c>
      <c r="F124" s="52" t="inlineStr">
        <is>
          <t xml:space="preserve">  Miscellaneous Electronics</t>
        </is>
      </c>
      <c r="G124" s="52" t="inlineStr">
        <is>
          <t>Electronics</t>
        </is>
      </c>
      <c r="H124" s="53">
        <f>SUMIFS(JB_26BV,JB_B,1,JB_EX,"P-8a",JB_CC,"Electronics",JB_H,"LHA",JB_CE,"Miscellaneous Electronics",JB_RC,"ALT")</f>
        <v/>
      </c>
      <c r="I124" s="37">
        <f>IFERROR(H124/H$180,0)</f>
        <v/>
      </c>
      <c r="K124" s="52" t="inlineStr">
        <is>
          <t xml:space="preserve">  External Communication Suite (EXCOMM)</t>
        </is>
      </c>
      <c r="L124" s="52" t="inlineStr">
        <is>
          <t>Electronics</t>
        </is>
      </c>
      <c r="M124" s="53">
        <f>SUMIFS(JB_26BV,JB_B,1,JB_EX,"P-8a",JB_CC,"Electronics",JB_H,"FFG",JB_CE,"External Communication Suite (EXCOMM)",JB_RC,"ALT")</f>
        <v/>
      </c>
      <c r="N124" s="37">
        <f>IFERROR(M124/M$180,0)</f>
        <v/>
      </c>
      <c r="P124" s="52" t="inlineStr">
        <is>
          <t xml:space="preserve">  AN/SLQ-32(V)6 Surface Electronic Warfare Improvement Program (SEWIP)</t>
        </is>
      </c>
      <c r="Q124" s="52" t="inlineStr">
        <is>
          <t>Electronics</t>
        </is>
      </c>
      <c r="R124" s="53">
        <f>SUMIFS(JB_26BV,JB_B,1,JB_EX,"P-8a",JB_CC,"Electronics",JB_H,"LPD",JB_CE,"AN/SLQ-32(V)6 Surface Electronic Warfare Improvement Program (SEWIP)",JB_RC,"ALT")</f>
        <v/>
      </c>
      <c r="S124" s="37">
        <f>IFERROR(R124/R$180,0)</f>
        <v/>
      </c>
    </row>
    <row r="125" ht="10" customHeight="1">
      <c r="A125" s="52" t="inlineStr">
        <is>
          <t xml:space="preserve">  SQQ 89 ASW</t>
        </is>
      </c>
      <c r="B125" s="52" t="inlineStr">
        <is>
          <t>Electronics</t>
        </is>
      </c>
      <c r="C125" s="53">
        <f>SUMIFS(JB_26BV,JB_B,1,JB_EX,"P-8a",JB_CC,"Electronics",JB_H,"DDG",JB_CE,"SQQ 89 ASW",JB_RC,"ALT")</f>
        <v/>
      </c>
      <c r="D125" s="37">
        <f>IFERROR(C125/C$180,0)</f>
        <v/>
      </c>
      <c r="F125" s="52" t="inlineStr">
        <is>
          <t xml:space="preserve">  Integrated Voice Network (IVN)</t>
        </is>
      </c>
      <c r="G125" s="52" t="inlineStr">
        <is>
          <t>Electronics</t>
        </is>
      </c>
      <c r="H125" s="53">
        <f>SUMIFS(JB_26BV,JB_B,1,JB_EX,"P-8a",JB_CC,"Electronics",JB_H,"LHA",JB_CE,"Integrated Voice Network (IVN)",JB_RC,"ALT")</f>
        <v/>
      </c>
      <c r="I125" s="37">
        <f>IFERROR(H125/H$180,0)</f>
        <v/>
      </c>
      <c r="K125" s="52" t="inlineStr">
        <is>
          <t xml:space="preserve">  Cooperative Engagement Capability (CEC)</t>
        </is>
      </c>
      <c r="L125" s="52" t="inlineStr">
        <is>
          <t>Electronics</t>
        </is>
      </c>
      <c r="M125" s="53">
        <f>SUMIFS(JB_26BV,JB_B,1,JB_EX,"P-8a",JB_CC,"Electronics",JB_H,"FFG",JB_CE,"Cooperative Engagement Capability (CEC)",JB_RC,"ALT")</f>
        <v/>
      </c>
      <c r="N125" s="37">
        <f>IFERROR(M125/M$180,0)</f>
        <v/>
      </c>
      <c r="P125" s="52" t="inlineStr">
        <is>
          <t xml:space="preserve">  Cooperative Engagement Capability (CEC)</t>
        </is>
      </c>
      <c r="Q125" s="52" t="inlineStr">
        <is>
          <t>Electronics</t>
        </is>
      </c>
      <c r="R125" s="53">
        <f>SUMIFS(JB_26BV,JB_B,1,JB_EX,"P-8a",JB_CC,"Electronics",JB_H,"LPD",JB_CE,"Cooperative Engagement Capability (CEC)",JB_RC,"ALT")</f>
        <v/>
      </c>
      <c r="S125" s="37">
        <f>IFERROR(R125/R$180,0)</f>
        <v/>
      </c>
    </row>
    <row r="126" ht="10" customHeight="1">
      <c r="A126" s="52" t="inlineStr">
        <is>
          <t xml:space="preserve">  MISSION SYSTEM ENGR INTEGR &amp; TEST (MSEIT)</t>
        </is>
      </c>
      <c r="B126" s="52" t="inlineStr">
        <is>
          <t>Electronics</t>
        </is>
      </c>
      <c r="C126" s="53">
        <f>SUMIFS(JB_26BV,JB_B,1,JB_EX,"P-8a",JB_CC,"Electronics",JB_H,"DDG",JB_CE,"MISSION SYSTEM ENGR INTEGR &amp; TEST (MSEIT)",JB_RC,"ALT")</f>
        <v/>
      </c>
      <c r="D126" s="37">
        <f>IFERROR(C126/C$180,0)</f>
        <v/>
      </c>
      <c r="F126" s="52" t="inlineStr">
        <is>
          <t xml:space="preserve">  AN/UPX-29(V), Identification Friend or Foe (IFF) MK12</t>
        </is>
      </c>
      <c r="G126" s="52" t="inlineStr">
        <is>
          <t>Electronics</t>
        </is>
      </c>
      <c r="H126" s="53">
        <f>SUMIFS(JB_26BV,JB_B,1,JB_EX,"P-8a",JB_CC,"Electronics",JB_H,"LHA",JB_CE,"AN/UPX-29(V), Identification Friend or Foe (IFF) MK12",JB_RC,"ALT")</f>
        <v/>
      </c>
      <c r="I126" s="37">
        <f>IFERROR(H126/H$180,0)</f>
        <v/>
      </c>
      <c r="K126" s="52" t="inlineStr">
        <is>
          <t xml:space="preserve">  Identification Friend or Foe (IFF) UPX-29</t>
        </is>
      </c>
      <c r="L126" s="52" t="inlineStr">
        <is>
          <t>Electronics</t>
        </is>
      </c>
      <c r="M126" s="53">
        <f>SUMIFS(JB_26BV,JB_B,1,JB_EX,"P-8a",JB_CC,"Electronics",JB_H,"FFG",JB_CE,"Identification Friend or Foe (IFF) UPX-29",JB_RC,"ALT")</f>
        <v/>
      </c>
      <c r="N126" s="37">
        <f>IFERROR(M126/M$180,0)</f>
        <v/>
      </c>
      <c r="P126" s="52" t="inlineStr">
        <is>
          <t xml:space="preserve">  Interrogator System IFF (Identification Friend or Foe)</t>
        </is>
      </c>
      <c r="Q126" s="52" t="inlineStr">
        <is>
          <t>Electronics</t>
        </is>
      </c>
      <c r="R126" s="53">
        <f>SUMIFS(JB_26BV,JB_B,1,JB_EX,"P-8a",JB_CC,"Electronics",JB_H,"LPD",JB_CE,"Interrogator System IFF (Identification Friend or Foe)",JB_RC,"ALT")</f>
        <v/>
      </c>
      <c r="S126" s="37">
        <f>IFERROR(R126/R$180,0)</f>
        <v/>
      </c>
    </row>
    <row r="127" ht="10" customHeight="1">
      <c r="A127" s="52" t="inlineStr">
        <is>
          <t xml:space="preserve">  MISSION SYSTEM ACTIVATION</t>
        </is>
      </c>
      <c r="B127" s="52" t="inlineStr">
        <is>
          <t>Electronics</t>
        </is>
      </c>
      <c r="C127" s="53">
        <f>SUMIFS(JB_26BV,JB_B,1,JB_EX,"P-8a",JB_CC,"Electronics",JB_H,"DDG",JB_CE,"MISSION SYSTEM ACTIVATION",JB_RC,"ALT")</f>
        <v/>
      </c>
      <c r="D127" s="37">
        <f>IFERROR(C127/C$180,0)</f>
        <v/>
      </c>
      <c r="F127" s="52" t="inlineStr">
        <is>
          <t xml:space="preserve">  AN/USG-2, Cooperative Engagement Transmission Processing Set (CETPS)</t>
        </is>
      </c>
      <c r="G127" s="52" t="inlineStr">
        <is>
          <t>Electronics</t>
        </is>
      </c>
      <c r="H127" s="53">
        <f>SUMIFS(JB_26BV,JB_B,1,JB_EX,"P-8a",JB_CC,"Electronics",JB_H,"LHA",JB_CE,"AN/USG-2, Cooperative Engagement Transmission Processing Set (CETPS)",JB_RC,"ALT")</f>
        <v/>
      </c>
      <c r="I127" s="37">
        <f>IFERROR(H127/H$180,0)</f>
        <v/>
      </c>
      <c r="K127" s="49" t="inlineStr">
        <is>
          <t>Hull, Mechanical, and Electrical</t>
        </is>
      </c>
      <c r="M127" s="50">
        <f>SUM(M128:M134)</f>
        <v/>
      </c>
      <c r="N127" s="51">
        <f>IFERROR(M127/M$180,0)</f>
        <v/>
      </c>
      <c r="P127" s="52" t="inlineStr">
        <is>
          <t xml:space="preserve">  IWS CSI</t>
        </is>
      </c>
      <c r="Q127" s="52" t="inlineStr">
        <is>
          <t>Electronics</t>
        </is>
      </c>
      <c r="R127" s="53">
        <f>SUMIFS(JB_26BV,JB_B,1,JB_EX,"P-8a",JB_CC,"Electronics",JB_H,"LPD",JB_CE,"IWS CSI",JB_RC,"ALT")</f>
        <v/>
      </c>
      <c r="S127" s="37">
        <f>IFERROR(R127/R$180,0)</f>
        <v/>
      </c>
    </row>
    <row r="128" ht="10" customHeight="1">
      <c r="A128" s="52" t="inlineStr">
        <is>
          <t xml:space="preserve">  SHIP CONTROL SYSTEM (SCS)</t>
        </is>
      </c>
      <c r="B128" s="52" t="inlineStr">
        <is>
          <t>Electronics</t>
        </is>
      </c>
      <c r="C128" s="53">
        <f>SUMIFS(JB_26BV,JB_B,1,JB_EX,"P-8a",JB_CC,"Electronics",JB_H,"DDG",JB_CE,"SHIP CONTROL SYSTEM (SCS)",JB_RC,"ALT")</f>
        <v/>
      </c>
      <c r="D128" s="37">
        <f>IFERROR(C128/C$180,0)</f>
        <v/>
      </c>
      <c r="F128" s="52" t="inlineStr">
        <is>
          <t xml:space="preserve">  Joint Precision Approach and Landing System (JPALS) (AN/USN-3(V)1, SSLS)</t>
        </is>
      </c>
      <c r="G128" s="52" t="inlineStr">
        <is>
          <t>Electronics</t>
        </is>
      </c>
      <c r="H128" s="53">
        <f>SUMIFS(JB_26BV,JB_B,1,JB_EX,"P-8a",JB_CC,"Electronics",JB_H,"LHA",JB_CE,"Joint Precision Approach and Landing System (JPALS) (AN/USN-3(V)1, SSLS)",JB_RC,"ALT")</f>
        <v/>
      </c>
      <c r="I128" s="37">
        <f>IFERROR(H128/H$180,0)</f>
        <v/>
      </c>
      <c r="K128" s="52" t="inlineStr">
        <is>
          <t xml:space="preserve">  Aircraft Ship Integrated Securing and Traversing System (ASIST)</t>
        </is>
      </c>
      <c r="L128" s="52" t="inlineStr">
        <is>
          <t>Hull, Mechanical, and Electrical</t>
        </is>
      </c>
      <c r="M128" s="53">
        <f>SUMIFS(JB_26BV,JB_B,1,JB_EX,"P-8a",JB_CC,"Hull, Mechanical, and Electrical",JB_H,"FFG",JB_CE,"Aircraft Ship Integrated Securing and Traversing System (ASIST)",JB_RC,"ALT")</f>
        <v/>
      </c>
      <c r="N128" s="37">
        <f>IFERROR(M128/M$180,0)</f>
        <v/>
      </c>
      <c r="P128" s="52" t="inlineStr">
        <is>
          <t xml:space="preserve">  AN/WSN-7(RLGN)</t>
        </is>
      </c>
      <c r="Q128" s="52" t="inlineStr">
        <is>
          <t>Electronics</t>
        </is>
      </c>
      <c r="R128" s="53">
        <f>SUMIFS(JB_26BV,JB_B,1,JB_EX,"P-8a",JB_CC,"Electronics",JB_H,"LPD",JB_CE,"AN/WSN-7(RLGN)",JB_RC,"ALT")</f>
        <v/>
      </c>
      <c r="S128" s="37">
        <f>IFERROR(R128/R$180,0)</f>
        <v/>
      </c>
    </row>
    <row r="129" ht="10" customHeight="1">
      <c r="A129" s="52" t="inlineStr">
        <is>
          <t xml:space="preserve">  INTEGRATED UNDERSEA WARFARE (IUSW) SYSTEM</t>
        </is>
      </c>
      <c r="B129" s="52" t="inlineStr">
        <is>
          <t>Electronics</t>
        </is>
      </c>
      <c r="C129" s="53">
        <f>SUMIFS(JB_26BV,JB_B,1,JB_EX,"P-8a",JB_CC,"Electronics",JB_H,"DDG",JB_CE,"INTEGRATED UNDERSEA WARFARE (IUSW) SYSTEM",JB_RC,"ALT")</f>
        <v/>
      </c>
      <c r="D129" s="37">
        <f>IFERROR(C129/C$180,0)</f>
        <v/>
      </c>
      <c r="F129" s="52" t="inlineStr">
        <is>
          <t xml:space="preserve">  USQ-82, Gigabit Ethernet Data Multiplex System (GEDMS)</t>
        </is>
      </c>
      <c r="G129" s="52" t="inlineStr">
        <is>
          <t>Electronics</t>
        </is>
      </c>
      <c r="H129" s="53">
        <f>SUMIFS(JB_26BV,JB_B,1,JB_EX,"P-8a",JB_CC,"Electronics",JB_H,"LHA",JB_CE,"USQ-82, Gigabit Ethernet Data Multiplex System (GEDMS)",JB_RC,"ALT")</f>
        <v/>
      </c>
      <c r="I129" s="37">
        <f>IFERROR(H129/H$180,0)</f>
        <v/>
      </c>
      <c r="K129" s="52" t="inlineStr">
        <is>
          <t xml:space="preserve">  Other HM&amp;E</t>
        </is>
      </c>
      <c r="L129" s="52" t="inlineStr">
        <is>
          <t>Hull, Mechanical, and Electrical</t>
        </is>
      </c>
      <c r="M129" s="53">
        <f>SUMIFS(JB_26BV,JB_B,1,JB_EX,"P-8a",JB_CC,"Hull, Mechanical, and Electrical",JB_H,"FFG",JB_CE,"Other HM&amp;E",JB_RC,"ALT")</f>
        <v/>
      </c>
      <c r="N129" s="37">
        <f>IFERROR(M129/M$180,0)</f>
        <v/>
      </c>
      <c r="P129" s="52" t="inlineStr">
        <is>
          <t xml:space="preserve">  HM&amp;E Condition System (HMECS)</t>
        </is>
      </c>
      <c r="Q129" s="52" t="inlineStr">
        <is>
          <t>Electronics</t>
        </is>
      </c>
      <c r="R129" s="53">
        <f>SUMIFS(JB_26BV,JB_B,1,JB_EX,"P-8a",JB_CC,"Electronics",JB_H,"LPD",JB_CE,"HM&amp;E Condition System (HMECS)",JB_RC,"ALT")</f>
        <v/>
      </c>
      <c r="S129" s="37">
        <f>IFERROR(R129/R$180,0)</f>
        <v/>
      </c>
    </row>
    <row r="130" ht="10" customHeight="1">
      <c r="A130" s="52" t="inlineStr">
        <is>
          <t xml:space="preserve">  MISC. ELECTRONICS</t>
        </is>
      </c>
      <c r="B130" s="52" t="inlineStr">
        <is>
          <t>Electronics</t>
        </is>
      </c>
      <c r="C130" s="53">
        <f>SUMIFS(JB_26BV,JB_B,1,JB_EX,"P-8a",JB_CC,"Electronics",JB_H,"DDG",JB_CE,"MISC. ELECTRONICS",JB_RC,"ALT")</f>
        <v/>
      </c>
      <c r="D130" s="37">
        <f>IFERROR(C130/C$180,0)</f>
        <v/>
      </c>
      <c r="F130" s="52" t="inlineStr">
        <is>
          <t xml:space="preserve">  Aircraft Control Approach Central AN/SPN-35C</t>
        </is>
      </c>
      <c r="G130" s="52" t="inlineStr">
        <is>
          <t>Electronics</t>
        </is>
      </c>
      <c r="H130" s="53">
        <f>SUMIFS(JB_26BV,JB_B,1,JB_EX,"P-8a",JB_CC,"Electronics",JB_H,"LHA",JB_CE,"Aircraft Control Approach Central AN/SPN-35C",JB_RC,"ALT")</f>
        <v/>
      </c>
      <c r="I130" s="37">
        <f>IFERROR(H130/H$180,0)</f>
        <v/>
      </c>
      <c r="K130" s="52" t="inlineStr">
        <is>
          <t xml:space="preserve">  Internal Communication (IC) Voice</t>
        </is>
      </c>
      <c r="L130" s="52" t="inlineStr">
        <is>
          <t>Hull, Mechanical, and Electrical</t>
        </is>
      </c>
      <c r="M130" s="53">
        <f>SUMIFS(JB_26BV,JB_B,1,JB_EX,"P-8a",JB_CC,"Hull, Mechanical, and Electrical",JB_H,"FFG",JB_CE,"Internal Communication (IC) Voice",JB_RC,"ALT")</f>
        <v/>
      </c>
      <c r="N130" s="37">
        <f>IFERROR(M130/M$180,0)</f>
        <v/>
      </c>
      <c r="P130" s="52" t="inlineStr">
        <is>
          <t xml:space="preserve">  Electronic Charting Display and Information Systems-Navy (ECDIS-N)</t>
        </is>
      </c>
      <c r="Q130" s="52" t="inlineStr">
        <is>
          <t>Electronics</t>
        </is>
      </c>
      <c r="R130" s="53">
        <f>SUMIFS(JB_26BV,JB_B,1,JB_EX,"P-8a",JB_CC,"Electronics",JB_H,"LPD",JB_CE,"Electronic Charting Display and Information Systems-Navy (ECDIS-N)",JB_RC,"ALT")</f>
        <v/>
      </c>
      <c r="S130" s="37">
        <f>IFERROR(R130/R$180,0)</f>
        <v/>
      </c>
    </row>
    <row r="131" ht="10" customHeight="1">
      <c r="A131" s="52" t="inlineStr">
        <is>
          <t xml:space="preserve">  EXTERIOR COMMUNICATIONS (EXCOMMS)</t>
        </is>
      </c>
      <c r="B131" s="52" t="inlineStr">
        <is>
          <t>Electronics</t>
        </is>
      </c>
      <c r="C131" s="53">
        <f>SUMIFS(JB_26BV,JB_B,1,JB_EX,"P-8a",JB_CC,"Electronics",JB_H,"DDG",JB_CE,"EXTERIOR COMMUNICATIONS (EXCOMMS)",JB_RC,"ALT")</f>
        <v/>
      </c>
      <c r="D131" s="37">
        <f>IFERROR(C131/C$180,0)</f>
        <v/>
      </c>
      <c r="F131" s="52" t="inlineStr">
        <is>
          <t xml:space="preserve">  Hierarchical Yet Dynamically Reprogrammable Architecture (HYDRA) AN/SRC-55</t>
        </is>
      </c>
      <c r="G131" s="52" t="inlineStr">
        <is>
          <t>Electronics</t>
        </is>
      </c>
      <c r="H131" s="53">
        <f>SUMIFS(JB_26BV,JB_B,1,JB_EX,"P-8a",JB_CC,"Electronics",JB_H,"LHA",JB_CE,"Hierarchical Yet Dynamically Reprogrammable Architecture (HYDRA) AN/SRC-55",JB_RC,"ALT")</f>
        <v/>
      </c>
      <c r="I131" s="37">
        <f>IFERROR(H131/H$180,0)</f>
        <v/>
      </c>
      <c r="K131" s="52" t="inlineStr">
        <is>
          <t xml:space="preserve">  Interior Wireless Communication System (IWCS)</t>
        </is>
      </c>
      <c r="L131" s="52" t="inlineStr">
        <is>
          <t>Hull, Mechanical, and Electrical</t>
        </is>
      </c>
      <c r="M131" s="53">
        <f>SUMIFS(JB_26BV,JB_B,1,JB_EX,"P-8a",JB_CC,"Hull, Mechanical, and Electrical",JB_H,"FFG",JB_CE,"Interior Wireless Communication System (IWCS)",JB_RC,"ALT")</f>
        <v/>
      </c>
      <c r="N131" s="37">
        <f>IFERROR(M131/M$180,0)</f>
        <v/>
      </c>
      <c r="P131" s="52" t="inlineStr">
        <is>
          <t xml:space="preserve">  Nulka Decoy Launching System (DLS)</t>
        </is>
      </c>
      <c r="Q131" s="52" t="inlineStr">
        <is>
          <t>Electronics</t>
        </is>
      </c>
      <c r="R131" s="53">
        <f>SUMIFS(JB_26BV,JB_B,1,JB_EX,"P-8a",JB_CC,"Electronics",JB_H,"LPD",JB_CE,"Nulka Decoy Launching System (DLS)",JB_RC,"ALT")</f>
        <v/>
      </c>
      <c r="S131" s="37">
        <f>IFERROR(R131/R$180,0)</f>
        <v/>
      </c>
    </row>
    <row r="132" ht="10" customHeight="1">
      <c r="A132" s="52" t="inlineStr">
        <is>
          <t xml:space="preserve">  SPECTRAL</t>
        </is>
      </c>
      <c r="B132" s="52" t="inlineStr">
        <is>
          <t>Electronics</t>
        </is>
      </c>
      <c r="C132" s="53">
        <f>SUMIFS(JB_26BV,JB_B,1,JB_EX,"P-8a",JB_CC,"Electronics",JB_H,"DDG",JB_CE,"SPECTRAL",JB_RC,"ALT")</f>
        <v/>
      </c>
      <c r="D132" s="37">
        <f>IFERROR(C132/C$180,0)</f>
        <v/>
      </c>
      <c r="F132" s="52" t="inlineStr">
        <is>
          <t xml:space="preserve">  AN/SLQ-25C, Torpedo Countermeasures Transmitting Set (NIXIE)</t>
        </is>
      </c>
      <c r="G132" s="52" t="inlineStr">
        <is>
          <t>Electronics</t>
        </is>
      </c>
      <c r="H132" s="53">
        <f>SUMIFS(JB_26BV,JB_B,1,JB_EX,"P-8a",JB_CC,"Electronics",JB_H,"LHA",JB_CE,"AN/SLQ-25C, Torpedo Countermeasures Transmitting Set (NIXIE)",JB_RC,"ALT")</f>
        <v/>
      </c>
      <c r="I132" s="37">
        <f>IFERROR(H132/H$180,0)</f>
        <v/>
      </c>
      <c r="K132" s="52" t="inlineStr">
        <is>
          <t xml:space="preserve">  Unclassified Video System (UVS)</t>
        </is>
      </c>
      <c r="L132" s="52" t="inlineStr">
        <is>
          <t>Hull, Mechanical, and Electrical</t>
        </is>
      </c>
      <c r="M132" s="53">
        <f>SUMIFS(JB_26BV,JB_B,1,JB_EX,"P-8a",JB_CC,"Hull, Mechanical, and Electrical",JB_H,"FFG",JB_CE,"Unclassified Video System (UVS)",JB_RC,"ALT")</f>
        <v/>
      </c>
      <c r="N132" s="37">
        <f>IFERROR(M132/M$180,0)</f>
        <v/>
      </c>
      <c r="P132" s="52" t="inlineStr">
        <is>
          <t xml:space="preserve">  Advanced Training Domain (ATD)</t>
        </is>
      </c>
      <c r="Q132" s="52" t="inlineStr">
        <is>
          <t>Electronics</t>
        </is>
      </c>
      <c r="R132" s="53">
        <f>SUMIFS(JB_26BV,JB_B,1,JB_EX,"P-8a",JB_CC,"Electronics",JB_H,"LPD",JB_CE,"Advanced Training Domain (ATD)",JB_RC,"ALT")</f>
        <v/>
      </c>
      <c r="S132" s="37">
        <f>IFERROR(R132/R$180,0)</f>
        <v/>
      </c>
    </row>
    <row r="133" ht="10" customHeight="1">
      <c r="A133" s="52" t="inlineStr">
        <is>
          <t xml:space="preserve">  DDG 1002 TSCE MODERNIZATION</t>
        </is>
      </c>
      <c r="B133" s="52" t="inlineStr">
        <is>
          <t>Electronics</t>
        </is>
      </c>
      <c r="C133" s="53">
        <f>SUMIFS(JB_26BV,JB_B,1,JB_EX,"P-8a",JB_CC,"Electronics",JB_H,"DDG",JB_CE,"DDG 1002 TSCE MODERNIZATION",JB_RC,"ALT")</f>
        <v/>
      </c>
      <c r="D133" s="37">
        <f>IFERROR(C133/C$180,0)</f>
        <v/>
      </c>
      <c r="F133" s="52" t="inlineStr">
        <is>
          <t xml:space="preserve">  Ring Laser Gyro Navigator (RLGN) AN/WSN-7</t>
        </is>
      </c>
      <c r="G133" s="52" t="inlineStr">
        <is>
          <t>Electronics</t>
        </is>
      </c>
      <c r="H133" s="53">
        <f>SUMIFS(JB_26BV,JB_B,1,JB_EX,"P-8a",JB_CC,"Electronics",JB_H,"LHA",JB_CE,"Ring Laser Gyro Navigator (RLGN) AN/WSN-7",JB_RC,"ALT")</f>
        <v/>
      </c>
      <c r="I133" s="37">
        <f>IFERROR(H133/H$180,0)</f>
        <v/>
      </c>
      <c r="K133" s="52" t="inlineStr">
        <is>
          <t xml:space="preserve">  Ship Control System-Government (SCS GOV)</t>
        </is>
      </c>
      <c r="L133" s="52" t="inlineStr">
        <is>
          <t>Hull, Mechanical, and Electrical</t>
        </is>
      </c>
      <c r="M133" s="53">
        <f>SUMIFS(JB_26BV,JB_B,1,JB_EX,"P-8a",JB_CC,"Hull, Mechanical, and Electrical",JB_H,"FFG",JB_CE,"Ship Control System-Government (SCS GOV)",JB_RC,"ALT")</f>
        <v/>
      </c>
      <c r="N133" s="37">
        <f>IFERROR(M133/M$180,0)</f>
        <v/>
      </c>
      <c r="P133" s="52" t="inlineStr">
        <is>
          <t xml:space="preserve">  Amphibious Assault Direction System (AADS)</t>
        </is>
      </c>
      <c r="Q133" s="52" t="inlineStr">
        <is>
          <t>Electronics</t>
        </is>
      </c>
      <c r="R133" s="53">
        <f>SUMIFS(JB_26BV,JB_B,1,JB_EX,"P-8a",JB_CC,"Electronics",JB_H,"LPD",JB_CE,"Amphibious Assault Direction System (AADS)",JB_RC,"ALT")</f>
        <v/>
      </c>
      <c r="S133" s="37">
        <f>IFERROR(R133/R$180,0)</f>
        <v/>
      </c>
    </row>
    <row r="134" ht="10" customHeight="1">
      <c r="A134" s="52" t="inlineStr">
        <is>
          <t xml:space="preserve">  USQ 82(V) GEDMS</t>
        </is>
      </c>
      <c r="B134" s="52" t="inlineStr">
        <is>
          <t>Electronics</t>
        </is>
      </c>
      <c r="C134" s="53">
        <f>SUMIFS(JB_26BV,JB_B,1,JB_EX,"P-8a",JB_CC,"Electronics",JB_H,"DDG",JB_CE,"USQ 82(V) GEDMS",JB_RC,"ALT")</f>
        <v/>
      </c>
      <c r="D134" s="37">
        <f>IFERROR(C134/C$180,0)</f>
        <v/>
      </c>
      <c r="F134" s="52" t="inlineStr">
        <is>
          <t xml:space="preserve">  Amphibious Air Traffic Control Direct Altitude and Identity Readout (AATC-DAIR)</t>
        </is>
      </c>
      <c r="G134" s="52" t="inlineStr">
        <is>
          <t>Electronics</t>
        </is>
      </c>
      <c r="H134" s="53">
        <f>SUMIFS(JB_26BV,JB_B,1,JB_EX,"P-8a",JB_CC,"Electronics",JB_H,"LHA",JB_CE,"Amphibious Air Traffic Control Direct Altitude and Identity Readout (AATC-DAIR)",JB_RC,"ALT")</f>
        <v/>
      </c>
      <c r="I134" s="37">
        <f>IFERROR(H134/H$180,0)</f>
        <v/>
      </c>
      <c r="K134" s="52" t="inlineStr">
        <is>
          <t xml:space="preserve">  Advanced Flight Deck Lighting System (AFDLS)</t>
        </is>
      </c>
      <c r="L134" s="52" t="inlineStr">
        <is>
          <t>Hull, Mechanical, and Electrical</t>
        </is>
      </c>
      <c r="M134" s="53">
        <f>SUMIFS(JB_26BV,JB_B,1,JB_EX,"P-8a",JB_CC,"Hull, Mechanical, and Electrical",JB_H,"FFG",JB_CE,"Advanced Flight Deck Lighting System (AFDLS)",JB_RC,"ALT")</f>
        <v/>
      </c>
      <c r="N134" s="37">
        <f>IFERROR(M134/M$180,0)</f>
        <v/>
      </c>
      <c r="P134" s="52" t="inlineStr">
        <is>
          <t xml:space="preserve">  DHYSL</t>
        </is>
      </c>
      <c r="Q134" s="52" t="inlineStr">
        <is>
          <t>Electronics</t>
        </is>
      </c>
      <c r="R134" s="53">
        <f>SUMIFS(JB_26BV,JB_B,1,JB_EX,"P-8a",JB_CC,"Electronics",JB_H,"LPD",JB_CE,"DHYSL",JB_RC,"ALT")</f>
        <v/>
      </c>
      <c r="S134" s="37">
        <f>IFERROR(R134/R$180,0)</f>
        <v/>
      </c>
    </row>
    <row r="135" ht="10" customHeight="1">
      <c r="A135" s="52" t="inlineStr">
        <is>
          <t xml:space="preserve">  ELECTRO-OPTICAL / INFRARED (EO/IR)</t>
        </is>
      </c>
      <c r="B135" s="52" t="inlineStr">
        <is>
          <t>Electronics</t>
        </is>
      </c>
      <c r="C135" s="53">
        <f>SUMIFS(JB_26BV,JB_B,1,JB_EX,"P-8a",JB_CC,"Electronics",JB_H,"DDG",JB_CE,"ELECTRO-OPTICAL / INFRARED (EO/IR)",JB_RC,"ALT")</f>
        <v/>
      </c>
      <c r="D135" s="37">
        <f>IFERROR(C135/C$180,0)</f>
        <v/>
      </c>
      <c r="F135" s="52" t="inlineStr">
        <is>
          <t xml:space="preserve">  Aircraft Approach Control Transmitting Set (AACTS) AN/SPN-41B</t>
        </is>
      </c>
      <c r="G135" s="52" t="inlineStr">
        <is>
          <t>Electronics</t>
        </is>
      </c>
      <c r="H135" s="53">
        <f>SUMIFS(JB_26BV,JB_B,1,JB_EX,"P-8a",JB_CC,"Electronics",JB_H,"LHA",JB_CE,"Aircraft Approach Control Transmitting Set (AACTS) AN/SPN-41B",JB_RC,"ALT")</f>
        <v/>
      </c>
      <c r="I135" s="37">
        <f>IFERROR(H135/H$180,0)</f>
        <v/>
      </c>
      <c r="K135" s="49" t="inlineStr">
        <is>
          <t>Ordnance</t>
        </is>
      </c>
      <c r="M135" s="50">
        <f>SUM(M136:M139)</f>
        <v/>
      </c>
      <c r="N135" s="51">
        <f>IFERROR(M135/M$180,0)</f>
        <v/>
      </c>
      <c r="P135" s="52" t="inlineStr">
        <is>
          <t xml:space="preserve">  AN/UQN-10</t>
        </is>
      </c>
      <c r="Q135" s="52" t="inlineStr">
        <is>
          <t>Electronics</t>
        </is>
      </c>
      <c r="R135" s="53">
        <f>SUMIFS(JB_26BV,JB_B,1,JB_EX,"P-8a",JB_CC,"Electronics",JB_H,"LPD",JB_CE,"AN/UQN-10",JB_RC,"ALT")</f>
        <v/>
      </c>
      <c r="S135" s="37">
        <f>IFERROR(R135/R$180,0)</f>
        <v/>
      </c>
    </row>
    <row r="136" ht="10" customHeight="1">
      <c r="A136" s="52" t="inlineStr">
        <is>
          <t xml:space="preserve">  IDENTIFICATION FRIEND OR FOE (IFF)</t>
        </is>
      </c>
      <c r="B136" s="52" t="inlineStr">
        <is>
          <t>Electronics</t>
        </is>
      </c>
      <c r="C136" s="53">
        <f>SUMIFS(JB_26BV,JB_B,1,JB_EX,"P-8a",JB_CC,"Electronics",JB_H,"DDG",JB_CE,"IDENTIFICATION FRIEND OR FOE (IFF)",JB_RC,"ALT")</f>
        <v/>
      </c>
      <c r="D136" s="37">
        <f>IFERROR(C136/C$180,0)</f>
        <v/>
      </c>
      <c r="F136" s="52" t="inlineStr">
        <is>
          <t xml:space="preserve">  Announcing Systems AN/SIA-127H</t>
        </is>
      </c>
      <c r="G136" s="52" t="inlineStr">
        <is>
          <t>Electronics</t>
        </is>
      </c>
      <c r="H136" s="53">
        <f>SUMIFS(JB_26BV,JB_B,1,JB_EX,"P-8a",JB_CC,"Electronics",JB_H,"LHA",JB_CE,"Announcing Systems AN/SIA-127H",JB_RC,"ALT")</f>
        <v/>
      </c>
      <c r="I136" s="37">
        <f>IFERROR(H136/H$180,0)</f>
        <v/>
      </c>
      <c r="K136" s="52" t="inlineStr">
        <is>
          <t xml:space="preserve">  MK 41 Vertical Launch System (VLS)- 32 Cell</t>
        </is>
      </c>
      <c r="L136" s="52" t="inlineStr">
        <is>
          <t>Ordnance</t>
        </is>
      </c>
      <c r="M136" s="53">
        <f>SUMIFS(JB_26BV,JB_B,1,JB_EX,"P-8a",JB_CC,"Ordnance",JB_H,"FFG",JB_CE,"MK 41 Vertical Launch System (VLS)- 32 Cell",JB_RC,"ALT")</f>
        <v/>
      </c>
      <c r="N136" s="37">
        <f>IFERROR(M136/M$180,0)</f>
        <v/>
      </c>
      <c r="P136" s="52" t="inlineStr">
        <is>
          <t xml:space="preserve">  RADIAC</t>
        </is>
      </c>
      <c r="Q136" s="52" t="inlineStr">
        <is>
          <t>Electronics</t>
        </is>
      </c>
      <c r="R136" s="53">
        <f>SUMIFS(JB_26BV,JB_B,1,JB_EX,"P-8a",JB_CC,"Electronics",JB_H,"LPD",JB_CE,"RADIAC",JB_RC,"ALT")</f>
        <v/>
      </c>
      <c r="S136" s="37">
        <f>IFERROR(R136/R$180,0)</f>
        <v/>
      </c>
    </row>
    <row r="137" ht="10" customHeight="1">
      <c r="A137" s="52" t="inlineStr">
        <is>
          <t xml:space="preserve">  DDG 1002 UNIVERSAL CANISTER ELECTRICAL UNITS (UCEU)</t>
        </is>
      </c>
      <c r="B137" s="52" t="inlineStr">
        <is>
          <t>Electronics</t>
        </is>
      </c>
      <c r="C137" s="53">
        <f>SUMIFS(JB_26BV,JB_B,1,JB_EX,"P-8a",JB_CC,"Electronics",JB_H,"DDG",JB_CE,"DDG 1002 UNIVERSAL CANISTER ELECTRICAL UNITS (UCEU)",JB_RC,"ALT")</f>
        <v/>
      </c>
      <c r="D137" s="37">
        <f>IFERROR(C137/C$180,0)</f>
        <v/>
      </c>
      <c r="F137" s="52" t="inlineStr">
        <is>
          <t xml:space="preserve">  SATCC</t>
        </is>
      </c>
      <c r="G137" s="52" t="inlineStr">
        <is>
          <t>Electronics</t>
        </is>
      </c>
      <c r="H137" s="53">
        <f>SUMIFS(JB_26BV,JB_B,1,JB_EX,"P-8a",JB_CC,"Electronics",JB_H,"LHA",JB_CE,"SATCC",JB_RC,"ALT")</f>
        <v/>
      </c>
      <c r="I137" s="37">
        <f>IFERROR(H137/H$180,0)</f>
        <v/>
      </c>
      <c r="K137" s="52" t="inlineStr">
        <is>
          <t xml:space="preserve">  MK 48 Gun Weapon System (GWS)</t>
        </is>
      </c>
      <c r="L137" s="52" t="inlineStr">
        <is>
          <t>Ordnance</t>
        </is>
      </c>
      <c r="M137" s="53">
        <f>SUMIFS(JB_26BV,JB_B,1,JB_EX,"P-8a",JB_CC,"Ordnance",JB_H,"FFG",JB_CE,"MK 48 Gun Weapon System (GWS)",JB_RC,"ALT")</f>
        <v/>
      </c>
      <c r="N137" s="37">
        <f>IFERROR(M137/M$180,0)</f>
        <v/>
      </c>
      <c r="P137" s="49" t="inlineStr">
        <is>
          <t>Hull, Mechanical, and Electrical</t>
        </is>
      </c>
      <c r="R137" s="50">
        <f>SUM(R138:R145)</f>
        <v/>
      </c>
      <c r="S137" s="51">
        <f>IFERROR(R137/R$180,0)</f>
        <v/>
      </c>
    </row>
    <row r="138" ht="10" customHeight="1">
      <c r="A138" s="52" t="inlineStr">
        <is>
          <t xml:space="preserve">  AN/UPX 29(V) IFF and TACAN</t>
        </is>
      </c>
      <c r="B138" s="52" t="inlineStr">
        <is>
          <t>Electronics</t>
        </is>
      </c>
      <c r="C138" s="53">
        <f>SUMIFS(JB_26BV,JB_B,1,JB_EX,"P-8a",JB_CC,"Electronics",JB_H,"DDG",JB_CE,"AN/UPX 29(V) IFF and TACAN",JB_RC,"ALT")</f>
        <v/>
      </c>
      <c r="D138" s="37">
        <f>IFERROR(C138/C$180,0)</f>
        <v/>
      </c>
      <c r="F138" s="52" t="inlineStr">
        <is>
          <t xml:space="preserve">  Amphibious Assault Direction System (AADS)</t>
        </is>
      </c>
      <c r="G138" s="52" t="inlineStr">
        <is>
          <t>Electronics</t>
        </is>
      </c>
      <c r="H138" s="53">
        <f>SUMIFS(JB_26BV,JB_B,1,JB_EX,"P-8a",JB_CC,"Electronics",JB_H,"LHA",JB_CE,"Amphibious Assault Direction System (AADS)",JB_RC,"ALT")</f>
        <v/>
      </c>
      <c r="I138" s="37">
        <f>IFERROR(H138/H$180,0)</f>
        <v/>
      </c>
      <c r="K138" s="52" t="inlineStr">
        <is>
          <t xml:space="preserve">  Other Ordnance</t>
        </is>
      </c>
      <c r="L138" s="52" t="inlineStr">
        <is>
          <t>Ordnance</t>
        </is>
      </c>
      <c r="M138" s="53">
        <f>SUMIFS(JB_26BV,JB_B,1,JB_EX,"P-8a",JB_CC,"Ordnance",JB_H,"FFG",JB_CE,"Other Ordnance",JB_RC,"ALT")</f>
        <v/>
      </c>
      <c r="N138" s="37">
        <f>IFERROR(M138/M$180,0)</f>
        <v/>
      </c>
      <c r="P138" s="52" t="inlineStr">
        <is>
          <t xml:space="preserve">  Unclassified Video System (UVS)</t>
        </is>
      </c>
      <c r="Q138" s="52" t="inlineStr">
        <is>
          <t>Hull, Mechanical, and Electrical</t>
        </is>
      </c>
      <c r="R138" s="53">
        <f>SUMIFS(JB_26BV,JB_B,1,JB_EX,"P-8a",JB_CC,"Hull, Mechanical, and Electrical",JB_H,"LPD",JB_CE,"Unclassified Video System (UVS)",JB_RC,"ALT")</f>
        <v/>
      </c>
      <c r="S138" s="37">
        <f>IFERROR(R138/R$180,0)</f>
        <v/>
      </c>
    </row>
    <row r="139" ht="10" customHeight="1">
      <c r="A139" s="52" t="inlineStr">
        <is>
          <t xml:space="preserve">  SRQ 4 LAMPS III</t>
        </is>
      </c>
      <c r="B139" s="52" t="inlineStr">
        <is>
          <t>Electronics</t>
        </is>
      </c>
      <c r="C139" s="53">
        <f>SUMIFS(JB_26BV,JB_B,1,JB_EX,"P-8a",JB_CC,"Electronics",JB_H,"DDG",JB_CE,"SRQ 4 LAMPS III",JB_RC,"ALT")</f>
        <v/>
      </c>
      <c r="D139" s="37">
        <f>IFERROR(C139/C$180,0)</f>
        <v/>
      </c>
      <c r="F139" s="52" t="inlineStr">
        <is>
          <t xml:space="preserve">  30 TV</t>
        </is>
      </c>
      <c r="G139" s="52" t="inlineStr">
        <is>
          <t>Electronics</t>
        </is>
      </c>
      <c r="H139" s="53">
        <f>SUMIFS(JB_26BV,JB_B,1,JB_EX,"P-8a",JB_CC,"Electronics",JB_H,"LHA",JB_CE,"30 TV",JB_RC,"ALT")</f>
        <v/>
      </c>
      <c r="I139" s="37">
        <f>IFERROR(H139/H$180,0)</f>
        <v/>
      </c>
      <c r="K139" s="52" t="inlineStr">
        <is>
          <t xml:space="preserve">  MK 53 Decoy Launching System (DLS) (Nulka)- 4 Launcher</t>
        </is>
      </c>
      <c r="L139" s="52" t="inlineStr">
        <is>
          <t>Ordnance</t>
        </is>
      </c>
      <c r="M139" s="53">
        <f>SUMIFS(JB_26BV,JB_B,1,JB_EX,"P-8a",JB_CC,"Ordnance",JB_H,"FFG",JB_CE,"MK 53 Decoy Launching System (DLS) (Nulka)- 4 Launcher",JB_RC,"ALT")</f>
        <v/>
      </c>
      <c r="N139" s="37">
        <f>IFERROR(M139/M$180,0)</f>
        <v/>
      </c>
      <c r="P139" s="52" t="inlineStr">
        <is>
          <t xml:space="preserve">  Forklift Trucks</t>
        </is>
      </c>
      <c r="Q139" s="52" t="inlineStr">
        <is>
          <t>Hull, Mechanical, and Electrical</t>
        </is>
      </c>
      <c r="R139" s="53">
        <f>SUMIFS(JB_26BV,JB_B,1,JB_EX,"P-8a",JB_CC,"Hull, Mechanical, and Electrical",JB_H,"LPD",JB_CE,"Forklift Trucks",JB_RC,"ALT")</f>
        <v/>
      </c>
      <c r="S139" s="37">
        <f>IFERROR(R139/R$180,0)</f>
        <v/>
      </c>
    </row>
    <row r="140" ht="10" customHeight="1">
      <c r="A140" s="52" t="inlineStr">
        <is>
          <t xml:space="preserve">  CEC</t>
        </is>
      </c>
      <c r="B140" s="52" t="inlineStr">
        <is>
          <t>Electronics</t>
        </is>
      </c>
      <c r="C140" s="53">
        <f>SUMIFS(JB_26BV,JB_B,1,JB_EX,"P-8a",JB_CC,"Electronics",JB_H,"DDG",JB_CE,"CEC",JB_RC,"ALT")</f>
        <v/>
      </c>
      <c r="D140" s="37">
        <f>IFERROR(C140/C$180,0)</f>
        <v/>
      </c>
      <c r="F140" s="52" t="inlineStr">
        <is>
          <t xml:space="preserve">  MK 53 NULKA Decoy Launching System (DLS) Mod 3</t>
        </is>
      </c>
      <c r="G140" s="52" t="inlineStr">
        <is>
          <t>Electronics</t>
        </is>
      </c>
      <c r="H140" s="53">
        <f>SUMIFS(JB_26BV,JB_B,1,JB_EX,"P-8a",JB_CC,"Electronics",JB_H,"LHA",JB_CE,"MK 53 NULKA Decoy Launching System (DLS) Mod 3",JB_RC,"ALT")</f>
        <v/>
      </c>
      <c r="I140" s="37">
        <f>IFERROR(H140/H$180,0)</f>
        <v/>
      </c>
      <c r="P140" s="52" t="inlineStr">
        <is>
          <t xml:space="preserve">  Chemical Warfare Detectors</t>
        </is>
      </c>
      <c r="Q140" s="52" t="inlineStr">
        <is>
          <t>Hull, Mechanical, and Electrical</t>
        </is>
      </c>
      <c r="R140" s="53">
        <f>SUMIFS(JB_26BV,JB_B,1,JB_EX,"P-8a",JB_CC,"Hull, Mechanical, and Electrical",JB_H,"LPD",JB_CE,"Chemical Warfare Detectors",JB_RC,"ALT")</f>
        <v/>
      </c>
      <c r="S140" s="37">
        <f>IFERROR(R140/R$180,0)</f>
        <v/>
      </c>
    </row>
    <row r="141" ht="10" customHeight="1">
      <c r="A141" s="52" t="inlineStr">
        <is>
          <t xml:space="preserve">  SURFACE ELECTRONIC WARFARE IMPROVEMENT PROGRAM (SEWIP)</t>
        </is>
      </c>
      <c r="B141" s="52" t="inlineStr">
        <is>
          <t>Electronics</t>
        </is>
      </c>
      <c r="C141" s="53">
        <f>SUMIFS(JB_26BV,JB_B,1,JB_EX,"P-8a",JB_CC,"Electronics",JB_H,"DDG",JB_CE,"SURFACE ELECTRONIC WARFARE IMPROVEMENT PROGRAM (SEWIP)",JB_RC,"ALT")</f>
        <v/>
      </c>
      <c r="D141" s="37">
        <f>IFERROR(C141/C$180,0)</f>
        <v/>
      </c>
      <c r="F141" s="52" t="inlineStr">
        <is>
          <t xml:space="preserve">  Next Generation Navigational Radar</t>
        </is>
      </c>
      <c r="G141" s="52" t="inlineStr">
        <is>
          <t>Electronics</t>
        </is>
      </c>
      <c r="H141" s="53">
        <f>SUMIFS(JB_26BV,JB_B,1,JB_EX,"P-8a",JB_CC,"Electronics",JB_H,"LHA",JB_CE,"Next Generation Navigational Radar",JB_RC,"ALT")</f>
        <v/>
      </c>
      <c r="I141" s="37">
        <f>IFERROR(H141/H$180,0)</f>
        <v/>
      </c>
      <c r="P141" s="52" t="inlineStr">
        <is>
          <t xml:space="preserve">  Motor Operated Pilot Valve (MOPV)</t>
        </is>
      </c>
      <c r="Q141" s="52" t="inlineStr">
        <is>
          <t>Hull, Mechanical, and Electrical</t>
        </is>
      </c>
      <c r="R141" s="53">
        <f>SUMIFS(JB_26BV,JB_B,1,JB_EX,"P-8a",JB_CC,"Hull, Mechanical, and Electrical",JB_H,"LPD",JB_CE,"Motor Operated Pilot Valve (MOPV)",JB_RC,"ALT")</f>
        <v/>
      </c>
      <c r="S141" s="37">
        <f>IFERROR(R141/R$180,0)</f>
        <v/>
      </c>
    </row>
    <row r="142" ht="10" customHeight="1">
      <c r="A142" s="52" t="inlineStr">
        <is>
          <t xml:space="preserve">  COMMON ARRAY POWER SYSTEM (CAPS)</t>
        </is>
      </c>
      <c r="B142" s="52" t="inlineStr">
        <is>
          <t>Electronics</t>
        </is>
      </c>
      <c r="C142" s="53">
        <f>SUMIFS(JB_26BV,JB_B,1,JB_EX,"P-8a",JB_CC,"Electronics",JB_H,"DDG",JB_CE,"COMMON ARRAY POWER SYSTEM (CAPS)",JB_RC,"ALT")</f>
        <v/>
      </c>
      <c r="D142" s="37">
        <f>IFERROR(C142/C$180,0)</f>
        <v/>
      </c>
      <c r="F142" s="52" t="inlineStr">
        <is>
          <t xml:space="preserve">  AN/USQ-T46(V), Battle Force Tactical Training (BFTT)</t>
        </is>
      </c>
      <c r="G142" s="52" t="inlineStr">
        <is>
          <t>Electronics</t>
        </is>
      </c>
      <c r="H142" s="53">
        <f>SUMIFS(JB_26BV,JB_B,1,JB_EX,"P-8a",JB_CC,"Electronics",JB_H,"LHA",JB_CE,"AN/USQ-T46(V), Battle Force Tactical Training (BFTT)",JB_RC,"ALT")</f>
        <v/>
      </c>
      <c r="I142" s="37">
        <f>IFERROR(H142/H$180,0)</f>
        <v/>
      </c>
      <c r="P142" s="52" t="inlineStr">
        <is>
          <t xml:space="preserve">  Plastic Waste Processing EQP</t>
        </is>
      </c>
      <c r="Q142" s="52" t="inlineStr">
        <is>
          <t>Hull, Mechanical, and Electrical</t>
        </is>
      </c>
      <c r="R142" s="53">
        <f>SUMIFS(JB_26BV,JB_B,1,JB_EX,"P-8a",JB_CC,"Hull, Mechanical, and Electrical",JB_H,"LPD",JB_CE,"Plastic Waste Processing EQP",JB_RC,"ALT")</f>
        <v/>
      </c>
      <c r="S142" s="37">
        <f>IFERROR(R142/R$180,0)</f>
        <v/>
      </c>
    </row>
    <row r="143" ht="10" customHeight="1">
      <c r="A143" s="52" t="inlineStr">
        <is>
          <t xml:space="preserve">  NAVIGATION SYSTEM</t>
        </is>
      </c>
      <c r="B143" s="52" t="inlineStr">
        <is>
          <t>Electronics</t>
        </is>
      </c>
      <c r="C143" s="53">
        <f>SUMIFS(JB_26BV,JB_B,1,JB_EX,"P-8a",JB_CC,"Electronics",JB_H,"DDG",JB_CE,"NAVIGATION SYSTEM",JB_RC,"ALT")</f>
        <v/>
      </c>
      <c r="D143" s="37">
        <f>IFERROR(C143/C$180,0)</f>
        <v/>
      </c>
      <c r="F143" s="52" t="inlineStr">
        <is>
          <t xml:space="preserve">  Digital Photo Lab</t>
        </is>
      </c>
      <c r="G143" s="52" t="inlineStr">
        <is>
          <t>Electronics</t>
        </is>
      </c>
      <c r="H143" s="53">
        <f>SUMIFS(JB_26BV,JB_B,1,JB_EX,"P-8a",JB_CC,"Electronics",JB_H,"LHA",JB_CE,"Digital Photo Lab",JB_RC,"ALT")</f>
        <v/>
      </c>
      <c r="I143" s="37">
        <f>IFERROR(H143/H$180,0)</f>
        <v/>
      </c>
      <c r="P143" s="52" t="inlineStr">
        <is>
          <t xml:space="preserve">  Boats (Rigid Inflatable Boat, 7 meter)</t>
        </is>
      </c>
      <c r="Q143" s="52" t="inlineStr">
        <is>
          <t>Hull, Mechanical, and Electrical</t>
        </is>
      </c>
      <c r="R143" s="53">
        <f>SUMIFS(JB_26BV,JB_B,1,JB_EX,"P-8a",JB_CC,"Hull, Mechanical, and Electrical",JB_H,"LPD",JB_CE,"Boats (Rigid Inflatable Boat, 7 meter)",JB_RC,"ALT")</f>
        <v/>
      </c>
      <c r="S143" s="37">
        <f>IFERROR(R143/R$180,0)</f>
        <v/>
      </c>
    </row>
    <row r="144" ht="10" customHeight="1">
      <c r="A144" s="52" t="inlineStr">
        <is>
          <t xml:space="preserve">  MIDS</t>
        </is>
      </c>
      <c r="B144" s="52" t="inlineStr">
        <is>
          <t>Electronics</t>
        </is>
      </c>
      <c r="C144" s="53">
        <f>SUMIFS(JB_26BV,JB_B,1,JB_EX,"P-8a",JB_CC,"Electronics",JB_H,"DDG",JB_CE,"MIDS",JB_RC,"ALT")</f>
        <v/>
      </c>
      <c r="D144" s="37">
        <f>IFERROR(C144/C$180,0)</f>
        <v/>
      </c>
      <c r="F144" s="52" t="inlineStr">
        <is>
          <t xml:space="preserve">  Print Shop</t>
        </is>
      </c>
      <c r="G144" s="52" t="inlineStr">
        <is>
          <t>Electronics</t>
        </is>
      </c>
      <c r="H144" s="53">
        <f>SUMIFS(JB_26BV,JB_B,1,JB_EX,"P-8a",JB_CC,"Electronics",JB_H,"LHA",JB_CE,"Print Shop",JB_RC,"ALT")</f>
        <v/>
      </c>
      <c r="I144" s="37">
        <f>IFERROR(H144/H$180,0)</f>
        <v/>
      </c>
      <c r="P144" s="52" t="inlineStr">
        <is>
          <t xml:space="preserve">  Military Payroll System</t>
        </is>
      </c>
      <c r="Q144" s="52" t="inlineStr">
        <is>
          <t>Hull, Mechanical, and Electrical</t>
        </is>
      </c>
      <c r="R144" s="53">
        <f>SUMIFS(JB_26BV,JB_B,1,JB_EX,"P-8a",JB_CC,"Hull, Mechanical, and Electrical",JB_H,"LPD",JB_CE,"Military Payroll System",JB_RC,"ALT")</f>
        <v/>
      </c>
      <c r="S144" s="37">
        <f>IFERROR(R144/R$180,0)</f>
        <v/>
      </c>
    </row>
    <row r="145" ht="10" customHeight="1">
      <c r="A145" s="52" t="inlineStr">
        <is>
          <t xml:space="preserve">  SLQ 25 NIXIE</t>
        </is>
      </c>
      <c r="B145" s="52" t="inlineStr">
        <is>
          <t>Electronics</t>
        </is>
      </c>
      <c r="C145" s="53">
        <f>SUMIFS(JB_26BV,JB_B,1,JB_EX,"P-8a",JB_CC,"Electronics",JB_H,"DDG",JB_CE,"SLQ 25 NIXIE",JB_RC,"ALT")</f>
        <v/>
      </c>
      <c r="D145" s="37">
        <f>IFERROR(C145/C$180,0)</f>
        <v/>
      </c>
      <c r="F145" s="49" t="inlineStr">
        <is>
          <t>Hull, Mechanical, and Electrical</t>
        </is>
      </c>
      <c r="H145" s="50">
        <f>SUM(H146:H148)</f>
        <v/>
      </c>
      <c r="I145" s="51">
        <f>IFERROR(H145/H$180,0)</f>
        <v/>
      </c>
      <c r="P145" s="52" t="inlineStr">
        <is>
          <t xml:space="preserve">  Oily Water Separator</t>
        </is>
      </c>
      <c r="Q145" s="52" t="inlineStr">
        <is>
          <t>Hull, Mechanical, and Electrical</t>
        </is>
      </c>
      <c r="R145" s="53">
        <f>SUMIFS(JB_26BV,JB_B,1,JB_EX,"P-8a",JB_CC,"Hull, Mechanical, and Electrical",JB_H,"LPD",JB_CE,"Oily Water Separator",JB_RC,"ALT")</f>
        <v/>
      </c>
      <c r="S145" s="37">
        <f>IFERROR(R145/R$180,0)</f>
        <v/>
      </c>
    </row>
    <row r="146" ht="10" customHeight="1">
      <c r="A146" s="52" t="inlineStr">
        <is>
          <t xml:space="preserve">  NGSSR</t>
        </is>
      </c>
      <c r="B146" s="52" t="inlineStr">
        <is>
          <t>Electronics</t>
        </is>
      </c>
      <c r="C146" s="53">
        <f>SUMIFS(JB_26BV,JB_B,1,JB_EX,"P-8a",JB_CC,"Electronics",JB_H,"DDG",JB_CE,"NGSSR",JB_RC,"ALT")</f>
        <v/>
      </c>
      <c r="D146" s="37">
        <f>IFERROR(C146/C$180,0)</f>
        <v/>
      </c>
      <c r="F146" s="52" t="inlineStr">
        <is>
          <t xml:space="preserve">  Equipment &amp; Engineering</t>
        </is>
      </c>
      <c r="G146" s="52" t="inlineStr">
        <is>
          <t>Hull, Mechanical, and Electrical</t>
        </is>
      </c>
      <c r="H146" s="53">
        <f>SUMIFS(JB_26BV,JB_B,1,JB_EX,"P-8a",JB_CC,"Hull, Mechanical, and Electrical",JB_H,"LHA",JB_CE,"Equipment &amp; Engineering",JB_RC,"ALT")</f>
        <v/>
      </c>
      <c r="I146" s="37">
        <f>IFERROR(H146/H$180,0)</f>
        <v/>
      </c>
      <c r="P146" s="49" t="inlineStr">
        <is>
          <t>Ordnance</t>
        </is>
      </c>
      <c r="R146" s="50">
        <f>SUM(R147:R154)</f>
        <v/>
      </c>
      <c r="S146" s="51">
        <f>IFERROR(R146/R$180,0)</f>
        <v/>
      </c>
    </row>
    <row r="147" ht="10" customHeight="1">
      <c r="A147" s="52" t="inlineStr">
        <is>
          <t xml:space="preserve">  COOPERATIVE ENGAGEMENT CAPABILITY (CEC)</t>
        </is>
      </c>
      <c r="B147" s="52" t="inlineStr">
        <is>
          <t>Electronics</t>
        </is>
      </c>
      <c r="C147" s="53">
        <f>SUMIFS(JB_26BV,JB_B,1,JB_EX,"P-8a",JB_CC,"Electronics",JB_H,"DDG",JB_CE,"COOPERATIVE ENGAGEMENT CAPABILITY (CEC)",JB_RC,"ALT")</f>
        <v/>
      </c>
      <c r="D147" s="37">
        <f>IFERROR(C147/C$180,0)</f>
        <v/>
      </c>
      <c r="F147" s="52" t="inlineStr">
        <is>
          <t xml:space="preserve">  Test &amp; Instrumentation</t>
        </is>
      </c>
      <c r="G147" s="52" t="inlineStr">
        <is>
          <t>Hull, Mechanical, and Electrical</t>
        </is>
      </c>
      <c r="H147" s="53">
        <f>SUMIFS(JB_26BV,JB_B,1,JB_EX,"P-8a",JB_CC,"Hull, Mechanical, and Electrical",JB_H,"LHA",JB_CE,"Test &amp; Instrumentation",JB_RC,"ALT")</f>
        <v/>
      </c>
      <c r="I147" s="37">
        <f>IFERROR(H147/H$180,0)</f>
        <v/>
      </c>
      <c r="P147" s="52" t="inlineStr">
        <is>
          <t xml:space="preserve">  EASR</t>
        </is>
      </c>
      <c r="Q147" s="52" t="inlineStr">
        <is>
          <t>Ordnance</t>
        </is>
      </c>
      <c r="R147" s="53">
        <f>SUMIFS(JB_26BV,JB_B,1,JB_EX,"P-8a",JB_CC,"Ordnance",JB_H,"LPD",JB_CE,"EASR",JB_RC,"ALT")</f>
        <v/>
      </c>
      <c r="S147" s="37">
        <f>IFERROR(R147/R$180,0)</f>
        <v/>
      </c>
    </row>
    <row r="148" ht="10" customHeight="1">
      <c r="A148" s="52" t="inlineStr">
        <is>
          <t xml:space="preserve">  MK 53 NULKA</t>
        </is>
      </c>
      <c r="B148" s="52" t="inlineStr">
        <is>
          <t>Electronics</t>
        </is>
      </c>
      <c r="C148" s="53">
        <f>SUMIFS(JB_26BV,JB_B,1,JB_EX,"P-8a",JB_CC,"Electronics",JB_H,"DDG",JB_CE,"MK 53 NULKA",JB_RC,"ALT")</f>
        <v/>
      </c>
      <c r="D148" s="37">
        <f>IFERROR(C148/C$180,0)</f>
        <v/>
      </c>
      <c r="F148" s="52" t="inlineStr">
        <is>
          <t xml:space="preserve">  SUPSHIP Material/Services</t>
        </is>
      </c>
      <c r="G148" s="52" t="inlineStr">
        <is>
          <t>Hull, Mechanical, and Electrical</t>
        </is>
      </c>
      <c r="H148" s="53">
        <f>SUMIFS(JB_26BV,JB_B,1,JB_EX,"P-8a",JB_CC,"Hull, Mechanical, and Electrical",JB_H,"LHA",JB_CE,"SUPSHIP Material/Services",JB_RC,"ALT")</f>
        <v/>
      </c>
      <c r="I148" s="37">
        <f>IFERROR(H148/H$180,0)</f>
        <v/>
      </c>
      <c r="P148" s="52" t="inlineStr">
        <is>
          <t xml:space="preserve">  RAM BLOCK II</t>
        </is>
      </c>
      <c r="Q148" s="52" t="inlineStr">
        <is>
          <t>Ordnance</t>
        </is>
      </c>
      <c r="R148" s="53">
        <f>SUMIFS(JB_26BV,JB_B,1,JB_EX,"P-8a",JB_CC,"Ordnance",JB_H,"LPD",JB_CE,"RAM BLOCK II",JB_RC,"ALT")</f>
        <v/>
      </c>
      <c r="S148" s="37">
        <f>IFERROR(R148/R$180,0)</f>
        <v/>
      </c>
    </row>
    <row r="149" ht="10" customHeight="1">
      <c r="A149" s="52" t="inlineStr">
        <is>
          <t xml:space="preserve">  TSA ANTENNA</t>
        </is>
      </c>
      <c r="B149" s="52" t="inlineStr">
        <is>
          <t>Electronics</t>
        </is>
      </c>
      <c r="C149" s="53">
        <f>SUMIFS(JB_26BV,JB_B,1,JB_EX,"P-8a",JB_CC,"Electronics",JB_H,"DDG",JB_CE,"TSA ANTENNA",JB_RC,"ALT")</f>
        <v/>
      </c>
      <c r="D149" s="37">
        <f>IFERROR(C149/C$180,0)</f>
        <v/>
      </c>
      <c r="F149" s="49" t="inlineStr">
        <is>
          <t>Ordnance</t>
        </is>
      </c>
      <c r="H149" s="50">
        <f>SUM(H150:H160)</f>
        <v/>
      </c>
      <c r="I149" s="51">
        <f>IFERROR(H149/H$180,0)</f>
        <v/>
      </c>
      <c r="P149" s="52" t="inlineStr">
        <is>
          <t xml:space="preserve">  MISCELLANEOUS ORDNANCE</t>
        </is>
      </c>
      <c r="Q149" s="52" t="inlineStr">
        <is>
          <t>Ordnance</t>
        </is>
      </c>
      <c r="R149" s="53">
        <f>SUMIFS(JB_26BV,JB_B,1,JB_EX,"P-8a",JB_CC,"Ordnance",JB_H,"LPD",JB_CE,"MISCELLANEOUS ORDNANCE",JB_RC,"ALT")</f>
        <v/>
      </c>
      <c r="S149" s="37">
        <f>IFERROR(R149/R$180,0)</f>
        <v/>
      </c>
    </row>
    <row r="150" ht="10" customHeight="1">
      <c r="A150" s="52" t="inlineStr">
        <is>
          <t xml:space="preserve">  SPARES</t>
        </is>
      </c>
      <c r="B150" s="52" t="inlineStr">
        <is>
          <t>Electronics</t>
        </is>
      </c>
      <c r="C150" s="53">
        <f>SUMIFS(JB_26BV,JB_B,1,JB_EX,"P-8a",JB_CC,"Electronics",JB_H,"DDG",JB_CE,"SPARES",JB_RC,"ALT")</f>
        <v/>
      </c>
      <c r="D150" s="37">
        <f>IFERROR(C150/C$180,0)</f>
        <v/>
      </c>
      <c r="F150" s="52" t="inlineStr">
        <is>
          <t xml:space="preserve">  Enterprise Air Surveillance Radar (EASR)</t>
        </is>
      </c>
      <c r="G150" s="52" t="inlineStr">
        <is>
          <t>Ordnance</t>
        </is>
      </c>
      <c r="H150" s="53">
        <f>SUMIFS(JB_26BV,JB_B,1,JB_EX,"P-8a",JB_CC,"Ordnance",JB_H,"LHA",JB_CE,"Enterprise Air Surveillance Radar (EASR)",JB_RC,"ALT")</f>
        <v/>
      </c>
      <c r="I150" s="37">
        <f>IFERROR(H150/H$180,0)</f>
        <v/>
      </c>
      <c r="P150" s="52" t="inlineStr">
        <is>
          <t xml:space="preserve">  MK 46 GUN</t>
        </is>
      </c>
      <c r="Q150" s="52" t="inlineStr">
        <is>
          <t>Ordnance</t>
        </is>
      </c>
      <c r="R150" s="53">
        <f>SUMIFS(JB_26BV,JB_B,1,JB_EX,"P-8a",JB_CC,"Ordnance",JB_H,"LPD",JB_CE,"MK 46 GUN",JB_RC,"ALT")</f>
        <v/>
      </c>
      <c r="S150" s="37">
        <f>IFERROR(R150/R$180,0)</f>
        <v/>
      </c>
    </row>
    <row r="151" ht="10" customHeight="1">
      <c r="A151" s="52" t="inlineStr">
        <is>
          <t xml:space="preserve">  COMMON ARRAY COOLING SYSTEM (CACS)</t>
        </is>
      </c>
      <c r="B151" s="52" t="inlineStr">
        <is>
          <t>Electronics</t>
        </is>
      </c>
      <c r="C151" s="53">
        <f>SUMIFS(JB_26BV,JB_B,1,JB_EX,"P-8a",JB_CC,"Electronics",JB_H,"DDG",JB_CE,"COMMON ARRAY COOLING SYSTEM (CACS)",JB_RC,"ALT")</f>
        <v/>
      </c>
      <c r="D151" s="37">
        <f>IFERROR(C151/C$180,0)</f>
        <v/>
      </c>
      <c r="F151" s="52" t="inlineStr">
        <is>
          <t xml:space="preserve">  NATO Sea Sparrow Missile System (NSSMS) MK 57 Mod 14</t>
        </is>
      </c>
      <c r="G151" s="52" t="inlineStr">
        <is>
          <t>Ordnance</t>
        </is>
      </c>
      <c r="H151" s="53">
        <f>SUMIFS(JB_26BV,JB_B,1,JB_EX,"P-8a",JB_CC,"Ordnance",JB_H,"LHA",JB_CE,"NATO Sea Sparrow Missile System (NSSMS) MK 57 Mod 14",JB_RC,"ALT")</f>
        <v/>
      </c>
      <c r="I151" s="37">
        <f>IFERROR(H151/H$180,0)</f>
        <v/>
      </c>
      <c r="P151" s="52" t="inlineStr">
        <is>
          <t xml:space="preserve">  AN/SPQ-9B Radar Set</t>
        </is>
      </c>
      <c r="Q151" s="52" t="inlineStr">
        <is>
          <t>Ordnance</t>
        </is>
      </c>
      <c r="R151" s="53">
        <f>SUMIFS(JB_26BV,JB_B,1,JB_EX,"P-8a",JB_CC,"Ordnance",JB_H,"LPD",JB_CE,"AN/SPQ-9B Radar Set",JB_RC,"ALT")</f>
        <v/>
      </c>
      <c r="S151" s="37">
        <f>IFERROR(R151/R$180,0)</f>
        <v/>
      </c>
    </row>
    <row r="152" ht="10" customHeight="1">
      <c r="A152" s="49" t="inlineStr">
        <is>
          <t>Hull, Mechanical, and Electrical</t>
        </is>
      </c>
      <c r="C152" s="50">
        <f>SUM(C153:C162)</f>
        <v/>
      </c>
      <c r="D152" s="51">
        <f>IFERROR(C152/C$180,0)</f>
        <v/>
      </c>
      <c r="F152" s="52" t="inlineStr">
        <is>
          <t xml:space="preserve">  MK31 Mod 3, Rolling Airframe Missile (RAM) (Tech Refresh)</t>
        </is>
      </c>
      <c r="G152" s="52" t="inlineStr">
        <is>
          <t>Ordnance</t>
        </is>
      </c>
      <c r="H152" s="53">
        <f>SUMIFS(JB_26BV,JB_B,1,JB_EX,"P-8a",JB_CC,"Ordnance",JB_H,"LHA",JB_CE,"MK31 Mod 3, Rolling Airframe Missile (RAM) (Tech Refresh)",JB_RC,"ALT")</f>
        <v/>
      </c>
      <c r="I152" s="37">
        <f>IFERROR(H152/H$180,0)</f>
        <v/>
      </c>
      <c r="P152" s="52" t="inlineStr">
        <is>
          <t xml:space="preserve">  ASGSI/HOSS/MWS Fit Control &amp; Inst Land Sys</t>
        </is>
      </c>
      <c r="Q152" s="52" t="inlineStr">
        <is>
          <t>Ordnance</t>
        </is>
      </c>
      <c r="R152" s="53">
        <f>SUMIFS(JB_26BV,JB_B,1,JB_EX,"P-8a",JB_CC,"Ordnance",JB_H,"LPD",JB_CE,"ASGSI/HOSS/MWS Fit Control &amp; Inst Land Sys",JB_RC,"ALT")</f>
        <v/>
      </c>
      <c r="S152" s="37">
        <f>IFERROR(R152/R$180,0)</f>
        <v/>
      </c>
    </row>
    <row r="153" ht="10" customHeight="1">
      <c r="A153" s="52" t="inlineStr">
        <is>
          <t xml:space="preserve">  MISC. HM&amp;E</t>
        </is>
      </c>
      <c r="B153" s="52" t="inlineStr">
        <is>
          <t>Hull, Mechanical, and Electrical</t>
        </is>
      </c>
      <c r="C153" s="53">
        <f>SUMIFS(JB_26BV,JB_B,1,JB_EX,"P-8a",JB_CC,"Hull, Mechanical, and Electrical",JB_H,"DDG",JB_CE,"MISC. HM&amp;E",JB_RC,"ALT")</f>
        <v/>
      </c>
      <c r="D153" s="37">
        <f>IFERROR(C153/C$180,0)</f>
        <v/>
      </c>
      <c r="F153" s="52" t="inlineStr">
        <is>
          <t xml:space="preserve">  PHALANX Block 1B MK15 Mod 21 &amp; 22, Close-in Weapon System (CIWS)</t>
        </is>
      </c>
      <c r="G153" s="52" t="inlineStr">
        <is>
          <t>Ordnance</t>
        </is>
      </c>
      <c r="H153" s="53">
        <f>SUMIFS(JB_26BV,JB_B,1,JB_EX,"P-8a",JB_CC,"Ordnance",JB_H,"LHA",JB_CE,"PHALANX Block 1B MK15 Mod 21 &amp; 22, Close-in Weapon System (CIWS)",JB_RC,"ALT")</f>
        <v/>
      </c>
      <c r="I153" s="37">
        <f>IFERROR(H153/H$180,0)</f>
        <v/>
      </c>
      <c r="P153" s="52" t="inlineStr">
        <is>
          <t xml:space="preserve">  Next Generation Surface Search Radar (NGSSR)</t>
        </is>
      </c>
      <c r="Q153" s="52" t="inlineStr">
        <is>
          <t>Ordnance</t>
        </is>
      </c>
      <c r="R153" s="53">
        <f>SUMIFS(JB_26BV,JB_B,1,JB_EX,"P-8a",JB_CC,"Ordnance",JB_H,"LPD",JB_CE,"Next Generation Surface Search Radar (NGSSR)",JB_RC,"ALT")</f>
        <v/>
      </c>
      <c r="S153" s="37">
        <f>IFERROR(R153/R$180,0)</f>
        <v/>
      </c>
    </row>
    <row r="154" ht="10" customHeight="1">
      <c r="A154" s="52" t="inlineStr">
        <is>
          <t xml:space="preserve">  MAIN TURBINE GENERATOR (MTG)</t>
        </is>
      </c>
      <c r="B154" s="52" t="inlineStr">
        <is>
          <t>Hull, Mechanical, and Electrical</t>
        </is>
      </c>
      <c r="C154" s="53">
        <f>SUMIFS(JB_26BV,JB_B,1,JB_EX,"P-8a",JB_CC,"Hull, Mechanical, and Electrical",JB_H,"DDG",JB_CE,"MAIN TURBINE GENERATOR (MTG)",JB_RC,"ALT")</f>
        <v/>
      </c>
      <c r="D154" s="37">
        <f>IFERROR(C154/C$180,0)</f>
        <v/>
      </c>
      <c r="F154" s="52" t="inlineStr">
        <is>
          <t xml:space="preserve">  Vertical/Stationary Take-Off Landing Optical Landing System (VSTOL OLS)</t>
        </is>
      </c>
      <c r="G154" s="52" t="inlineStr">
        <is>
          <t>Ordnance</t>
        </is>
      </c>
      <c r="H154" s="53">
        <f>SUMIFS(JB_26BV,JB_B,1,JB_EX,"P-8a",JB_CC,"Ordnance",JB_H,"LHA",JB_CE,"Vertical/Stationary Take-Off Landing Optical Landing System (VSTOL OLS)",JB_RC,"ALT")</f>
        <v/>
      </c>
      <c r="I154" s="37">
        <f>IFERROR(H154/H$180,0)</f>
        <v/>
      </c>
      <c r="P154" s="52" t="inlineStr">
        <is>
          <t xml:space="preserve">  ORDNANCE HANDLING EQUIPMENT</t>
        </is>
      </c>
      <c r="Q154" s="52" t="inlineStr">
        <is>
          <t>Ordnance</t>
        </is>
      </c>
      <c r="R154" s="53">
        <f>SUMIFS(JB_26BV,JB_B,1,JB_EX,"P-8a",JB_CC,"Ordnance",JB_H,"LPD",JB_CE,"ORDNANCE HANDLING EQUIPMENT",JB_RC,"ALT")</f>
        <v/>
      </c>
      <c r="S154" s="37">
        <f>IFERROR(R154/R$180,0)</f>
        <v/>
      </c>
    </row>
    <row r="155" ht="10" customHeight="1">
      <c r="A155" s="52" t="inlineStr">
        <is>
          <t xml:space="preserve">  Integrated Bridge Navigation System</t>
        </is>
      </c>
      <c r="B155" s="52" t="inlineStr">
        <is>
          <t>Hull, Mechanical, and Electrical</t>
        </is>
      </c>
      <c r="C155" s="53">
        <f>SUMIFS(JB_26BV,JB_B,1,JB_EX,"P-8a",JB_CC,"Hull, Mechanical, and Electrical",JB_H,"DDG",JB_CE,"Integrated Bridge Navigation System",JB_RC,"ALT")</f>
        <v/>
      </c>
      <c r="D155" s="37">
        <f>IFERROR(C155/C$180,0)</f>
        <v/>
      </c>
      <c r="F155" s="52" t="inlineStr">
        <is>
          <t xml:space="preserve">  Aviation Support</t>
        </is>
      </c>
      <c r="G155" s="52" t="inlineStr">
        <is>
          <t>Ordnance</t>
        </is>
      </c>
      <c r="H155" s="53">
        <f>SUMIFS(JB_26BV,JB_B,1,JB_EX,"P-8a",JB_CC,"Ordnance",JB_H,"LHA",JB_CE,"Aviation Support",JB_RC,"ALT")</f>
        <v/>
      </c>
      <c r="I155" s="37">
        <f>IFERROR(H155/H$180,0)</f>
        <v/>
      </c>
    </row>
    <row r="156" ht="10" customHeight="1">
      <c r="A156" s="52" t="inlineStr">
        <is>
          <t xml:space="preserve">  STC 3 IVCS</t>
        </is>
      </c>
      <c r="B156" s="52" t="inlineStr">
        <is>
          <t>Hull, Mechanical, and Electrical</t>
        </is>
      </c>
      <c r="C156" s="53">
        <f>SUMIFS(JB_26BV,JB_B,1,JB_EX,"P-8a",JB_CC,"Hull, Mechanical, and Electrical",JB_H,"DDG",JB_CE,"STC 3 IVCS",JB_RC,"ALT")</f>
        <v/>
      </c>
      <c r="D156" s="37">
        <f>IFERROR(C156/C$180,0)</f>
        <v/>
      </c>
      <c r="F156" s="52" t="inlineStr">
        <is>
          <t xml:space="preserve">  AN/SPQ-9B Radar Set</t>
        </is>
      </c>
      <c r="G156" s="52" t="inlineStr">
        <is>
          <t>Ordnance</t>
        </is>
      </c>
      <c r="H156" s="53">
        <f>SUMIFS(JB_26BV,JB_B,1,JB_EX,"P-8a",JB_CC,"Ordnance",JB_H,"LHA",JB_CE,"AN/SPQ-9B Radar Set",JB_RC,"ALT")</f>
        <v/>
      </c>
      <c r="I156" s="37">
        <f>IFERROR(H156/H$180,0)</f>
        <v/>
      </c>
    </row>
    <row r="157" ht="10" customHeight="1">
      <c r="A157" s="52" t="inlineStr">
        <is>
          <t xml:space="preserve">  Machinery Control System</t>
        </is>
      </c>
      <c r="B157" s="52" t="inlineStr">
        <is>
          <t>Hull, Mechanical, and Electrical</t>
        </is>
      </c>
      <c r="C157" s="53">
        <f>SUMIFS(JB_26BV,JB_B,1,JB_EX,"P-8a",JB_CC,"Hull, Mechanical, and Electrical",JB_H,"DDG",JB_CE,"Machinery Control System",JB_RC,"ALT")</f>
        <v/>
      </c>
      <c r="D157" s="37">
        <f>IFERROR(C157/C$180,0)</f>
        <v/>
      </c>
      <c r="F157" s="52" t="inlineStr">
        <is>
          <t xml:space="preserve">  MK 38 Mod 2 Stabilized Gun Stand Assembly</t>
        </is>
      </c>
      <c r="G157" s="52" t="inlineStr">
        <is>
          <t>Ordnance</t>
        </is>
      </c>
      <c r="H157" s="53">
        <f>SUMIFS(JB_26BV,JB_B,1,JB_EX,"P-8a",JB_CC,"Ordnance",JB_H,"LHA",JB_CE,"MK 38 Mod 2 Stabilized Gun Stand Assembly",JB_RC,"ALT")</f>
        <v/>
      </c>
      <c r="I157" s="37">
        <f>IFERROR(H157/H$180,0)</f>
        <v/>
      </c>
    </row>
    <row r="158" ht="10" customHeight="1">
      <c r="A158" s="52" t="inlineStr">
        <is>
          <t xml:space="preserve">  CYBER BDC</t>
        </is>
      </c>
      <c r="B158" s="52" t="inlineStr">
        <is>
          <t>Hull, Mechanical, and Electrical</t>
        </is>
      </c>
      <c r="C158" s="53">
        <f>SUMIFS(JB_26BV,JB_B,1,JB_EX,"P-8a",JB_CC,"Hull, Mechanical, and Electrical",JB_H,"DDG",JB_CE,"CYBER BDC",JB_RC,"ALT")</f>
        <v/>
      </c>
      <c r="D158" s="37">
        <f>IFERROR(C158/C$180,0)</f>
        <v/>
      </c>
      <c r="F158" s="52" t="inlineStr">
        <is>
          <t xml:space="preserve">  Miscellaneous Ordnance</t>
        </is>
      </c>
      <c r="G158" s="52" t="inlineStr">
        <is>
          <t>Ordnance</t>
        </is>
      </c>
      <c r="H158" s="53">
        <f>SUMIFS(JB_26BV,JB_B,1,JB_EX,"P-8a",JB_CC,"Ordnance",JB_H,"LHA",JB_CE,"Miscellaneous Ordnance",JB_RC,"ALT")</f>
        <v/>
      </c>
      <c r="I158" s="37">
        <f>IFERROR(H158/H$180,0)</f>
        <v/>
      </c>
    </row>
    <row r="159" ht="10" customHeight="1">
      <c r="A159" s="52" t="inlineStr">
        <is>
          <t xml:space="preserve">  WSN 12</t>
        </is>
      </c>
      <c r="B159" s="52" t="inlineStr">
        <is>
          <t>Hull, Mechanical, and Electrical</t>
        </is>
      </c>
      <c r="C159" s="53">
        <f>SUMIFS(JB_26BV,JB_B,1,JB_EX,"P-8a",JB_CC,"Hull, Mechanical, and Electrical",JB_H,"DDG",JB_CE,"WSN 12",JB_RC,"ALT")</f>
        <v/>
      </c>
      <c r="D159" s="37">
        <f>IFERROR(C159/C$180,0)</f>
        <v/>
      </c>
      <c r="F159" s="52" t="inlineStr">
        <is>
          <t xml:space="preserve">  MORIAH</t>
        </is>
      </c>
      <c r="G159" s="52" t="inlineStr">
        <is>
          <t>Ordnance</t>
        </is>
      </c>
      <c r="H159" s="53">
        <f>SUMIFS(JB_26BV,JB_B,1,JB_EX,"P-8a",JB_CC,"Ordnance",JB_H,"LHA",JB_CE,"MORIAH",JB_RC,"ALT")</f>
        <v/>
      </c>
      <c r="I159" s="37">
        <f>IFERROR(H159/H$180,0)</f>
        <v/>
      </c>
    </row>
    <row r="160" ht="10" customHeight="1">
      <c r="A160" s="52" t="inlineStr">
        <is>
          <t xml:space="preserve">  HM&amp;E (NGVLA, Moriah Wind Measurement System (WMS), Aviation Integration)</t>
        </is>
      </c>
      <c r="B160" s="52" t="inlineStr">
        <is>
          <t>Hull, Mechanical, and Electrical</t>
        </is>
      </c>
      <c r="C160" s="53">
        <f>SUMIFS(JB_26BV,JB_B,1,JB_EX,"P-8a",JB_CC,"Hull, Mechanical, and Electrical",JB_H,"DDG",JB_CE,"HM&amp;E (NGVLA, Moriah Wind Measurement System (WMS), Aviation Integration)",JB_RC,"ALT")</f>
        <v/>
      </c>
      <c r="D160" s="37">
        <f>IFERROR(C160/C$180,0)</f>
        <v/>
      </c>
      <c r="F160" s="52" t="inlineStr">
        <is>
          <t xml:space="preserve">  AN/SPQ-14</t>
        </is>
      </c>
      <c r="G160" s="52" t="inlineStr">
        <is>
          <t>Ordnance</t>
        </is>
      </c>
      <c r="H160" s="53">
        <f>SUMIFS(JB_26BV,JB_B,1,JB_EX,"P-8a",JB_CC,"Ordnance",JB_H,"LHA",JB_CE,"AN/SPQ-14",JB_RC,"ALT")</f>
        <v/>
      </c>
      <c r="I160" s="37">
        <f>IFERROR(H160/H$180,0)</f>
        <v/>
      </c>
    </row>
    <row r="161" ht="10" customHeight="1">
      <c r="A161" s="52" t="inlineStr">
        <is>
          <t xml:space="preserve">  INTERIM SPARES</t>
        </is>
      </c>
      <c r="B161" s="52" t="inlineStr">
        <is>
          <t>Hull, Mechanical, and Electrical</t>
        </is>
      </c>
      <c r="C161" s="53">
        <f>SUMIFS(JB_26BV,JB_B,1,JB_EX,"P-8a",JB_CC,"Hull, Mechanical, and Electrical",JB_H,"DDG",JB_CE,"INTERIM SPARES",JB_RC,"ALT")</f>
        <v/>
      </c>
      <c r="D161" s="37">
        <f>IFERROR(C161/C$180,0)</f>
        <v/>
      </c>
    </row>
    <row r="162" ht="10" customHeight="1">
      <c r="A162" s="52" t="inlineStr">
        <is>
          <t xml:space="preserve">  RIGID HULL INFLATABLE BOAT (RHIB)</t>
        </is>
      </c>
      <c r="B162" s="52" t="inlineStr">
        <is>
          <t>Hull, Mechanical, and Electrical</t>
        </is>
      </c>
      <c r="C162" s="53">
        <f>SUMIFS(JB_26BV,JB_B,1,JB_EX,"P-8a",JB_CC,"Hull, Mechanical, and Electrical",JB_H,"DDG",JB_CE,"RIGID HULL INFLATABLE BOAT (RHIB)",JB_RC,"ALT")</f>
        <v/>
      </c>
      <c r="D162" s="37">
        <f>IFERROR(C162/C$180,0)</f>
        <v/>
      </c>
    </row>
    <row r="163" ht="10" customHeight="1">
      <c r="A163" s="49" t="inlineStr">
        <is>
          <t>Ordnance</t>
        </is>
      </c>
      <c r="C163" s="50">
        <f>SUM(C164:C179)</f>
        <v/>
      </c>
      <c r="D163" s="51">
        <f>IFERROR(C163/C$180,0)</f>
        <v/>
      </c>
    </row>
    <row r="164" ht="10" customHeight="1">
      <c r="A164" s="52" t="inlineStr">
        <is>
          <t xml:space="preserve">  AN/SPY-6(V)1 (AMDR)</t>
        </is>
      </c>
      <c r="B164" s="52" t="inlineStr">
        <is>
          <t>Ordnance</t>
        </is>
      </c>
      <c r="C164" s="53">
        <f>SUMIFS(JB_26BV,JB_B,1,JB_EX,"P-8a",JB_CC,"Ordnance",JB_H,"DDG",JB_CE,"AN/SPY-6(V)1 (AMDR)",JB_RC,"ALT")</f>
        <v/>
      </c>
      <c r="D164" s="37">
        <f>IFERROR(C164/C$180,0)</f>
        <v/>
      </c>
    </row>
    <row r="165" ht="10" customHeight="1">
      <c r="A165" s="52" t="inlineStr">
        <is>
          <t xml:space="preserve">  AEGIS WEAPON SYSTEM (MK-7)</t>
        </is>
      </c>
      <c r="B165" s="52" t="inlineStr">
        <is>
          <t>Ordnance</t>
        </is>
      </c>
      <c r="C165" s="53">
        <f>SUMIFS(JB_26BV,JB_B,1,JB_EX,"P-8a",JB_CC,"Ordnance",JB_H,"DDG",JB_CE,"AEGIS WEAPON SYSTEM (MK-7)",JB_RC,"ALT")</f>
        <v/>
      </c>
      <c r="D165" s="37">
        <f>IFERROR(C165/C$180,0)</f>
        <v/>
      </c>
    </row>
    <row r="166" ht="10" customHeight="1">
      <c r="A166" s="52" t="inlineStr">
        <is>
          <t xml:space="preserve">  ADVANCED GUN SYSTEM (AGS)</t>
        </is>
      </c>
      <c r="B166" s="52" t="inlineStr">
        <is>
          <t>Ordnance</t>
        </is>
      </c>
      <c r="C166" s="53">
        <f>SUMIFS(JB_26BV,JB_B,1,JB_EX,"P-8a",JB_CC,"Ordnance",JB_H,"DDG",JB_CE,"ADVANCED GUN SYSTEM (AGS)",JB_RC,"ALT")</f>
        <v/>
      </c>
      <c r="D166" s="37">
        <f>IFERROR(C166/C$180,0)</f>
        <v/>
      </c>
    </row>
    <row r="167" ht="10" customHeight="1">
      <c r="A167" s="52" t="inlineStr">
        <is>
          <t xml:space="preserve">  VLS MK 41</t>
        </is>
      </c>
      <c r="B167" s="52" t="inlineStr">
        <is>
          <t>Ordnance</t>
        </is>
      </c>
      <c r="C167" s="53">
        <f>SUMIFS(JB_26BV,JB_B,1,JB_EX,"P-8a",JB_CC,"Ordnance",JB_H,"DDG",JB_CE,"VLS MK 41",JB_RC,"ALT")</f>
        <v/>
      </c>
      <c r="D167" s="37">
        <f>IFERROR(C167/C$180,0)</f>
        <v/>
      </c>
    </row>
    <row r="168" ht="10" customHeight="1">
      <c r="A168" s="52" t="inlineStr">
        <is>
          <t xml:space="preserve">  MISC. ORDNANCE</t>
        </is>
      </c>
      <c r="B168" s="52" t="inlineStr">
        <is>
          <t>Ordnance</t>
        </is>
      </c>
      <c r="C168" s="53">
        <f>SUMIFS(JB_26BV,JB_B,1,JB_EX,"P-8a",JB_CC,"Ordnance",JB_H,"DDG",JB_CE,"MISC. ORDNANCE",JB_RC,"ALT")</f>
        <v/>
      </c>
      <c r="D168" s="37">
        <f>IFERROR(C168/C$180,0)</f>
        <v/>
      </c>
    </row>
    <row r="169" ht="10" customHeight="1">
      <c r="A169" s="52" t="inlineStr">
        <is>
          <t xml:space="preserve">  MK 45 Light Weight Gun (LWG)</t>
        </is>
      </c>
      <c r="B169" s="52" t="inlineStr">
        <is>
          <t>Ordnance</t>
        </is>
      </c>
      <c r="C169" s="53">
        <f>SUMIFS(JB_26BV,JB_B,1,JB_EX,"P-8a",JB_CC,"Ordnance",JB_H,"DDG",JB_CE,"MK 45 Light Weight Gun (LWG)",JB_RC,"ALT")</f>
        <v/>
      </c>
      <c r="D169" s="37">
        <f>IFERROR(C169/C$180,0)</f>
        <v/>
      </c>
    </row>
    <row r="170" ht="10" customHeight="1">
      <c r="A170" s="52" t="inlineStr">
        <is>
          <t xml:space="preserve">  MK 37 TOMAHAWK</t>
        </is>
      </c>
      <c r="B170" s="52" t="inlineStr">
        <is>
          <t>Ordnance</t>
        </is>
      </c>
      <c r="C170" s="53">
        <f>SUMIFS(JB_26BV,JB_B,1,JB_EX,"P-8a",JB_CC,"Ordnance",JB_H,"DDG",JB_CE,"MK 37 TOMAHAWK",JB_RC,"ALT")</f>
        <v/>
      </c>
      <c r="D170" s="37">
        <f>IFERROR(C170/C$180,0)</f>
        <v/>
      </c>
    </row>
    <row r="171" ht="10" customHeight="1">
      <c r="A171" s="52" t="inlineStr">
        <is>
          <t xml:space="preserve">  SPQ-9B Radar</t>
        </is>
      </c>
      <c r="B171" s="52" t="inlineStr">
        <is>
          <t>Ordnance</t>
        </is>
      </c>
      <c r="C171" s="53">
        <f>SUMIFS(JB_26BV,JB_B,1,JB_EX,"P-8a",JB_CC,"Ordnance",JB_H,"DDG",JB_CE,"SPQ-9B Radar",JB_RC,"ALT")</f>
        <v/>
      </c>
      <c r="D171" s="37">
        <f>IFERROR(C171/C$180,0)</f>
        <v/>
      </c>
    </row>
    <row r="172" ht="10" customHeight="1">
      <c r="A172" s="52" t="inlineStr">
        <is>
          <t xml:space="preserve">  PHALANX (CIWS)</t>
        </is>
      </c>
      <c r="B172" s="52" t="inlineStr">
        <is>
          <t>Ordnance</t>
        </is>
      </c>
      <c r="C172" s="53">
        <f>SUMIFS(JB_26BV,JB_B,1,JB_EX,"P-8a",JB_CC,"Ordnance",JB_H,"DDG",JB_CE,"PHALANX (CIWS)",JB_RC,"ALT")</f>
        <v/>
      </c>
      <c r="D172" s="37">
        <f>IFERROR(C172/C$180,0)</f>
        <v/>
      </c>
    </row>
    <row r="173" ht="10" customHeight="1">
      <c r="A173" s="52" t="inlineStr">
        <is>
          <t xml:space="preserve">  DDG 1002 Missile Tubes (CPS)</t>
        </is>
      </c>
      <c r="B173" s="52" t="inlineStr">
        <is>
          <t>Ordnance</t>
        </is>
      </c>
      <c r="C173" s="53">
        <f>SUMIFS(JB_26BV,JB_B,1,JB_EX,"P-8a",JB_CC,"Ordnance",JB_H,"DDG",JB_CE,"DDG 1002 Missile Tubes (CPS)",JB_RC,"ALT")</f>
        <v/>
      </c>
      <c r="D173" s="37">
        <f>IFERROR(C173/C$180,0)</f>
        <v/>
      </c>
    </row>
    <row r="174" ht="10" customHeight="1">
      <c r="A174" s="52" t="inlineStr">
        <is>
          <t xml:space="preserve">  MK-38 Gun Weapon System (GWS)</t>
        </is>
      </c>
      <c r="B174" s="52" t="inlineStr">
        <is>
          <t>Ordnance</t>
        </is>
      </c>
      <c r="C174" s="53">
        <f>SUMIFS(JB_26BV,JB_B,1,JB_EX,"P-8a",JB_CC,"Ordnance",JB_H,"DDG",JB_CE,"MK-38 Gun Weapon System (GWS)",JB_RC,"ALT")</f>
        <v/>
      </c>
      <c r="D174" s="37">
        <f>IFERROR(C174/C$180,0)</f>
        <v/>
      </c>
    </row>
    <row r="175" ht="10" customHeight="1">
      <c r="A175" s="52" t="inlineStr">
        <is>
          <t xml:space="preserve">  DDG 1002 Rubber Boots, Hatches, Shock Isolation (CPS)</t>
        </is>
      </c>
      <c r="B175" s="52" t="inlineStr">
        <is>
          <t>Ordnance</t>
        </is>
      </c>
      <c r="C175" s="53">
        <f>SUMIFS(JB_26BV,JB_B,1,JB_EX,"P-8a",JB_CC,"Ordnance",JB_H,"DDG",JB_CE,"DDG 1002 Rubber Boots, Hatches, Shock Isolation (CPS)",JB_RC,"ALT")</f>
        <v/>
      </c>
      <c r="D175" s="37">
        <f>IFERROR(C175/C$180,0)</f>
        <v/>
      </c>
    </row>
    <row r="176" ht="10" customHeight="1">
      <c r="A176" s="52" t="inlineStr">
        <is>
          <t xml:space="preserve">  CLOSE-IN GUN SYSTEM (CIGS)</t>
        </is>
      </c>
      <c r="B176" s="52" t="inlineStr">
        <is>
          <t>Ordnance</t>
        </is>
      </c>
      <c r="C176" s="53">
        <f>SUMIFS(JB_26BV,JB_B,1,JB_EX,"P-8a",JB_CC,"Ordnance",JB_H,"DDG",JB_CE,"CLOSE-IN GUN SYSTEM (CIGS)",JB_RC,"ALT")</f>
        <v/>
      </c>
      <c r="D176" s="37">
        <f>IFERROR(C176/C$180,0)</f>
        <v/>
      </c>
    </row>
    <row r="177" ht="10" customHeight="1">
      <c r="A177" s="52" t="inlineStr">
        <is>
          <t xml:space="preserve">  MK 160 Gun Fire Control System (GFCS)</t>
        </is>
      </c>
      <c r="B177" s="52" t="inlineStr">
        <is>
          <t>Ordnance</t>
        </is>
      </c>
      <c r="C177" s="53">
        <f>SUMIFS(JB_26BV,JB_B,1,JB_EX,"P-8a",JB_CC,"Ordnance",JB_H,"DDG",JB_CE,"MK 160 Gun Fire Control System (GFCS)",JB_RC,"ALT")</f>
        <v/>
      </c>
      <c r="D177" s="37">
        <f>IFERROR(C177/C$180,0)</f>
        <v/>
      </c>
    </row>
    <row r="178" ht="10" customHeight="1">
      <c r="A178" s="52" t="inlineStr">
        <is>
          <t xml:space="preserve">  ELECTRO-OPTICAL SYSTEM</t>
        </is>
      </c>
      <c r="B178" s="52" t="inlineStr">
        <is>
          <t>Ordnance</t>
        </is>
      </c>
      <c r="C178" s="53">
        <f>SUMIFS(JB_26BV,JB_B,1,JB_EX,"P-8a",JB_CC,"Ordnance",JB_H,"DDG",JB_CE,"ELECTRO-OPTICAL SYSTEM",JB_RC,"ALT")</f>
        <v/>
      </c>
      <c r="D178" s="37">
        <f>IFERROR(C178/C$180,0)</f>
        <v/>
      </c>
    </row>
    <row r="179" ht="10" customHeight="1">
      <c r="A179" s="52" t="inlineStr">
        <is>
          <t xml:space="preserve">  MK 32 Surface Vessel Torpedo Tubes (SVTT)</t>
        </is>
      </c>
      <c r="B179" s="52" t="inlineStr">
        <is>
          <t>Ordnance</t>
        </is>
      </c>
      <c r="C179" s="53">
        <f>SUMIFS(JB_26BV,JB_B,1,JB_EX,"P-8a",JB_CC,"Ordnance",JB_H,"DDG",JB_CE,"MK 32 Surface Vessel Torpedo Tubes (SVTT)",JB_RC,"ALT")</f>
        <v/>
      </c>
      <c r="D179" s="37">
        <f>IFERROR(C179/C$180,0)</f>
        <v/>
      </c>
    </row>
    <row r="180" ht="10" customHeight="1">
      <c r="A180" s="32" t="inlineStr">
        <is>
          <t>DDG Total</t>
        </is>
      </c>
      <c r="B180" s="54" t="n"/>
      <c r="C180" s="33">
        <f>C119+C152+C163</f>
        <v/>
      </c>
      <c r="D180" s="38" t="n">
        <v>1</v>
      </c>
      <c r="F180" s="32" t="inlineStr">
        <is>
          <t>LHA Total</t>
        </is>
      </c>
      <c r="G180" s="54" t="n"/>
      <c r="H180" s="33">
        <f>H119+H145+H149</f>
        <v/>
      </c>
      <c r="I180" s="38" t="n">
        <v>1</v>
      </c>
      <c r="K180" s="32" t="inlineStr">
        <is>
          <t>FFG Total</t>
        </is>
      </c>
      <c r="L180" s="54" t="n"/>
      <c r="M180" s="33">
        <f>M119+M127+M135</f>
        <v/>
      </c>
      <c r="N180" s="38" t="n">
        <v>1</v>
      </c>
      <c r="P180" s="32" t="inlineStr">
        <is>
          <t>LPD Total</t>
        </is>
      </c>
      <c r="Q180" s="54" t="n"/>
      <c r="R180" s="33">
        <f>R119+R137+R146</f>
        <v/>
      </c>
      <c r="S180" s="38" t="n">
        <v>1</v>
      </c>
    </row>
    <row r="181" ht="10" customHeight="1"/>
    <row r="182" ht="10" customHeight="1">
      <c r="A182" s="46" t="inlineStr">
        <is>
          <t>T-AGOS (Surveillance Ships)</t>
        </is>
      </c>
      <c r="B182" s="39" t="n"/>
      <c r="C182" s="39" t="n"/>
      <c r="D182" s="39" t="n"/>
      <c r="F182" s="46" t="inlineStr">
        <is>
          <t>T-AO (Combat Logistics Ships)</t>
        </is>
      </c>
      <c r="G182" s="39" t="n"/>
      <c r="H182" s="39" t="n"/>
      <c r="I182" s="39" t="n"/>
    </row>
    <row r="183" ht="10" customHeight="1">
      <c r="A183" s="29" t="inlineStr">
        <is>
          <t>System</t>
        </is>
      </c>
      <c r="B183" s="29" t="inlineStr">
        <is>
          <t>Cost Category</t>
        </is>
      </c>
      <c r="C183" s="29" t="inlineStr">
        <is>
          <t>FY2026 ($K)</t>
        </is>
      </c>
      <c r="D183" s="29" t="inlineStr">
        <is>
          <t>% of Hull</t>
        </is>
      </c>
      <c r="F183" s="29" t="inlineStr">
        <is>
          <t>System</t>
        </is>
      </c>
      <c r="G183" s="29" t="inlineStr">
        <is>
          <t>Cost Category</t>
        </is>
      </c>
      <c r="H183" s="29" t="inlineStr">
        <is>
          <t>FY2026 ($K)</t>
        </is>
      </c>
      <c r="I183" s="29" t="inlineStr">
        <is>
          <t>% of Hull</t>
        </is>
      </c>
    </row>
    <row r="184" ht="10" customHeight="1">
      <c r="A184" s="49" t="inlineStr">
        <is>
          <t>Electronics</t>
        </is>
      </c>
      <c r="C184" s="50">
        <f>SUM(C185:C186)</f>
        <v/>
      </c>
      <c r="D184" s="51">
        <f>IFERROR(C184/C$200,0)</f>
        <v/>
      </c>
      <c r="F184" s="49" t="inlineStr">
        <is>
          <t>Electronics</t>
        </is>
      </c>
      <c r="H184" s="50">
        <f>SUM(H185:H193)</f>
        <v/>
      </c>
      <c r="I184" s="51">
        <f>IFERROR(H184/H$200,0)</f>
        <v/>
      </c>
    </row>
    <row r="185" ht="10" customHeight="1">
      <c r="A185" s="52" t="inlineStr">
        <is>
          <t xml:space="preserve">  Surveillance Towed Array Sensor System (SURTASS)</t>
        </is>
      </c>
      <c r="B185" s="52" t="inlineStr">
        <is>
          <t>Electronics</t>
        </is>
      </c>
      <c r="C185" s="53">
        <f>SUMIFS(JB_26BV,JB_B,1,JB_EX,"P-8a",JB_CC,"Electronics",JB_H,"T-AGOS",JB_CE,"Surveillance Towed Array Sensor System (SURTASS)",JB_RC,"ALT")</f>
        <v/>
      </c>
      <c r="D185" s="37">
        <f>IFERROR(C185/C$200,0)</f>
        <v/>
      </c>
      <c r="F185" s="52" t="inlineStr">
        <is>
          <t xml:space="preserve">  Network Management System (NMS) 2.0/Consolidated Afloat Networks and Enterprise Services (CANES) [T-AO 214]</t>
        </is>
      </c>
      <c r="G185" s="52" t="inlineStr">
        <is>
          <t>Electronics</t>
        </is>
      </c>
      <c r="H185" s="53">
        <f>SUMIFS(JB_26BV,JB_B,1,JB_EX,"P-8a",JB_CC,"Electronics",JB_H,"T-AO",JB_CE,"Network Management System (NMS) 2.0/Consolidated Afloat Networks and Enterprise Services (CANES) [T-AO 214]",JB_RC,"ALT")</f>
        <v/>
      </c>
      <c r="I185" s="37">
        <f>IFERROR(H185/H$200,0)</f>
        <v/>
      </c>
    </row>
    <row r="186" ht="10" customHeight="1">
      <c r="A186" s="52" t="inlineStr">
        <is>
          <t xml:space="preserve">  Command, Control, Communications, Computers and Intelligence (C4I)</t>
        </is>
      </c>
      <c r="B186" s="52" t="inlineStr">
        <is>
          <t>Electronics</t>
        </is>
      </c>
      <c r="C186" s="53">
        <f>SUMIFS(JB_26BV,JB_B,1,JB_EX,"P-8a",JB_CC,"Electronics",JB_H,"T-AGOS",JB_CE,"Command, Control, Communications, Computers and Intelligence (C4I)",JB_RC,"ALT")</f>
        <v/>
      </c>
      <c r="D186" s="37">
        <f>IFERROR(C186/C$200,0)</f>
        <v/>
      </c>
      <c r="F186" s="52" t="inlineStr">
        <is>
          <t xml:space="preserve">  Minor Systems</t>
        </is>
      </c>
      <c r="G186" s="52" t="inlineStr">
        <is>
          <t>Electronics</t>
        </is>
      </c>
      <c r="H186" s="53">
        <f>SUMIFS(JB_26BV,JB_B,1,JB_EX,"P-8a",JB_CC,"Electronics",JB_H,"T-AO",JB_CE,"Minor Systems",JB_RC,"ALT")</f>
        <v/>
      </c>
      <c r="I186" s="37">
        <f>IFERROR(H186/H$200,0)</f>
        <v/>
      </c>
    </row>
    <row r="187" ht="10" customHeight="1">
      <c r="F187" s="52" t="inlineStr">
        <is>
          <t xml:space="preserve">  Radio Communication System (RCS) TURNKEY</t>
        </is>
      </c>
      <c r="G187" s="52" t="inlineStr">
        <is>
          <t>Electronics</t>
        </is>
      </c>
      <c r="H187" s="53">
        <f>SUMIFS(JB_26BV,JB_B,1,JB_EX,"P-8a",JB_CC,"Electronics",JB_H,"T-AO",JB_CE,"Radio Communication System (RCS) TURNKEY",JB_RC,"ALT")</f>
        <v/>
      </c>
      <c r="I187" s="37">
        <f>IFERROR(H187/H$200,0)</f>
        <v/>
      </c>
    </row>
    <row r="188" ht="10" customHeight="1">
      <c r="F188" s="52" t="inlineStr">
        <is>
          <t xml:space="preserve">  AN/SLQ-25 NIXIE</t>
        </is>
      </c>
      <c r="G188" s="52" t="inlineStr">
        <is>
          <t>Electronics</t>
        </is>
      </c>
      <c r="H188" s="53">
        <f>SUMIFS(JB_26BV,JB_B,1,JB_EX,"P-8a",JB_CC,"Electronics",JB_H,"T-AO",JB_CE,"AN/SLQ-25 NIXIE",JB_RC,"ALT")</f>
        <v/>
      </c>
      <c r="I188" s="37">
        <f>IFERROR(H188/H$200,0)</f>
        <v/>
      </c>
    </row>
    <row r="189" ht="10" customHeight="1">
      <c r="F189" s="52" t="inlineStr">
        <is>
          <t xml:space="preserve">  Digital Modular Radio (DMR)</t>
        </is>
      </c>
      <c r="G189" s="52" t="inlineStr">
        <is>
          <t>Electronics</t>
        </is>
      </c>
      <c r="H189" s="53">
        <f>SUMIFS(JB_26BV,JB_B,1,JB_EX,"P-8a",JB_CC,"Electronics",JB_H,"T-AO",JB_CE,"Digital Modular Radio (DMR)",JB_RC,"ALT")</f>
        <v/>
      </c>
      <c r="I189" s="37">
        <f>IFERROR(H189/H$200,0)</f>
        <v/>
      </c>
    </row>
    <row r="190" ht="10" customHeight="1">
      <c r="F190" s="52" t="inlineStr">
        <is>
          <t xml:space="preserve">  Commercial Broadband Satellite Program (CBSP)</t>
        </is>
      </c>
      <c r="G190" s="52" t="inlineStr">
        <is>
          <t>Electronics</t>
        </is>
      </c>
      <c r="H190" s="53">
        <f>SUMIFS(JB_26BV,JB_B,1,JB_EX,"P-8a",JB_CC,"Electronics",JB_H,"T-AO",JB_CE,"Commercial Broadband Satellite Program (CBSP)",JB_RC,"ALT")</f>
        <v/>
      </c>
      <c r="I190" s="37">
        <f>IFERROR(H190/H$200,0)</f>
        <v/>
      </c>
    </row>
    <row r="191" ht="10" customHeight="1">
      <c r="F191" s="52" t="inlineStr">
        <is>
          <t xml:space="preserve">  OA-9277A</t>
        </is>
      </c>
      <c r="G191" s="52" t="inlineStr">
        <is>
          <t>Electronics</t>
        </is>
      </c>
      <c r="H191" s="53">
        <f>SUMIFS(JB_26BV,JB_B,1,JB_EX,"P-8a",JB_CC,"Electronics",JB_H,"T-AO",JB_CE,"OA-9277A",JB_RC,"ALT")</f>
        <v/>
      </c>
      <c r="I191" s="37">
        <f>IFERROR(H191/H$200,0)</f>
        <v/>
      </c>
    </row>
    <row r="192" ht="10" customHeight="1">
      <c r="F192" s="52" t="inlineStr">
        <is>
          <t xml:space="preserve">  Battle Force Tactical Network (BFTN)/BFTN Resilient Command and Control System Enhancement (BRSE)</t>
        </is>
      </c>
      <c r="G192" s="52" t="inlineStr">
        <is>
          <t>Electronics</t>
        </is>
      </c>
      <c r="H192" s="53">
        <f>SUMIFS(JB_26BV,JB_B,1,JB_EX,"P-8a",JB_CC,"Electronics",JB_H,"T-AO",JB_CE,"Battle Force Tactical Network (BFTN)/BFTN Resilient Command and Control System Enhancement (BRSE)",JB_RC,"ALT")</f>
        <v/>
      </c>
      <c r="I192" s="37">
        <f>IFERROR(H192/H$200,0)</f>
        <v/>
      </c>
    </row>
    <row r="193" ht="10" customHeight="1">
      <c r="F193" s="52" t="inlineStr">
        <is>
          <t xml:space="preserve">  AN/USQ-155 Tactical Variant Switch (TVS)</t>
        </is>
      </c>
      <c r="G193" s="52" t="inlineStr">
        <is>
          <t>Electronics</t>
        </is>
      </c>
      <c r="H193" s="53">
        <f>SUMIFS(JB_26BV,JB_B,1,JB_EX,"P-8a",JB_CC,"Electronics",JB_H,"T-AO",JB_CE,"AN/USQ-155 Tactical Variant Switch (TVS)",JB_RC,"ALT")</f>
        <v/>
      </c>
      <c r="I193" s="37">
        <f>IFERROR(H193/H$200,0)</f>
        <v/>
      </c>
    </row>
    <row r="194" ht="10" customHeight="1">
      <c r="F194" s="49" t="inlineStr">
        <is>
          <t>Hull, Mechanical, and Electrical</t>
        </is>
      </c>
      <c r="H194" s="50">
        <f>SUM(H195:H199)</f>
        <v/>
      </c>
      <c r="I194" s="51">
        <f>IFERROR(H194/H$200,0)</f>
        <v/>
      </c>
    </row>
    <row r="195" ht="10" customHeight="1">
      <c r="F195" s="52" t="inlineStr">
        <is>
          <t xml:space="preserve">  Engineering Services</t>
        </is>
      </c>
      <c r="G195" s="52" t="inlineStr">
        <is>
          <t>Hull, Mechanical, and Electrical</t>
        </is>
      </c>
      <c r="H195" s="53">
        <f>SUMIFS(JB_26BV,JB_B,1,JB_EX,"P-8a",JB_CC,"Hull, Mechanical, and Electrical",JB_H,"T-AO",JB_CE,"Engineering Services",JB_RC,"ALT")</f>
        <v/>
      </c>
      <c r="I195" s="37">
        <f>IFERROR(H195/H$200,0)</f>
        <v/>
      </c>
    </row>
    <row r="196" ht="10" customHeight="1">
      <c r="F196" s="52" t="inlineStr">
        <is>
          <t xml:space="preserve">  Logistics Support Services</t>
        </is>
      </c>
      <c r="G196" s="52" t="inlineStr">
        <is>
          <t>Hull, Mechanical, and Electrical</t>
        </is>
      </c>
      <c r="H196" s="53">
        <f>SUMIFS(JB_26BV,JB_B,1,JB_EX,"P-8a",JB_CC,"Hull, Mechanical, and Electrical",JB_H,"T-AO",JB_CE,"Logistics Support Services",JB_RC,"ALT")</f>
        <v/>
      </c>
      <c r="I196" s="37">
        <f>IFERROR(H196/H$200,0)</f>
        <v/>
      </c>
    </row>
    <row r="197" ht="10" customHeight="1">
      <c r="F197" s="52" t="inlineStr">
        <is>
          <t xml:space="preserve">  Material Handling Equipment</t>
        </is>
      </c>
      <c r="G197" s="52" t="inlineStr">
        <is>
          <t>Hull, Mechanical, and Electrical</t>
        </is>
      </c>
      <c r="H197" s="53">
        <f>SUMIFS(JB_26BV,JB_B,1,JB_EX,"P-8a",JB_CC,"Hull, Mechanical, and Electrical",JB_H,"T-AO",JB_CE,"Material Handling Equipment",JB_RC,"ALT")</f>
        <v/>
      </c>
      <c r="I197" s="37">
        <f>IFERROR(H197/H$200,0)</f>
        <v/>
      </c>
    </row>
    <row r="198" ht="10" customHeight="1">
      <c r="F198" s="52" t="inlineStr">
        <is>
          <t xml:space="preserve">  Improved Point Detection System - Lifecycle Replacement (IPDS-LR)</t>
        </is>
      </c>
      <c r="G198" s="52" t="inlineStr">
        <is>
          <t>Hull, Mechanical, and Electrical</t>
        </is>
      </c>
      <c r="H198" s="53">
        <f>SUMIFS(JB_26BV,JB_B,1,JB_EX,"P-8a",JB_CC,"Hull, Mechanical, and Electrical",JB_H,"T-AO",JB_CE,"Improved Point Detection System - Lifecycle Replacement (IPDS-LR)",JB_RC,"ALT")</f>
        <v/>
      </c>
      <c r="I198" s="37">
        <f>IFERROR(H198/H$200,0)</f>
        <v/>
      </c>
    </row>
    <row r="199" ht="10" customHeight="1">
      <c r="F199" s="52" t="inlineStr">
        <is>
          <t xml:space="preserve">  Shipboard Automated Maintenance Module (SAMM)</t>
        </is>
      </c>
      <c r="G199" s="52" t="inlineStr">
        <is>
          <t>Hull, Mechanical, and Electrical</t>
        </is>
      </c>
      <c r="H199" s="53">
        <f>SUMIFS(JB_26BV,JB_B,1,JB_EX,"P-8a",JB_CC,"Hull, Mechanical, and Electrical",JB_H,"T-AO",JB_CE,"Shipboard Automated Maintenance Module (SAMM)",JB_RC,"ALT")</f>
        <v/>
      </c>
      <c r="I199" s="37">
        <f>IFERROR(H199/H$200,0)</f>
        <v/>
      </c>
    </row>
    <row r="200" ht="10" customHeight="1">
      <c r="A200" s="32" t="inlineStr">
        <is>
          <t>T-AGOS Total</t>
        </is>
      </c>
      <c r="B200" s="54" t="n"/>
      <c r="C200" s="33">
        <f>C184</f>
        <v/>
      </c>
      <c r="D200" s="38" t="n">
        <v>1</v>
      </c>
      <c r="F200" s="32" t="inlineStr">
        <is>
          <t>T-AO Total</t>
        </is>
      </c>
      <c r="G200" s="54" t="n"/>
      <c r="H200" s="33">
        <f>H184+H194</f>
        <v/>
      </c>
      <c r="I200" s="38" t="n">
        <v>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Combat Logistics Ships</t>
        </is>
      </c>
      <c r="B35" s="30" t="inlineStr">
        <is>
          <t>MSC</t>
        </is>
      </c>
      <c r="C35"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5" s="37">
        <f>IFERROR(C35/C$55,0)</f>
        <v/>
      </c>
    </row>
    <row r="36" ht="10" customHeight="1">
      <c r="A36" s="30" t="inlineStr">
        <is>
          <t>Research, Survey &amp; Instrumentation Ships</t>
        </is>
      </c>
      <c r="B36" s="30" t="inlineStr">
        <is>
          <t>MSC</t>
        </is>
      </c>
      <c r="C36"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6" s="37">
        <f>IFERROR(C36/C$55,0)</f>
        <v/>
      </c>
    </row>
    <row r="37" ht="10" customHeight="1">
      <c r="A37" s="30" t="inlineStr">
        <is>
          <t>Aviation Logistics Support Ship</t>
        </is>
      </c>
      <c r="B37" s="30" t="inlineStr">
        <is>
          <t>USN</t>
        </is>
      </c>
      <c r="C37"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7" s="37">
        <f>IFERROR(C37/C$55,0)</f>
        <v/>
      </c>
    </row>
    <row r="38" ht="10" customHeight="1">
      <c r="A38" s="30" t="inlineStr">
        <is>
          <t>Material Support Ships</t>
        </is>
      </c>
      <c r="B38" s="30" t="inlineStr">
        <is>
          <t>USN</t>
        </is>
      </c>
      <c r="C38"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38" s="37">
        <f>IFERROR(C38/C$55,0)</f>
        <v/>
      </c>
    </row>
    <row r="39" ht="10" customHeight="1">
      <c r="A39" s="30" t="inlineStr">
        <is>
          <t>Cargo &amp; Vehicle Cargo Ships</t>
        </is>
      </c>
      <c r="B39" s="30" t="inlineStr">
        <is>
          <t>USN</t>
        </is>
      </c>
      <c r="C39"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9" s="37">
        <f>IFERROR(C39/C$55,0)</f>
        <v/>
      </c>
    </row>
    <row r="40" ht="10" customHeight="1">
      <c r="A40" s="30" t="inlineStr">
        <is>
          <t>High Speed Transport</t>
        </is>
      </c>
      <c r="B40" s="30" t="inlineStr">
        <is>
          <t>USN</t>
        </is>
      </c>
      <c r="C40"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0" s="37">
        <f>IFERROR(C40/C$55,0)</f>
        <v/>
      </c>
    </row>
    <row r="41" ht="10" customHeight="1">
      <c r="A41" s="30" t="inlineStr">
        <is>
          <t>Submarine Escort Ship</t>
        </is>
      </c>
      <c r="B41" s="30" t="inlineStr">
        <is>
          <t>USN</t>
        </is>
      </c>
      <c r="C41"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1" s="37">
        <f>IFERROR(C41/C$55,0)</f>
        <v/>
      </c>
    </row>
    <row r="42" ht="10" customHeight="1">
      <c r="A42" s="30" t="inlineStr">
        <is>
          <t>Hospital Ship</t>
        </is>
      </c>
      <c r="B42" s="30" t="inlineStr">
        <is>
          <t>MSC</t>
        </is>
      </c>
      <c r="C42" s="31">
        <f>SUMIFS(JB_26BV,JB_B,2,JB_W,"Hospital Ship",JB_RC,"ADD")+SUMIFS(JB_26BV,JB_B,3,JB_W,"Hospital Ship",JB_RC,"ADD")+SUMIFS(JB_26BV,JB_B,4,JB_W,"Hospital Ship",JB_RC,"ADD")+SUMIFS(JB_26BV,JB_B,5,JB_W,"Hospital Ship",JB_RC,"ADD")+SUMIFS(JB_26BV,JB_B,6,JB_W,"Hospital Ship",JB_RC,"ADD")+SUMIFS(JB_26BV,JB_B,7,JB_W,"Hospital Ship",JB_RC,"ADD")</f>
        <v/>
      </c>
      <c r="D42" s="37">
        <f>IFERROR(C42/C$55,0)</f>
        <v/>
      </c>
    </row>
    <row r="43" ht="10" customHeight="1">
      <c r="A43" s="30" t="inlineStr">
        <is>
          <t>General Auxiliary</t>
        </is>
      </c>
      <c r="B43" s="30" t="inlineStr">
        <is>
          <t>USN</t>
        </is>
      </c>
      <c r="C43"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3" s="37">
        <f>IFERROR(C43/C$55,0)</f>
        <v/>
      </c>
    </row>
    <row r="44" ht="10" customHeight="1">
      <c r="A44" s="30" t="inlineStr">
        <is>
          <t>Crane Ship</t>
        </is>
      </c>
      <c r="B44" s="30" t="inlineStr">
        <is>
          <t>USN</t>
        </is>
      </c>
      <c r="C44" s="31">
        <f>SUMIFS(JB_26BV,JB_B,2,JB_W,"Crane Ship",JB_RC,"ADD")+SUMIFS(JB_26BV,JB_B,3,JB_W,"Crane Ship",JB_RC,"ADD")+SUMIFS(JB_26BV,JB_B,4,JB_W,"Crane Ship",JB_RC,"ADD")+SUMIFS(JB_26BV,JB_B,5,JB_W,"Crane Ship",JB_RC,"ADD")+SUMIFS(JB_26BV,JB_B,6,JB_W,"Crane Ship",JB_RC,"ADD")+SUMIFS(JB_26BV,JB_B,7,JB_W,"Crane Ship",JB_RC,"ADD")</f>
        <v/>
      </c>
      <c r="D44" s="37">
        <f>IFERROR(C44/C$55,0)</f>
        <v/>
      </c>
    </row>
    <row r="45" ht="10" customHeight="1">
      <c r="A45" s="30" t="inlineStr">
        <is>
          <t>Unmanned Surface Vehicles</t>
        </is>
      </c>
      <c r="B45" s="30" t="inlineStr">
        <is>
          <t>USN</t>
        </is>
      </c>
      <c r="C45"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5" s="37">
        <f>IFERROR(C45/C$55,0)</f>
        <v/>
      </c>
    </row>
    <row r="46" ht="10" customHeight="1">
      <c r="A46" s="30" t="inlineStr">
        <is>
          <t>Salvage Ships &amp; Fleet Ocean Tugs</t>
        </is>
      </c>
      <c r="B46" s="30" t="inlineStr">
        <is>
          <t>MSC</t>
        </is>
      </c>
      <c r="C46"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6" s="37">
        <f>IFERROR(C46/C$55,0)</f>
        <v/>
      </c>
    </row>
    <row r="47" ht="10" customHeight="1">
      <c r="A47" s="30" t="inlineStr">
        <is>
          <t>Unmanned Undersea Vehicles</t>
        </is>
      </c>
      <c r="B47" s="30" t="inlineStr">
        <is>
          <t>USN</t>
        </is>
      </c>
      <c r="C47"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Coastal Buoy Tenders</t>
        </is>
      </c>
      <c r="B49" s="30" t="inlineStr">
        <is>
          <t>USCG</t>
        </is>
      </c>
      <c r="C49"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49" s="37">
        <f>IFERROR(C49/C$55,0)</f>
        <v/>
      </c>
    </row>
    <row r="50" ht="10" customHeight="1">
      <c r="A50" s="30" t="inlineStr">
        <is>
          <t>Waterways Commerce Cutters</t>
        </is>
      </c>
      <c r="B50" s="30" t="inlineStr">
        <is>
          <t>USCG</t>
        </is>
      </c>
      <c r="C50"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0" s="37">
        <f>IFERROR(C50/C$55,0)</f>
        <v/>
      </c>
    </row>
    <row r="51" ht="10" customHeight="1">
      <c r="A51" s="30" t="inlineStr">
        <is>
          <t>Offshore Patrol Cutter</t>
        </is>
      </c>
      <c r="B51" s="30" t="inlineStr">
        <is>
          <t>USCG</t>
        </is>
      </c>
      <c r="C51"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1" s="37">
        <f>IFERROR(C51/C$55,0)</f>
        <v/>
      </c>
    </row>
    <row r="52" ht="10" customHeight="1">
      <c r="A52" s="30" t="inlineStr">
        <is>
          <t>Icebreakers, Oceangoing</t>
        </is>
      </c>
      <c r="B52" s="30" t="inlineStr">
        <is>
          <t>USCG</t>
        </is>
      </c>
      <c r="C52"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2" s="37">
        <f>IFERROR(C52/C$55,0)</f>
        <v/>
      </c>
    </row>
    <row r="53" ht="10" customHeight="1">
      <c r="A53" s="30" t="inlineStr">
        <is>
          <t>Fast Response Cutters</t>
        </is>
      </c>
      <c r="B53" s="30" t="inlineStr">
        <is>
          <t>USCG</t>
        </is>
      </c>
      <c r="C53"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3" s="37">
        <f>IFERROR(C53/C$55,0)</f>
        <v/>
      </c>
    </row>
    <row r="54" ht="10" customHeight="1">
      <c r="A54" s="30" t="inlineStr">
        <is>
          <t>Icebreakers, Great Lakes</t>
        </is>
      </c>
      <c r="B54" s="30" t="inlineStr">
        <is>
          <t>USCG</t>
        </is>
      </c>
      <c r="C54"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39"/>
  <sheetViews>
    <sheetView showGridLines="0"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Combat Logistics Ships</t>
        </is>
      </c>
      <c r="B21" s="30" t="inlineStr">
        <is>
          <t>MSC</t>
        </is>
      </c>
      <c r="C21" s="31">
        <f>SUMIFS(JB_26BV,JB_B,2,JB_W,"Combat Logistics Ships",JB_RC,"ADD")</f>
        <v/>
      </c>
      <c r="D21" s="31">
        <f>SUMIFS(JB_26BV,JB_B,3,JB_W,"Combat Logistics Ships",JB_RC,"ADD")</f>
        <v/>
      </c>
      <c r="E21" s="31">
        <f>SUMIFS(JB_26BV,JB_B,4,JB_W,"Combat Logistics Ships",JB_RC,"ADD")</f>
        <v/>
      </c>
      <c r="F21" s="31">
        <f>SUMIFS(JB_26BV,JB_B,5,JB_W,"Combat Logistics Ships",JB_RC,"ADD")</f>
        <v/>
      </c>
      <c r="G21" s="31">
        <f>SUM(C21:F21)</f>
        <v/>
      </c>
      <c r="H21" s="37">
        <f>IFERROR(G21/G$40,0)</f>
        <v/>
      </c>
    </row>
    <row r="22" ht="10" customHeight="1">
      <c r="A22" s="30" t="inlineStr">
        <is>
          <t>General Auxiliary</t>
        </is>
      </c>
      <c r="B22" s="30" t="inlineStr">
        <is>
          <t>USN</t>
        </is>
      </c>
      <c r="C22" s="31">
        <f>SUMIFS(JB_26BV,JB_B,2,JB_W,"General Auxiliary",JB_RC,"ADD")</f>
        <v/>
      </c>
      <c r="D22" s="31">
        <f>SUMIFS(JB_26BV,JB_B,3,JB_W,"General Auxiliary",JB_RC,"ADD")</f>
        <v/>
      </c>
      <c r="E22" s="31">
        <f>SUMIFS(JB_26BV,JB_B,4,JB_W,"General Auxiliary",JB_RC,"ADD")</f>
        <v/>
      </c>
      <c r="F22" s="31">
        <f>SUMIFS(JB_26BV,JB_B,5,JB_W,"General Auxiliary",JB_RC,"ADD")</f>
        <v/>
      </c>
      <c r="G22" s="31">
        <f>SUM(C22:F22)</f>
        <v/>
      </c>
      <c r="H22" s="37">
        <f>IFERROR(G22/G$40,0)</f>
        <v/>
      </c>
    </row>
    <row r="23" ht="10" customHeight="1">
      <c r="A23" s="30" t="inlineStr">
        <is>
          <t>Crane Ship</t>
        </is>
      </c>
      <c r="B23" s="30" t="inlineStr">
        <is>
          <t>USN</t>
        </is>
      </c>
      <c r="C23" s="31">
        <f>SUMIFS(JB_26BV,JB_B,2,JB_W,"Crane Ship",JB_RC,"ADD")</f>
        <v/>
      </c>
      <c r="D23" s="31">
        <f>SUMIFS(JB_26BV,JB_B,3,JB_W,"Crane Ship",JB_RC,"ADD")</f>
        <v/>
      </c>
      <c r="E23" s="31">
        <f>SUMIFS(JB_26BV,JB_B,4,JB_W,"Crane Ship",JB_RC,"ADD")</f>
        <v/>
      </c>
      <c r="F23" s="31">
        <f>SUMIFS(JB_26BV,JB_B,5,JB_W,"Crane Ship",JB_RC,"ADD")</f>
        <v/>
      </c>
      <c r="G23" s="31">
        <f>SUM(C23:F23)</f>
        <v/>
      </c>
      <c r="H23" s="37">
        <f>IFERROR(G23/G$40,0)</f>
        <v/>
      </c>
    </row>
    <row r="24" ht="10" customHeight="1">
      <c r="A24" s="30" t="inlineStr">
        <is>
          <t>Unmanned Surface Vehicles</t>
        </is>
      </c>
      <c r="B24" s="30" t="inlineStr">
        <is>
          <t>USN</t>
        </is>
      </c>
      <c r="C24" s="31">
        <f>SUMIFS(JB_26BV,JB_B,2,JB_W,"Unmanned Surface Vehicles",JB_RC,"ADD")</f>
        <v/>
      </c>
      <c r="D24" s="31">
        <f>SUMIFS(JB_26BV,JB_B,3,JB_W,"Unmanned Surface Vehicles",JB_RC,"ADD")</f>
        <v/>
      </c>
      <c r="E24" s="31">
        <f>SUMIFS(JB_26BV,JB_B,4,JB_W,"Unmanned Surface Vehicles",JB_RC,"ADD")</f>
        <v/>
      </c>
      <c r="F24" s="31">
        <f>SUMIFS(JB_26BV,JB_B,5,JB_W,"Unmanned Surface Vehicles",JB_RC,"ADD")</f>
        <v/>
      </c>
      <c r="G24" s="31">
        <f>SUM(C24:F24)</f>
        <v/>
      </c>
      <c r="H24" s="37">
        <f>IFERROR(G24/G$40,0)</f>
        <v/>
      </c>
    </row>
    <row r="25" ht="10" customHeight="1">
      <c r="A25" s="30" t="inlineStr">
        <is>
          <t>Salvage Ships &amp; Fleet Ocean Tugs</t>
        </is>
      </c>
      <c r="B25" s="30" t="inlineStr">
        <is>
          <t>MSC</t>
        </is>
      </c>
      <c r="C25" s="31">
        <f>SUMIFS(JB_26BV,JB_B,2,JB_W,"Salvage Ships &amp; Fleet Ocean Tugs",JB_RC,"ADD")</f>
        <v/>
      </c>
      <c r="D25" s="31">
        <f>SUMIFS(JB_26BV,JB_B,3,JB_W,"Salvage Ships &amp; Fleet Ocean Tugs",JB_RC,"ADD")</f>
        <v/>
      </c>
      <c r="E25" s="31">
        <f>SUMIFS(JB_26BV,JB_B,4,JB_W,"Salvage Ships &amp; Fleet Ocean Tugs",JB_RC,"ADD")</f>
        <v/>
      </c>
      <c r="F25" s="31">
        <f>SUMIFS(JB_26BV,JB_B,5,JB_W,"Salvage Ships &amp; Fleet Ocean Tugs",JB_RC,"ADD")</f>
        <v/>
      </c>
      <c r="G25" s="31">
        <f>SUM(C25:F25)</f>
        <v/>
      </c>
      <c r="H25" s="37">
        <f>IFERROR(G25/G$40,0)</f>
        <v/>
      </c>
    </row>
    <row r="26" ht="10" customHeight="1">
      <c r="A26" s="30" t="inlineStr">
        <is>
          <t>Research, Survey &amp; Instrumentation Ships</t>
        </is>
      </c>
      <c r="B26" s="30" t="inlineStr">
        <is>
          <t>MSC</t>
        </is>
      </c>
      <c r="C26" s="31">
        <f>SUMIFS(JB_26BV,JB_B,2,JB_W,"Research, Survey &amp; Instrumentation Ships",JB_RC,"ADD")</f>
        <v/>
      </c>
      <c r="D26" s="31">
        <f>SUMIFS(JB_26BV,JB_B,3,JB_W,"Research, Survey &amp; Instrumentation Ships",JB_RC,"ADD")</f>
        <v/>
      </c>
      <c r="E26" s="31">
        <f>SUMIFS(JB_26BV,JB_B,4,JB_W,"Research, Survey &amp; Instrumentation Ships",JB_RC,"ADD")</f>
        <v/>
      </c>
      <c r="F26" s="31">
        <f>SUMIFS(JB_26BV,JB_B,5,JB_W,"Research, Survey &amp; Instrumentation Ships",JB_RC,"ADD")</f>
        <v/>
      </c>
      <c r="G26" s="31">
        <f>SUM(C26:F26)</f>
        <v/>
      </c>
      <c r="H26" s="37">
        <f>IFERROR(G26/G$40,0)</f>
        <v/>
      </c>
    </row>
    <row r="27" ht="10" customHeight="1">
      <c r="A27" s="30" t="inlineStr">
        <is>
          <t>Aviation Logistics Support Ship</t>
        </is>
      </c>
      <c r="B27" s="30" t="inlineStr">
        <is>
          <t>USN</t>
        </is>
      </c>
      <c r="C27" s="31">
        <f>SUMIFS(JB_26BV,JB_B,2,JB_W,"Aviation Logistics Support Ship",JB_RC,"ADD")</f>
        <v/>
      </c>
      <c r="D27" s="31">
        <f>SUMIFS(JB_26BV,JB_B,3,JB_W,"Aviation Logistics Support Ship",JB_RC,"ADD")</f>
        <v/>
      </c>
      <c r="E27" s="31">
        <f>SUMIFS(JB_26BV,JB_B,4,JB_W,"Aviation Logistics Support Ship",JB_RC,"ADD")</f>
        <v/>
      </c>
      <c r="F27" s="31">
        <f>SUMIFS(JB_26BV,JB_B,5,JB_W,"Aviation Logistics Support Ship",JB_RC,"ADD")</f>
        <v/>
      </c>
      <c r="G27" s="31">
        <f>SUM(C27:F27)</f>
        <v/>
      </c>
      <c r="H27" s="37">
        <f>IFERROR(G27/G$40,0)</f>
        <v/>
      </c>
    </row>
    <row r="28" ht="10" customHeight="1">
      <c r="A28" s="30" t="inlineStr">
        <is>
          <t>Material Support Ships</t>
        </is>
      </c>
      <c r="B28" s="30" t="inlineStr">
        <is>
          <t>USN</t>
        </is>
      </c>
      <c r="C28" s="31">
        <f>SUMIFS(JB_26BV,JB_B,2,JB_W,"Material Support Ships",JB_RC,"ADD")</f>
        <v/>
      </c>
      <c r="D28" s="31">
        <f>SUMIFS(JB_26BV,JB_B,3,JB_W,"Material Support Ships",JB_RC,"ADD")</f>
        <v/>
      </c>
      <c r="E28" s="31">
        <f>SUMIFS(JB_26BV,JB_B,4,JB_W,"Material Support Ships",JB_RC,"ADD")</f>
        <v/>
      </c>
      <c r="F28" s="31">
        <f>SUMIFS(JB_26BV,JB_B,5,JB_W,"Material Support Ships",JB_RC,"ADD")</f>
        <v/>
      </c>
      <c r="G28" s="31">
        <f>SUM(C28:F28)</f>
        <v/>
      </c>
      <c r="H28" s="37">
        <f>IFERROR(G28/G$40,0)</f>
        <v/>
      </c>
    </row>
    <row r="29" ht="10" customHeight="1">
      <c r="A29" s="30" t="inlineStr">
        <is>
          <t>Cargo &amp; Vehicle Cargo Ships</t>
        </is>
      </c>
      <c r="B29" s="30" t="inlineStr">
        <is>
          <t>USN</t>
        </is>
      </c>
      <c r="C29" s="31">
        <f>SUMIFS(JB_26BV,JB_B,2,JB_W,"Cargo &amp; Vehicle Cargo Ships",JB_RC,"ADD")</f>
        <v/>
      </c>
      <c r="D29" s="31">
        <f>SUMIFS(JB_26BV,JB_B,3,JB_W,"Cargo &amp; Vehicle Cargo Ships",JB_RC,"ADD")</f>
        <v/>
      </c>
      <c r="E29" s="31">
        <f>SUMIFS(JB_26BV,JB_B,4,JB_W,"Cargo &amp; Vehicle Cargo Ships",JB_RC,"ADD")</f>
        <v/>
      </c>
      <c r="F29" s="31">
        <f>SUMIFS(JB_26BV,JB_B,5,JB_W,"Cargo &amp; Vehicle Cargo Ships",JB_RC,"ADD")</f>
        <v/>
      </c>
      <c r="G29" s="31">
        <f>SUM(C29:F29)</f>
        <v/>
      </c>
      <c r="H29" s="37">
        <f>IFERROR(G29/G$40,0)</f>
        <v/>
      </c>
    </row>
    <row r="30" ht="10" customHeight="1">
      <c r="A30" s="30" t="inlineStr">
        <is>
          <t>High Speed Transport</t>
        </is>
      </c>
      <c r="B30" s="30" t="inlineStr">
        <is>
          <t>USN</t>
        </is>
      </c>
      <c r="C30" s="31">
        <f>SUMIFS(JB_26BV,JB_B,2,JB_W,"High Speed Transport",JB_RC,"ADD")</f>
        <v/>
      </c>
      <c r="D30" s="31">
        <f>SUMIFS(JB_26BV,JB_B,3,JB_W,"High Speed Transport",JB_RC,"ADD")</f>
        <v/>
      </c>
      <c r="E30" s="31">
        <f>SUMIFS(JB_26BV,JB_B,4,JB_W,"High Speed Transport",JB_RC,"ADD")</f>
        <v/>
      </c>
      <c r="F30" s="31">
        <f>SUMIFS(JB_26BV,JB_B,5,JB_W,"High Speed Transport",JB_RC,"ADD")</f>
        <v/>
      </c>
      <c r="G30" s="31">
        <f>SUM(C30:F30)</f>
        <v/>
      </c>
      <c r="H30" s="37">
        <f>IFERROR(G30/G$40,0)</f>
        <v/>
      </c>
    </row>
    <row r="31" ht="10" customHeight="1">
      <c r="A31" s="30" t="inlineStr">
        <is>
          <t>Submarine Escort Ship</t>
        </is>
      </c>
      <c r="B31" s="30" t="inlineStr">
        <is>
          <t>USN</t>
        </is>
      </c>
      <c r="C31" s="31">
        <f>SUMIFS(JB_26BV,JB_B,2,JB_W,"Submarine Escort Ship",JB_RC,"ADD")</f>
        <v/>
      </c>
      <c r="D31" s="31">
        <f>SUMIFS(JB_26BV,JB_B,3,JB_W,"Submarine Escort Ship",JB_RC,"ADD")</f>
        <v/>
      </c>
      <c r="E31" s="31">
        <f>SUMIFS(JB_26BV,JB_B,4,JB_W,"Submarine Escort Ship",JB_RC,"ADD")</f>
        <v/>
      </c>
      <c r="F31" s="31">
        <f>SUMIFS(JB_26BV,JB_B,5,JB_W,"Submarine Escort Ship",JB_RC,"ADD")</f>
        <v/>
      </c>
      <c r="G31" s="31">
        <f>SUM(C31:F31)</f>
        <v/>
      </c>
      <c r="H31" s="37">
        <f>IFERROR(G31/G$40,0)</f>
        <v/>
      </c>
    </row>
    <row r="32" ht="10" customHeight="1">
      <c r="A32" s="30" t="inlineStr">
        <is>
          <t>Hospital Ship</t>
        </is>
      </c>
      <c r="B32" s="30" t="inlineStr">
        <is>
          <t>MSC</t>
        </is>
      </c>
      <c r="C32" s="31">
        <f>SUMIFS(JB_26BV,JB_B,2,JB_W,"Hospital Ship",JB_RC,"ADD")</f>
        <v/>
      </c>
      <c r="D32" s="31">
        <f>SUMIFS(JB_26BV,JB_B,3,JB_W,"Hospital Ship",JB_RC,"ADD")</f>
        <v/>
      </c>
      <c r="E32" s="31">
        <f>SUMIFS(JB_26BV,JB_B,4,JB_W,"Hospital Ship",JB_RC,"ADD")</f>
        <v/>
      </c>
      <c r="F32" s="31">
        <f>SUMIFS(JB_26BV,JB_B,5,JB_W,"Hospital Ship",JB_RC,"ADD")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Icebreakers, Oceangoing</t>
        </is>
      </c>
      <c r="B34" s="30" t="inlineStr">
        <is>
          <t>USCG</t>
        </is>
      </c>
      <c r="C34" s="31">
        <f>SUMIFS(JB_26BV,JB_B,2,JB_W,"Icebreakers, Oceangoing",JB_RC,"ADD")</f>
        <v/>
      </c>
      <c r="D34" s="31">
        <f>SUMIFS(JB_26BV,JB_B,3,JB_W,"Icebreakers, Oceangoing",JB_RC,"ADD")</f>
        <v/>
      </c>
      <c r="E34" s="31">
        <f>SUMIFS(JB_26BV,JB_B,4,JB_W,"Icebreakers, Oceangoing",JB_RC,"ADD")</f>
        <v/>
      </c>
      <c r="F34" s="31">
        <f>SUMIFS(JB_26BV,JB_B,5,JB_W,"Icebreakers, Oceangoing",JB_RC,"ADD")</f>
        <v/>
      </c>
      <c r="G34" s="31">
        <f>SUM(C34:F34)</f>
        <v/>
      </c>
      <c r="H34" s="37">
        <f>IFERROR(G34/G$40,0)</f>
        <v/>
      </c>
    </row>
    <row r="35" ht="10" customHeight="1">
      <c r="A35" s="30" t="inlineStr">
        <is>
          <t>Fast Response Cutters</t>
        </is>
      </c>
      <c r="B35" s="30" t="inlineStr">
        <is>
          <t>USCG</t>
        </is>
      </c>
      <c r="C35" s="31">
        <f>SUMIFS(JB_26BV,JB_B,2,JB_W,"Fast Response Cutters",JB_RC,"ADD")</f>
        <v/>
      </c>
      <c r="D35" s="31">
        <f>SUMIFS(JB_26BV,JB_B,3,JB_W,"Fast Response Cutters",JB_RC,"ADD")</f>
        <v/>
      </c>
      <c r="E35" s="31">
        <f>SUMIFS(JB_26BV,JB_B,4,JB_W,"Fast Response Cutters",JB_RC,"ADD")</f>
        <v/>
      </c>
      <c r="F35" s="31">
        <f>SUMIFS(JB_26BV,JB_B,5,JB_W,"Fast Response Cutters",JB_RC,"ADD")</f>
        <v/>
      </c>
      <c r="G35" s="31">
        <f>SUM(C35:F35)</f>
        <v/>
      </c>
      <c r="H35" s="37">
        <f>IFERROR(G35/G$40,0)</f>
        <v/>
      </c>
    </row>
    <row r="36" ht="10" customHeight="1">
      <c r="A36" s="30" t="inlineStr">
        <is>
          <t>Coastal Buoy Tenders</t>
        </is>
      </c>
      <c r="B36" s="30" t="inlineStr">
        <is>
          <t>USCG</t>
        </is>
      </c>
      <c r="C36" s="31">
        <f>SUMIFS(JB_26BV,JB_B,2,JB_W,"Coastal Buoy Tenders",JB_RC,"ADD")</f>
        <v/>
      </c>
      <c r="D36" s="31">
        <f>SUMIFS(JB_26BV,JB_B,3,JB_W,"Coastal Buoy Tenders",JB_RC,"ADD")</f>
        <v/>
      </c>
      <c r="E36" s="31">
        <f>SUMIFS(JB_26BV,JB_B,4,JB_W,"Coastal Buoy Tenders",JB_RC,"ADD")</f>
        <v/>
      </c>
      <c r="F36" s="31">
        <f>SUMIFS(JB_26BV,JB_B,5,JB_W,"Coastal Buoy Tenders",JB_RC,"ADD")</f>
        <v/>
      </c>
      <c r="G36" s="31">
        <f>SUM(C36:F36)</f>
        <v/>
      </c>
      <c r="H36" s="37">
        <f>IFERROR(G36/G$40,0)</f>
        <v/>
      </c>
    </row>
    <row r="37" ht="10" customHeight="1">
      <c r="A37" s="30" t="inlineStr">
        <is>
          <t>Waterways Commerce Cutters</t>
        </is>
      </c>
      <c r="B37" s="30" t="inlineStr">
        <is>
          <t>USCG</t>
        </is>
      </c>
      <c r="C37" s="31">
        <f>SUMIFS(JB_26BV,JB_B,2,JB_W,"Waterways Commerce Cutters",JB_RC,"ADD")</f>
        <v/>
      </c>
      <c r="D37" s="31">
        <f>SUMIFS(JB_26BV,JB_B,3,JB_W,"Waterways Commerce Cutters",JB_RC,"ADD")</f>
        <v/>
      </c>
      <c r="E37" s="31">
        <f>SUMIFS(JB_26BV,JB_B,4,JB_W,"Waterways Commerce Cutters",JB_RC,"ADD")</f>
        <v/>
      </c>
      <c r="F37" s="31">
        <f>SUMIFS(JB_26BV,JB_B,5,JB_W,"Waterways Commerce Cutters",JB_RC,"ADD")</f>
        <v/>
      </c>
      <c r="G37" s="31">
        <f>SUM(C37:F37)</f>
        <v/>
      </c>
      <c r="H37" s="37">
        <f>IFERROR(G37/G$40,0)</f>
        <v/>
      </c>
    </row>
    <row r="38" ht="10" customHeight="1">
      <c r="A38" s="30" t="inlineStr">
        <is>
          <t>Icebreakers, Great Lakes</t>
        </is>
      </c>
      <c r="B38" s="30" t="inlineStr">
        <is>
          <t>USCG</t>
        </is>
      </c>
      <c r="C38" s="31">
        <f>SUMIFS(JB_26BV,JB_B,2,JB_W,"Icebreakers, Great Lakes",JB_RC,"ADD")</f>
        <v/>
      </c>
      <c r="D38" s="31">
        <f>SUMIFS(JB_26BV,JB_B,3,JB_W,"Icebreakers, Great Lakes",JB_RC,"ADD")</f>
        <v/>
      </c>
      <c r="E38" s="31">
        <f>SUMIFS(JB_26BV,JB_B,4,JB_W,"Icebreakers, Great Lakes",JB_RC,"ADD")</f>
        <v/>
      </c>
      <c r="F38" s="31">
        <f>SUMIFS(JB_26BV,JB_B,5,JB_W,"Icebreakers, Great Lakes",JB_RC,"ADD")</f>
        <v/>
      </c>
      <c r="G38" s="31">
        <f>SUM(C38:F38)</f>
        <v/>
      </c>
      <c r="H38" s="37">
        <f>IFERROR(G38/G$40,0)</f>
        <v/>
      </c>
    </row>
    <row r="39" ht="10" customHeight="1">
      <c r="A39" s="30" t="inlineStr">
        <is>
          <t>Offshore Patrol Cutter</t>
        </is>
      </c>
      <c r="B39" s="30" t="inlineStr">
        <is>
          <t>USCG</t>
        </is>
      </c>
      <c r="C39" s="31">
        <f>SUMIFS(JB_26BV,JB_B,2,JB_W,"Offshore Patrol Cutter",JB_RC,"ADD")</f>
        <v/>
      </c>
      <c r="D39" s="31">
        <f>SUMIFS(JB_26BV,JB_B,3,JB_W,"Offshore Patrol Cutter",JB_RC,"ADD")</f>
        <v/>
      </c>
      <c r="E39" s="31">
        <f>SUMIFS(JB_26BV,JB_B,4,JB_W,"Offshore Patrol Cutter",JB_RC,"ADD")</f>
        <v/>
      </c>
      <c r="F39" s="31">
        <f>SUMIFS(JB_26BV,JB_B,5,JB_W,"Offshore Patrol Cutter",JB_RC,"ADD")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c r="J43" s="28" t="n"/>
      <c r="K43" s="28" t="n"/>
      <c r="L43" s="28" t="n"/>
      <c r="M43" s="28" t="n"/>
      <c r="N43" s="28" t="n"/>
    </row>
    <row r="44" ht="10" customHeight="1">
      <c r="A44" s="39" t="n"/>
      <c r="B44" s="40" t="inlineStr">
        <is>
          <t>USN</t>
        </is>
      </c>
      <c r="C44" s="39" t="n"/>
      <c r="D44" s="39" t="n"/>
      <c r="E44" s="39" t="n"/>
      <c r="F44" s="39" t="n"/>
      <c r="G44" s="39" t="n"/>
      <c r="H44" s="39" t="n"/>
      <c r="I44" s="39" t="n"/>
      <c r="J44" s="39" t="n"/>
      <c r="K44" s="39" t="n"/>
      <c r="L44" s="39" t="n"/>
      <c r="M44" s="40" t="inlineStr">
        <is>
          <t>USCG</t>
        </is>
      </c>
      <c r="N44" s="41" t="n"/>
    </row>
    <row r="45" ht="10" customHeight="1">
      <c r="A45" s="29" t="inlineStr">
        <is>
          <t>Work Type</t>
        </is>
      </c>
      <c r="B45" s="42" t="inlineStr">
        <is>
          <t>DDG</t>
        </is>
      </c>
      <c r="C45" s="29" t="inlineStr">
        <is>
          <t>LCS</t>
        </is>
      </c>
      <c r="D45" s="29" t="inlineStr">
        <is>
          <t>LHD</t>
        </is>
      </c>
      <c r="E45" s="29" t="inlineStr">
        <is>
          <t>LPD</t>
        </is>
      </c>
      <c r="F45" s="29" t="inlineStr">
        <is>
          <t>CG</t>
        </is>
      </c>
      <c r="G45" s="29" t="inlineStr">
        <is>
          <t>LSD</t>
        </is>
      </c>
      <c r="H45" s="29" t="inlineStr">
        <is>
          <t>LHA</t>
        </is>
      </c>
      <c r="I45" s="29" t="inlineStr">
        <is>
          <t>LCC</t>
        </is>
      </c>
      <c r="J45" s="29" t="inlineStr">
        <is>
          <t>T-AGOS</t>
        </is>
      </c>
      <c r="K45" s="29" t="inlineStr">
        <is>
          <t>MCM</t>
        </is>
      </c>
      <c r="L45" s="29" t="inlineStr">
        <is>
          <t>ESB</t>
        </is>
      </c>
      <c r="M45" s="42" t="inlineStr">
        <is>
          <t>WMSL</t>
        </is>
      </c>
      <c r="N45" s="42" t="inlineStr">
        <is>
          <t>Total</t>
        </is>
      </c>
    </row>
    <row r="46" ht="10" customHeight="1">
      <c r="A46" s="30" t="inlineStr">
        <is>
          <t>Scheduled Depot Maintenance</t>
        </is>
      </c>
      <c r="B46" s="43">
        <f>IFERROR((SUMIFS(JB_26BV,JB_B,2,JB_H,"DDG",JB_RC,"ADD"))/B$50,0)</f>
        <v/>
      </c>
      <c r="C46" s="37">
        <f>IFERROR((SUMIFS(JB_26BV,JB_B,2,JB_H,"LCS",JB_RC,"ADD"))/C$50,0)</f>
        <v/>
      </c>
      <c r="D46" s="37">
        <f>IFERROR((SUMIFS(JB_26BV,JB_B,2,JB_H,"LHD",JB_RC,"ADD"))/D$50,0)</f>
        <v/>
      </c>
      <c r="E46" s="37">
        <f>IFERROR((SUMIFS(JB_26BV,JB_B,2,JB_H,"LPD",JB_RC,"ADD"))/E$50,0)</f>
        <v/>
      </c>
      <c r="F46" s="37">
        <f>IFERROR((SUMIFS(JB_26BV,JB_B,2,JB_H,"CG",JB_RC,"ADD"))/F$50,0)</f>
        <v/>
      </c>
      <c r="G46" s="37">
        <f>IFERROR((SUMIFS(JB_26BV,JB_B,2,JB_H,"LSD",JB_RC,"ADD"))/G$50,0)</f>
        <v/>
      </c>
      <c r="H46" s="37">
        <f>IFERROR((SUMIFS(JB_26BV,JB_B,2,JB_H,"LHA",JB_RC,"ADD"))/H$50,0)</f>
        <v/>
      </c>
      <c r="I46" s="37">
        <f>IFERROR((SUMIFS(JB_26BV,JB_B,2,JB_H,"LCC",JB_RC,"ADD"))/I$50,0)</f>
        <v/>
      </c>
      <c r="J46" s="37">
        <f>IFERROR((SUMIFS(JB_26BV,JB_B,2,JB_H,"T-AGOS",JB_RC,"ADD"))/J$50,0)</f>
        <v/>
      </c>
      <c r="K46" s="37">
        <f>IFERROR((SUMIFS(JB_26BV,JB_B,2,JB_H,"MCM",JB_RC,"ADD"))/K$50,0)</f>
        <v/>
      </c>
      <c r="L46" s="37">
        <f>IFERROR((SUMIFS(JB_26BV,JB_B,2,JB_H,"ESB",JB_RC,"ADD"))/L$50,0)</f>
        <v/>
      </c>
      <c r="M46" s="43">
        <f>IFERROR((SUMIFS(JB_26BV,JB_B,2,JB_H,"WMSL",JB_RC,"ADD"))/M$50,0)</f>
        <v/>
      </c>
      <c r="N46"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$50,0)</f>
        <v/>
      </c>
    </row>
    <row r="47" ht="10" customHeight="1">
      <c r="A47" s="30" t="inlineStr">
        <is>
          <t>Continuous / Emergent Maintenance</t>
        </is>
      </c>
      <c r="B47" s="43">
        <f>IFERROR((SUMIFS(JB_26BV,JB_B,3,JB_H,"DDG",JB_RC,"ADD"))/B$50,0)</f>
        <v/>
      </c>
      <c r="C47" s="37">
        <f>IFERROR((SUMIFS(JB_26BV,JB_B,3,JB_H,"LCS",JB_RC,"ADD"))/C$50,0)</f>
        <v/>
      </c>
      <c r="D47" s="37">
        <f>IFERROR((SUMIFS(JB_26BV,JB_B,3,JB_H,"LHD",JB_RC,"ADD"))/D$50,0)</f>
        <v/>
      </c>
      <c r="E47" s="37">
        <f>IFERROR((SUMIFS(JB_26BV,JB_B,3,JB_H,"LPD",JB_RC,"ADD"))/E$50,0)</f>
        <v/>
      </c>
      <c r="F47" s="37">
        <f>IFERROR((SUMIFS(JB_26BV,JB_B,3,JB_H,"CG",JB_RC,"ADD"))/F$50,0)</f>
        <v/>
      </c>
      <c r="G47" s="37">
        <f>IFERROR((SUMIFS(JB_26BV,JB_B,3,JB_H,"LSD",JB_RC,"ADD"))/G$50,0)</f>
        <v/>
      </c>
      <c r="H47" s="37">
        <f>IFERROR((SUMIFS(JB_26BV,JB_B,3,JB_H,"LHA",JB_RC,"ADD"))/H$50,0)</f>
        <v/>
      </c>
      <c r="I47" s="37">
        <f>IFERROR((SUMIFS(JB_26BV,JB_B,3,JB_H,"LCC",JB_RC,"ADD"))/I$50,0)</f>
        <v/>
      </c>
      <c r="J47" s="37">
        <f>IFERROR((SUMIFS(JB_26BV,JB_B,3,JB_H,"T-AGOS",JB_RC,"ADD"))/J$50,0)</f>
        <v/>
      </c>
      <c r="K47" s="37">
        <f>IFERROR((SUMIFS(JB_26BV,JB_B,3,JB_H,"MCM",JB_RC,"ADD"))/K$50,0)</f>
        <v/>
      </c>
      <c r="L47" s="37">
        <f>IFERROR((SUMIFS(JB_26BV,JB_B,3,JB_H,"ESB",JB_RC,"ADD"))/L$50,0)</f>
        <v/>
      </c>
      <c r="M47" s="43">
        <f>IFERROR((SUMIFS(JB_26BV,JB_B,3,JB_H,"WMSL",JB_RC,"ADD"))/M$50,0)</f>
        <v/>
      </c>
      <c r="N47"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$50,0)</f>
        <v/>
      </c>
    </row>
    <row r="48" ht="10" customHeight="1">
      <c r="A48" s="30" t="inlineStr">
        <is>
          <t>Modernization</t>
        </is>
      </c>
      <c r="B48" s="43">
        <f>IFERROR((SUMIFS(JB_26BV,JB_B,4,JB_H,"DDG",JB_RC,"ADD"))/B$50,0)</f>
        <v/>
      </c>
      <c r="C48" s="37">
        <f>IFERROR((SUMIFS(JB_26BV,JB_B,4,JB_H,"LCS",JB_RC,"ADD"))/C$50,0)</f>
        <v/>
      </c>
      <c r="D48" s="37">
        <f>IFERROR((SUMIFS(JB_26BV,JB_B,4,JB_H,"LHD",JB_RC,"ADD"))/D$50,0)</f>
        <v/>
      </c>
      <c r="E48" s="37">
        <f>IFERROR((SUMIFS(JB_26BV,JB_B,4,JB_H,"LPD",JB_RC,"ADD"))/E$50,0)</f>
        <v/>
      </c>
      <c r="F48" s="37">
        <f>IFERROR((SUMIFS(JB_26BV,JB_B,4,JB_H,"CG",JB_RC,"ADD"))/F$50,0)</f>
        <v/>
      </c>
      <c r="G48" s="37">
        <f>IFERROR((SUMIFS(JB_26BV,JB_B,4,JB_H,"LSD",JB_RC,"ADD"))/G$50,0)</f>
        <v/>
      </c>
      <c r="H48" s="37">
        <f>IFERROR((SUMIFS(JB_26BV,JB_B,4,JB_H,"LHA",JB_RC,"ADD"))/H$50,0)</f>
        <v/>
      </c>
      <c r="I48" s="37">
        <f>IFERROR((SUMIFS(JB_26BV,JB_B,4,JB_H,"LCC",JB_RC,"ADD"))/I$50,0)</f>
        <v/>
      </c>
      <c r="J48" s="37">
        <f>IFERROR((SUMIFS(JB_26BV,JB_B,4,JB_H,"T-AGOS",JB_RC,"ADD"))/J$50,0)</f>
        <v/>
      </c>
      <c r="K48" s="37">
        <f>IFERROR((SUMIFS(JB_26BV,JB_B,4,JB_H,"MCM",JB_RC,"ADD"))/K$50,0)</f>
        <v/>
      </c>
      <c r="L48" s="37">
        <f>IFERROR((SUMIFS(JB_26BV,JB_B,4,JB_H,"ESB",JB_RC,"ADD"))/L$50,0)</f>
        <v/>
      </c>
      <c r="M48" s="43">
        <f>IFERROR((SUMIFS(JB_26BV,JB_B,4,JB_H,"WMSL",JB_RC,"ADD"))/M$50,0)</f>
        <v/>
      </c>
      <c r="N48"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$50,0)</f>
        <v/>
      </c>
    </row>
    <row r="49" ht="10" customHeight="1">
      <c r="A49" s="30" t="inlineStr">
        <is>
          <t>Major Life-Cycle Events / RCOH</t>
        </is>
      </c>
      <c r="B49" s="43">
        <f>IFERROR((SUMIFS(JB_26BV,JB_B,5,JB_H,"DDG",JB_RC,"ADD"))/B$50,0)</f>
        <v/>
      </c>
      <c r="C49" s="37">
        <f>IFERROR((SUMIFS(JB_26BV,JB_B,5,JB_H,"LCS",JB_RC,"ADD"))/C$50,0)</f>
        <v/>
      </c>
      <c r="D49" s="37">
        <f>IFERROR((SUMIFS(JB_26BV,JB_B,5,JB_H,"LHD",JB_RC,"ADD"))/D$50,0)</f>
        <v/>
      </c>
      <c r="E49" s="37">
        <f>IFERROR((SUMIFS(JB_26BV,JB_B,5,JB_H,"LPD",JB_RC,"ADD"))/E$50,0)</f>
        <v/>
      </c>
      <c r="F49" s="37">
        <f>IFERROR((SUMIFS(JB_26BV,JB_B,5,JB_H,"CG",JB_RC,"ADD"))/F$50,0)</f>
        <v/>
      </c>
      <c r="G49" s="37">
        <f>IFERROR((SUMIFS(JB_26BV,JB_B,5,JB_H,"LSD",JB_RC,"ADD"))/G$50,0)</f>
        <v/>
      </c>
      <c r="H49" s="37">
        <f>IFERROR((SUMIFS(JB_26BV,JB_B,5,JB_H,"LHA",JB_RC,"ADD"))/H$50,0)</f>
        <v/>
      </c>
      <c r="I49" s="37">
        <f>IFERROR((SUMIFS(JB_26BV,JB_B,5,JB_H,"LCC",JB_RC,"ADD"))/I$50,0)</f>
        <v/>
      </c>
      <c r="J49" s="37">
        <f>IFERROR((SUMIFS(JB_26BV,JB_B,5,JB_H,"T-AGOS",JB_RC,"ADD"))/J$50,0)</f>
        <v/>
      </c>
      <c r="K49" s="37">
        <f>IFERROR((SUMIFS(JB_26BV,JB_B,5,JB_H,"MCM",JB_RC,"ADD"))/K$50,0)</f>
        <v/>
      </c>
      <c r="L49" s="37">
        <f>IFERROR((SUMIFS(JB_26BV,JB_B,5,JB_H,"ESB",JB_RC,"ADD"))/L$50,0)</f>
        <v/>
      </c>
      <c r="M49" s="43">
        <f>IFERROR((SUMIFS(JB_26BV,JB_B,5,JB_H,"WMSL",JB_RC,"ADD"))/M$50,0)</f>
        <v/>
      </c>
      <c r="N49"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$50,0)</f>
        <v/>
      </c>
    </row>
    <row r="50" ht="10" customHeight="1">
      <c r="A50" s="32" t="inlineStr">
        <is>
          <t>Total ($K)</t>
        </is>
      </c>
      <c r="B50" s="44">
        <f>SUMIFS(JB_26BV,JB_B,2,JB_H,"DDG",JB_RC,"ADD")+SUMIFS(JB_26BV,JB_B,3,JB_H,"DDG",JB_RC,"ADD")+SUMIFS(JB_26BV,JB_B,4,JB_H,"DDG",JB_RC,"ADD")+SUMIFS(JB_26BV,JB_B,5,JB_H,"DDG",JB_RC,"ADD")</f>
        <v/>
      </c>
      <c r="C50" s="33">
        <f>SUMIFS(JB_26BV,JB_B,2,JB_H,"LCS",JB_RC,"ADD")+SUMIFS(JB_26BV,JB_B,3,JB_H,"LCS",JB_RC,"ADD")+SUMIFS(JB_26BV,JB_B,4,JB_H,"LCS",JB_RC,"ADD")+SUMIFS(JB_26BV,JB_B,5,JB_H,"LCS",JB_RC,"ADD")</f>
        <v/>
      </c>
      <c r="D50" s="33">
        <f>SUMIFS(JB_26BV,JB_B,2,JB_H,"LHD",JB_RC,"ADD")+SUMIFS(JB_26BV,JB_B,3,JB_H,"LHD",JB_RC,"ADD")+SUMIFS(JB_26BV,JB_B,4,JB_H,"LHD",JB_RC,"ADD")+SUMIFS(JB_26BV,JB_B,5,JB_H,"LHD",JB_RC,"ADD")</f>
        <v/>
      </c>
      <c r="E50" s="33">
        <f>SUMIFS(JB_26BV,JB_B,2,JB_H,"LPD",JB_RC,"ADD")+SUMIFS(JB_26BV,JB_B,3,JB_H,"LPD",JB_RC,"ADD")+SUMIFS(JB_26BV,JB_B,4,JB_H,"LPD",JB_RC,"ADD")+SUMIFS(JB_26BV,JB_B,5,JB_H,"LPD",JB_RC,"ADD")</f>
        <v/>
      </c>
      <c r="F50" s="33">
        <f>SUMIFS(JB_26BV,JB_B,2,JB_H,"CG",JB_RC,"ADD")+SUMIFS(JB_26BV,JB_B,3,JB_H,"CG",JB_RC,"ADD")+SUMIFS(JB_26BV,JB_B,4,JB_H,"CG",JB_RC,"ADD")+SUMIFS(JB_26BV,JB_B,5,JB_H,"CG",JB_RC,"ADD")</f>
        <v/>
      </c>
      <c r="G50" s="33">
        <f>SUMIFS(JB_26BV,JB_B,2,JB_H,"LSD",JB_RC,"ADD")+SUMIFS(JB_26BV,JB_B,3,JB_H,"LSD",JB_RC,"ADD")+SUMIFS(JB_26BV,JB_B,4,JB_H,"LSD",JB_RC,"ADD")+SUMIFS(JB_26BV,JB_B,5,JB_H,"LSD",JB_RC,"ADD")</f>
        <v/>
      </c>
      <c r="H50" s="33">
        <f>SUMIFS(JB_26BV,JB_B,2,JB_H,"LHA",JB_RC,"ADD")+SUMIFS(JB_26BV,JB_B,3,JB_H,"LHA",JB_RC,"ADD")+SUMIFS(JB_26BV,JB_B,4,JB_H,"LHA",JB_RC,"ADD")+SUMIFS(JB_26BV,JB_B,5,JB_H,"LHA",JB_RC,"ADD")</f>
        <v/>
      </c>
      <c r="I50" s="33">
        <f>SUMIFS(JB_26BV,JB_B,2,JB_H,"LCC",JB_RC,"ADD")+SUMIFS(JB_26BV,JB_B,3,JB_H,"LCC",JB_RC,"ADD")+SUMIFS(JB_26BV,JB_B,4,JB_H,"LCC",JB_RC,"ADD")+SUMIFS(JB_26BV,JB_B,5,JB_H,"LCC",JB_RC,"ADD")</f>
        <v/>
      </c>
      <c r="J50" s="33">
        <f>SUMIFS(JB_26BV,JB_B,2,JB_H,"T-AGOS",JB_RC,"ADD")+SUMIFS(JB_26BV,JB_B,3,JB_H,"T-AGOS",JB_RC,"ADD")+SUMIFS(JB_26BV,JB_B,4,JB_H,"T-AGOS",JB_RC,"ADD")+SUMIFS(JB_26BV,JB_B,5,JB_H,"T-AGOS",JB_RC,"ADD")</f>
        <v/>
      </c>
      <c r="K50" s="33">
        <f>SUMIFS(JB_26BV,JB_B,2,JB_H,"MCM",JB_RC,"ADD")+SUMIFS(JB_26BV,JB_B,3,JB_H,"MCM",JB_RC,"ADD")+SUMIFS(JB_26BV,JB_B,4,JB_H,"MCM",JB_RC,"ADD")+SUMIFS(JB_26BV,JB_B,5,JB_H,"MCM",JB_RC,"ADD")</f>
        <v/>
      </c>
      <c r="L50" s="33">
        <f>SUMIFS(JB_26BV,JB_B,2,JB_H,"ESB",JB_RC,"ADD")+SUMIFS(JB_26BV,JB_B,3,JB_H,"ESB",JB_RC,"ADD")+SUMIFS(JB_26BV,JB_B,4,JB_H,"ESB",JB_RC,"ADD")+SUMIFS(JB_26BV,JB_B,5,JB_H,"ESB",JB_RC,"ADD")</f>
        <v/>
      </c>
      <c r="M50" s="44">
        <f>SUMIFS(JB_26BV,JB_B,2,JB_H,"WMSL",JB_RC,"ADD")+SUMIFS(JB_26BV,JB_B,3,JB_H,"WMSL",JB_RC,"ADD")+SUMIFS(JB_26BV,JB_B,4,JB_H,"WMSL",JB_RC,"ADD")+SUMIFS(JB_26BV,JB_B,5,JB_H,"WMSL",JB_RC,"ADD")</f>
        <v/>
      </c>
      <c r="N50" s="44">
        <f>SUM(B50:M50)</f>
        <v/>
      </c>
    </row>
    <row r="51" ht="10" customHeight="1"/>
    <row r="52" ht="10" customHeight="1"/>
    <row r="53" ht="10" customHeight="1">
      <c r="A53" s="27" t="inlineStr">
        <is>
          <t>(D) MRO SAM (all programs) by Hull Program — FY2026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SUMIFS(JB_26BV,JB_B,2,JB_H,"DDG",JB_RC,"ADD")</f>
        <v/>
      </c>
      <c r="E56" s="31">
        <f>SUMIFS(JB_26BV,JB_B,3,JB_H,"DDG",JB_RC,"ADD")</f>
        <v/>
      </c>
      <c r="F56" s="31">
        <f>SUMIFS(JB_26BV,JB_B,4,JB_H,"DDG",JB_RC,"ADD")</f>
        <v/>
      </c>
      <c r="G56" s="31">
        <f>SUMIFS(JB_26BV,JB_B,5,JB_H,"DDG",JB_RC,"ADD")</f>
        <v/>
      </c>
      <c r="H56" s="31">
        <f>SUM(D56:G56)</f>
        <v/>
      </c>
      <c r="I56" s="37">
        <f>IFERROR(H56/H$68,0)</f>
        <v/>
      </c>
    </row>
    <row r="57" ht="10" customHeight="1">
      <c r="A57" s="30" t="inlineStr">
        <is>
          <t>LCS</t>
        </is>
      </c>
      <c r="B57" s="30" t="inlineStr">
        <is>
          <t>Surface Combatants</t>
        </is>
      </c>
      <c r="C57" s="30" t="inlineStr">
        <is>
          <t>USN</t>
        </is>
      </c>
      <c r="D57" s="31">
        <f>SUMIFS(JB_26BV,JB_B,2,JB_H,"LCS",JB_RC,"ADD")</f>
        <v/>
      </c>
      <c r="E57" s="31">
        <f>SUMIFS(JB_26BV,JB_B,3,JB_H,"LCS",JB_RC,"ADD")</f>
        <v/>
      </c>
      <c r="F57" s="31">
        <f>SUMIFS(JB_26BV,JB_B,4,JB_H,"LCS",JB_RC,"ADD")</f>
        <v/>
      </c>
      <c r="G57" s="31">
        <f>SUMIFS(JB_26BV,JB_B,5,JB_H,"LCS",JB_RC,"ADD")</f>
        <v/>
      </c>
      <c r="H57" s="31">
        <f>SUM(D57:G57)</f>
        <v/>
      </c>
      <c r="I57" s="37">
        <f>IFERROR(H57/H$68,0)</f>
        <v/>
      </c>
    </row>
    <row r="58" ht="10" customHeight="1">
      <c r="A58" s="30" t="inlineStr">
        <is>
          <t>LHD</t>
        </is>
      </c>
      <c r="B58" s="30" t="inlineStr">
        <is>
          <t>Amphibious Warfare Ships</t>
        </is>
      </c>
      <c r="C58" s="30" t="inlineStr">
        <is>
          <t>USN</t>
        </is>
      </c>
      <c r="D58" s="31">
        <f>SUMIFS(JB_26BV,JB_B,2,JB_H,"LHD",JB_RC,"ADD")</f>
        <v/>
      </c>
      <c r="E58" s="31">
        <f>SUMIFS(JB_26BV,JB_B,3,JB_H,"LHD",JB_RC,"ADD")</f>
        <v/>
      </c>
      <c r="F58" s="31">
        <f>SUMIFS(JB_26BV,JB_B,4,JB_H,"LHD",JB_RC,"ADD")</f>
        <v/>
      </c>
      <c r="G58" s="31">
        <f>SUMIFS(JB_26BV,JB_B,5,JB_H,"LHD",JB_RC,"ADD")</f>
        <v/>
      </c>
      <c r="H58" s="31">
        <f>SUM(D58:G58)</f>
        <v/>
      </c>
      <c r="I58" s="37">
        <f>IFERROR(H58/H$68,0)</f>
        <v/>
      </c>
    </row>
    <row r="59" ht="10" customHeight="1">
      <c r="A59" s="30" t="inlineStr">
        <is>
          <t>LPD</t>
        </is>
      </c>
      <c r="B59" s="30" t="inlineStr">
        <is>
          <t>Amphibious Warfare Ships</t>
        </is>
      </c>
      <c r="C59" s="30" t="inlineStr">
        <is>
          <t>USN</t>
        </is>
      </c>
      <c r="D59" s="31">
        <f>SUMIFS(JB_26BV,JB_B,2,JB_H,"LPD",JB_RC,"ADD")</f>
        <v/>
      </c>
      <c r="E59" s="31">
        <f>SUMIFS(JB_26BV,JB_B,3,JB_H,"LPD",JB_RC,"ADD")</f>
        <v/>
      </c>
      <c r="F59" s="31">
        <f>SUMIFS(JB_26BV,JB_B,4,JB_H,"LPD",JB_RC,"ADD")</f>
        <v/>
      </c>
      <c r="G59" s="31">
        <f>SUMIFS(JB_26BV,JB_B,5,JB_H,"LPD",JB_RC,"ADD")</f>
        <v/>
      </c>
      <c r="H59" s="31">
        <f>SUM(D59:G59)</f>
        <v/>
      </c>
      <c r="I59" s="37">
        <f>IFERROR(H59/H$68,0)</f>
        <v/>
      </c>
    </row>
    <row r="60" ht="10" customHeight="1">
      <c r="A60" s="30" t="inlineStr">
        <is>
          <t>CG</t>
        </is>
      </c>
      <c r="B60" s="30" t="inlineStr">
        <is>
          <t>Surface Combatants</t>
        </is>
      </c>
      <c r="C60" s="30" t="inlineStr">
        <is>
          <t>USN</t>
        </is>
      </c>
      <c r="D60" s="31">
        <f>SUMIFS(JB_26BV,JB_B,2,JB_H,"CG",JB_RC,"ADD")</f>
        <v/>
      </c>
      <c r="E60" s="31">
        <f>SUMIFS(JB_26BV,JB_B,3,JB_H,"CG",JB_RC,"ADD")</f>
        <v/>
      </c>
      <c r="F60" s="31">
        <f>SUMIFS(JB_26BV,JB_B,4,JB_H,"CG",JB_RC,"ADD")</f>
        <v/>
      </c>
      <c r="G60" s="31">
        <f>SUMIFS(JB_26BV,JB_B,5,JB_H,"CG",JB_RC,"ADD")</f>
        <v/>
      </c>
      <c r="H60" s="31">
        <f>SUM(D60:G60)</f>
        <v/>
      </c>
      <c r="I60" s="37">
        <f>IFERROR(H60/H$68,0)</f>
        <v/>
      </c>
    </row>
    <row r="61" ht="10" customHeight="1">
      <c r="A61" s="30" t="inlineStr">
        <is>
          <t>LSD</t>
        </is>
      </c>
      <c r="B61" s="30" t="inlineStr">
        <is>
          <t>Amphibious Warfare Ships</t>
        </is>
      </c>
      <c r="C61" s="30" t="inlineStr">
        <is>
          <t>USN</t>
        </is>
      </c>
      <c r="D61" s="31">
        <f>SUMIFS(JB_26BV,JB_B,2,JB_H,"LSD",JB_RC,"ADD")</f>
        <v/>
      </c>
      <c r="E61" s="31">
        <f>SUMIFS(JB_26BV,JB_B,3,JB_H,"LSD",JB_RC,"ADD")</f>
        <v/>
      </c>
      <c r="F61" s="31">
        <f>SUMIFS(JB_26BV,JB_B,4,JB_H,"LSD",JB_RC,"ADD")</f>
        <v/>
      </c>
      <c r="G61" s="31">
        <f>SUMIFS(JB_26BV,JB_B,5,JB_H,"LSD",JB_RC,"ADD")</f>
        <v/>
      </c>
      <c r="H61" s="31">
        <f>SUM(D61:G61)</f>
        <v/>
      </c>
      <c r="I61" s="37">
        <f>IFERROR(H61/H$68,0)</f>
        <v/>
      </c>
    </row>
    <row r="62" ht="10" customHeight="1">
      <c r="A62" s="30" t="inlineStr">
        <is>
          <t>LHA</t>
        </is>
      </c>
      <c r="B62" s="30" t="inlineStr">
        <is>
          <t>Amphibious Warfare Ships</t>
        </is>
      </c>
      <c r="C62" s="30" t="inlineStr">
        <is>
          <t>USN</t>
        </is>
      </c>
      <c r="D62" s="31">
        <f>SUMIFS(JB_26BV,JB_B,2,JB_H,"LHA",JB_RC,"ADD")</f>
        <v/>
      </c>
      <c r="E62" s="31">
        <f>SUMIFS(JB_26BV,JB_B,3,JB_H,"LHA",JB_RC,"ADD")</f>
        <v/>
      </c>
      <c r="F62" s="31">
        <f>SUMIFS(JB_26BV,JB_B,4,JB_H,"LHA",JB_RC,"ADD")</f>
        <v/>
      </c>
      <c r="G62" s="31">
        <f>SUMIFS(JB_26BV,JB_B,5,JB_H,"LHA",JB_RC,"ADD")</f>
        <v/>
      </c>
      <c r="H62" s="31">
        <f>SUM(D62:G62)</f>
        <v/>
      </c>
      <c r="I62" s="37">
        <f>IFERROR(H62/H$68,0)</f>
        <v/>
      </c>
    </row>
    <row r="63" ht="10" customHeight="1">
      <c r="A63" s="30" t="inlineStr">
        <is>
          <t>LCC</t>
        </is>
      </c>
      <c r="B63" s="30" t="inlineStr">
        <is>
          <t>Command Ships</t>
        </is>
      </c>
      <c r="C63" s="30" t="inlineStr">
        <is>
          <t>USN</t>
        </is>
      </c>
      <c r="D63" s="31">
        <f>SUMIFS(JB_26BV,JB_B,2,JB_H,"LCC",JB_RC,"ADD")</f>
        <v/>
      </c>
      <c r="E63" s="31">
        <f>SUMIFS(JB_26BV,JB_B,3,JB_H,"LCC",JB_RC,"ADD")</f>
        <v/>
      </c>
      <c r="F63" s="31">
        <f>SUMIFS(JB_26BV,JB_B,4,JB_H,"LCC",JB_RC,"ADD")</f>
        <v/>
      </c>
      <c r="G63" s="31">
        <f>SUMIFS(JB_26BV,JB_B,5,JB_H,"LCC",JB_RC,"ADD")</f>
        <v/>
      </c>
      <c r="H63" s="31">
        <f>SUM(D63:G63)</f>
        <v/>
      </c>
      <c r="I63" s="37">
        <f>IFERROR(H63/H$68,0)</f>
        <v/>
      </c>
    </row>
    <row r="64" ht="10" customHeight="1">
      <c r="A64" s="30" t="inlineStr">
        <is>
          <t>T-AGOS</t>
        </is>
      </c>
      <c r="B64" s="30" t="inlineStr">
        <is>
          <t>Surveillance Ships</t>
        </is>
      </c>
      <c r="C64" s="30" t="inlineStr">
        <is>
          <t>MSC</t>
        </is>
      </c>
      <c r="D64" s="31">
        <f>SUMIFS(JB_26BV,JB_B,2,JB_H,"T-AGOS",JB_RC,"ADD")</f>
        <v/>
      </c>
      <c r="E64" s="31">
        <f>SUMIFS(JB_26BV,JB_B,3,JB_H,"T-AGOS",JB_RC,"ADD")</f>
        <v/>
      </c>
      <c r="F64" s="31">
        <f>SUMIFS(JB_26BV,JB_B,4,JB_H,"T-AGOS",JB_RC,"ADD")</f>
        <v/>
      </c>
      <c r="G64" s="31">
        <f>SUMIFS(JB_26BV,JB_B,5,JB_H,"T-AGOS",JB_RC,"ADD")</f>
        <v/>
      </c>
      <c r="H64" s="31">
        <f>SUM(D64:G64)</f>
        <v/>
      </c>
      <c r="I64" s="37">
        <f>IFERROR(H64/H$68,0)</f>
        <v/>
      </c>
    </row>
    <row r="65" ht="10" customHeight="1">
      <c r="A65" s="30" t="inlineStr">
        <is>
          <t>MCM</t>
        </is>
      </c>
      <c r="B65" s="30" t="inlineStr">
        <is>
          <t>Mine Warfare</t>
        </is>
      </c>
      <c r="C65" s="30" t="inlineStr">
        <is>
          <t>USN</t>
        </is>
      </c>
      <c r="D65" s="31">
        <f>SUMIFS(JB_26BV,JB_B,2,JB_H,"MCM",JB_RC,"ADD")</f>
        <v/>
      </c>
      <c r="E65" s="31">
        <f>SUMIFS(JB_26BV,JB_B,3,JB_H,"MCM",JB_RC,"ADD")</f>
        <v/>
      </c>
      <c r="F65" s="31">
        <f>SUMIFS(JB_26BV,JB_B,4,JB_H,"MCM",JB_RC,"ADD")</f>
        <v/>
      </c>
      <c r="G65" s="31">
        <f>SUMIFS(JB_26BV,JB_B,5,JB_H,"MCM",JB_RC,"ADD")</f>
        <v/>
      </c>
      <c r="H65" s="31">
        <f>SUM(D65:G65)</f>
        <v/>
      </c>
      <c r="I65" s="37">
        <f>IFERROR(H65/H$68,0)</f>
        <v/>
      </c>
    </row>
    <row r="66" ht="10" customHeight="1">
      <c r="A66" s="30" t="inlineStr">
        <is>
          <t>ESB</t>
        </is>
      </c>
      <c r="B66" s="30" t="inlineStr">
        <is>
          <t>Expeditionary &amp; Seabasing Ships</t>
        </is>
      </c>
      <c r="C66" s="30" t="inlineStr">
        <is>
          <t>USN</t>
        </is>
      </c>
      <c r="D66" s="31">
        <f>SUMIFS(JB_26BV,JB_B,2,JB_H,"ESB",JB_RC,"ADD")</f>
        <v/>
      </c>
      <c r="E66" s="31">
        <f>SUMIFS(JB_26BV,JB_B,3,JB_H,"ESB",JB_RC,"ADD")</f>
        <v/>
      </c>
      <c r="F66" s="31">
        <f>SUMIFS(JB_26BV,JB_B,4,JB_H,"ESB",JB_RC,"ADD")</f>
        <v/>
      </c>
      <c r="G66" s="31">
        <f>SUMIFS(JB_26BV,JB_B,5,JB_H,"ESB",JB_RC,"ADD")</f>
        <v/>
      </c>
      <c r="H66" s="31">
        <f>SUM(D66:G66)</f>
        <v/>
      </c>
      <c r="I66" s="37">
        <f>IFERROR(H66/H$68,0)</f>
        <v/>
      </c>
    </row>
    <row r="67" ht="10" customHeight="1">
      <c r="A67" s="30" t="inlineStr">
        <is>
          <t>WMSL</t>
        </is>
      </c>
      <c r="B67" s="30" t="inlineStr">
        <is>
          <t>National Security Cutters</t>
        </is>
      </c>
      <c r="C67" s="30" t="inlineStr">
        <is>
          <t>USCG</t>
        </is>
      </c>
      <c r="D67" s="31">
        <f>SUMIFS(JB_26BV,JB_B,2,JB_H,"WMSL",JB_RC,"ADD")</f>
        <v/>
      </c>
      <c r="E67" s="31">
        <f>SUMIFS(JB_26BV,JB_B,3,JB_H,"WMSL",JB_RC,"ADD")</f>
        <v/>
      </c>
      <c r="F67" s="31">
        <f>SUMIFS(JB_26BV,JB_B,4,JB_H,"WMSL",JB_RC,"ADD")</f>
        <v/>
      </c>
      <c r="G67" s="31">
        <f>SUMIFS(JB_26BV,JB_B,5,JB_H,"WMSL",JB_RC,"ADD")</f>
        <v/>
      </c>
      <c r="H67" s="31">
        <f>SUM(D67:G67)</f>
        <v/>
      </c>
      <c r="I67" s="37">
        <f>IFERROR(H67/H$68,0)</f>
        <v/>
      </c>
    </row>
    <row r="68" ht="10" customHeight="1">
      <c r="A68" s="32" t="inlineStr">
        <is>
          <t>MRO SAM (all programs)</t>
        </is>
      </c>
      <c r="B68" s="32" t="inlineStr"/>
      <c r="C68" s="32" t="inlineStr"/>
      <c r="D68" s="33">
        <f>SUM(D56:D67)</f>
        <v/>
      </c>
      <c r="E68" s="33">
        <f>SUM(E56:E67)</f>
        <v/>
      </c>
      <c r="F68" s="33">
        <f>SUM(F56:F67)</f>
        <v/>
      </c>
      <c r="G68" s="33">
        <f>SUM(G56:G67)</f>
        <v/>
      </c>
      <c r="H68" s="33">
        <f>SUM(H56:H67)</f>
        <v/>
      </c>
      <c r="I68" s="38" t="n">
        <v>1</v>
      </c>
    </row>
    <row r="69" ht="10" customHeight="1"/>
    <row r="70" ht="10" customHeight="1"/>
    <row r="71" ht="10" customHeight="1">
      <c r="A71" s="27" t="inlineStr">
        <is>
          <t>(E) Aggregate SDM Cost Breakdown</t>
        </is>
      </c>
      <c r="B71" s="28" t="n"/>
      <c r="C71" s="28" t="n"/>
    </row>
    <row r="72" ht="10" customHeight="1">
      <c r="A72" s="26" t="inlineStr">
        <is>
          <t>Aggregate cost breakdown of OMN Ship Maintenance (Bucket 2) spending by cost type. Titles are verbatim from OMN justification book sub-components — not hull-specific. Used in section (F) to estimate cost-element coverage per hull program.</t>
        </is>
      </c>
    </row>
    <row r="73" ht="10" customHeight="1">
      <c r="A73" s="29" t="inlineStr">
        <is>
          <t>OMN Sub-Component</t>
        </is>
      </c>
      <c r="B73" s="29" t="inlineStr">
        <is>
          <t>$K</t>
        </is>
      </c>
      <c r="C73" s="29" t="inlineStr">
        <is>
          <t>% of SDM</t>
        </is>
      </c>
    </row>
    <row r="74" ht="10" customHeight="1">
      <c r="A74" s="30" t="inlineStr">
        <is>
          <t>Ship Maintenance By Contract</t>
        </is>
      </c>
      <c r="B74" s="31" t="n">
        <v>3984423</v>
      </c>
      <c r="C74" s="37">
        <f>IFERROR(B74/B97,0)</f>
        <v/>
      </c>
    </row>
    <row r="75" ht="10" customHeight="1">
      <c r="A75" s="30" t="inlineStr">
        <is>
          <t>Executive, General and Special Schedules</t>
        </is>
      </c>
      <c r="B75" s="31" t="n">
        <v>3057102</v>
      </c>
      <c r="C75" s="37">
        <f>IFERROR(B75/B97,0)</f>
        <v/>
      </c>
    </row>
    <row r="76" ht="10" customHeight="1">
      <c r="A76" s="30" t="inlineStr">
        <is>
          <t>Wage Board</t>
        </is>
      </c>
      <c r="B76" s="31" t="n">
        <v>2713903</v>
      </c>
      <c r="C76" s="37">
        <f>IFERROR(B76/B97,0)</f>
        <v/>
      </c>
    </row>
    <row r="77" ht="10" customHeight="1">
      <c r="A77" s="30" t="inlineStr">
        <is>
          <t>Navy Managed Supplies &amp; Materials</t>
        </is>
      </c>
      <c r="B77" s="31" t="n">
        <v>814422</v>
      </c>
      <c r="C77" s="37">
        <f>IFERROR(B77/B97,0)</f>
        <v/>
      </c>
    </row>
    <row r="78" ht="10" customHeight="1">
      <c r="A78" s="30" t="inlineStr">
        <is>
          <t>DLA Material Supply Chain - Weapon Systems</t>
        </is>
      </c>
      <c r="B78" s="31" t="n">
        <v>696056</v>
      </c>
      <c r="C78" s="37">
        <f>IFERROR(B78/B97,0)</f>
        <v/>
      </c>
    </row>
    <row r="79" ht="10" customHeight="1">
      <c r="A79" s="30" t="inlineStr">
        <is>
          <t>MSC Regular Overhaul (ROH)</t>
        </is>
      </c>
      <c r="B79" s="31" t="n">
        <v>666329</v>
      </c>
      <c r="C79" s="37">
        <f>IFERROR(B79/B97,0)</f>
        <v/>
      </c>
    </row>
    <row r="80" ht="10" customHeight="1">
      <c r="A80" s="30" t="inlineStr">
        <is>
          <t>MSC Other Maintenance and Repair</t>
        </is>
      </c>
      <c r="B80" s="31" t="n">
        <v>575746</v>
      </c>
      <c r="C80" s="37">
        <f>IFERROR(B80/B97,0)</f>
        <v/>
      </c>
    </row>
    <row r="81" ht="10" customHeight="1">
      <c r="A81" s="30" t="inlineStr">
        <is>
          <t>Equipment Maintenance By Contract</t>
        </is>
      </c>
      <c r="B81" s="31" t="n">
        <v>502290</v>
      </c>
      <c r="C81" s="37">
        <f>IFERROR(B81/B97,0)</f>
        <v/>
      </c>
    </row>
    <row r="82" ht="10" customHeight="1">
      <c r="A82" s="30" t="inlineStr">
        <is>
          <t>Other Depot Maintenance Non-Fund</t>
        </is>
      </c>
      <c r="B82" s="31" t="n">
        <v>447544</v>
      </c>
      <c r="C82" s="37">
        <f>IFERROR(B82/B97,0)</f>
        <v/>
      </c>
    </row>
    <row r="83" ht="10" customHeight="1">
      <c r="A83" s="30" t="inlineStr">
        <is>
          <t>MSC Mid-Term Availability (MTA)</t>
        </is>
      </c>
      <c r="B83" s="31" t="n">
        <v>341925</v>
      </c>
      <c r="C83" s="37">
        <f>IFERROR(B83/B97,0)</f>
        <v/>
      </c>
    </row>
    <row r="84" ht="10" customHeight="1">
      <c r="A84" s="30" t="inlineStr">
        <is>
          <t>Other Intra-Government Purchases</t>
        </is>
      </c>
      <c r="B84" s="31" t="n">
        <v>236115</v>
      </c>
      <c r="C84" s="37">
        <f>IFERROR(B84/B97,0)</f>
        <v/>
      </c>
    </row>
    <row r="85" ht="10" customHeight="1">
      <c r="A85" s="30" t="inlineStr">
        <is>
          <t>Tomahawk Systems (All-Up Round and TTWCS)</t>
        </is>
      </c>
      <c r="B85" s="31" t="n">
        <v>129051</v>
      </c>
      <c r="C85" s="37">
        <f>IFERROR(B85/B97,0)</f>
        <v/>
      </c>
    </row>
    <row r="86" ht="10" customHeight="1">
      <c r="A86" s="30" t="inlineStr">
        <is>
          <t>Standard Missile Depot Maintenance (SM-2/SM-6)</t>
        </is>
      </c>
      <c r="B86" s="31" t="n">
        <v>88674</v>
      </c>
      <c r="C86" s="37">
        <f>IFERROR(B86/B97,0)</f>
        <v/>
      </c>
    </row>
    <row r="87" ht="10" customHeight="1">
      <c r="A87" s="30" t="inlineStr">
        <is>
          <t>Close-In Weapons System (CIWS)</t>
        </is>
      </c>
      <c r="B87" s="31" t="n">
        <v>82544</v>
      </c>
      <c r="C87" s="37">
        <f>IFERROR(B87/B97,0)</f>
        <v/>
      </c>
    </row>
    <row r="88" ht="10" customHeight="1">
      <c r="A88" s="30" t="inlineStr">
        <is>
          <t>Submarine Torpedo Systems</t>
        </is>
      </c>
      <c r="B88" s="31" t="n">
        <v>71804</v>
      </c>
      <c r="C88" s="37">
        <f>IFERROR(B88/B97,0)</f>
        <v/>
      </c>
    </row>
    <row r="89" ht="10" customHeight="1">
      <c r="A89" s="30" t="inlineStr">
        <is>
          <t>NATO Seasparrow (RIM-7)</t>
        </is>
      </c>
      <c r="B89" s="31" t="n">
        <v>41235</v>
      </c>
      <c r="C89" s="37">
        <f>IFERROR(B89/B97,0)</f>
        <v/>
      </c>
    </row>
    <row r="90" ht="10" customHeight="1">
      <c r="A90" s="30" t="inlineStr">
        <is>
          <t>Surface Undersea Warfare (USW)</t>
        </is>
      </c>
      <c r="B90" s="31" t="n">
        <v>40897</v>
      </c>
      <c r="C90" s="37">
        <f>IFERROR(B90/B97,0)</f>
        <v/>
      </c>
    </row>
    <row r="91" ht="10" customHeight="1">
      <c r="A91" s="30" t="inlineStr">
        <is>
          <t>Inactive Ship Maintenance Facility &amp; Operations</t>
        </is>
      </c>
      <c r="B91" s="31" t="n">
        <v>30836</v>
      </c>
      <c r="C91" s="37">
        <f>IFERROR(B91/B97,0)</f>
        <v/>
      </c>
    </row>
    <row r="92" ht="10" customHeight="1">
      <c r="A92" s="30" t="inlineStr">
        <is>
          <t>Rolling Air Frame (RAM) Maintenance</t>
        </is>
      </c>
      <c r="B92" s="31" t="n">
        <v>18784</v>
      </c>
      <c r="C92" s="37">
        <f>IFERROR(B92/B97,0)</f>
        <v/>
      </c>
    </row>
    <row r="93" ht="10" customHeight="1">
      <c r="A93" s="30" t="inlineStr">
        <is>
          <t>Submarine Acoustics / In-Service Combat Systems</t>
        </is>
      </c>
      <c r="B93" s="31" t="n">
        <v>17384</v>
      </c>
      <c r="C93" s="37">
        <f>IFERROR(B93/B97,0)</f>
        <v/>
      </c>
    </row>
    <row r="94" ht="10" customHeight="1">
      <c r="A94" s="30" t="inlineStr">
        <is>
          <t>Surface Ship Torpedo Defense (SSTD) Depot Repair</t>
        </is>
      </c>
      <c r="B94" s="31" t="n">
        <v>2179</v>
      </c>
      <c r="C94" s="37">
        <f>IFERROR(B94/B97,0)</f>
        <v/>
      </c>
    </row>
    <row r="95" ht="10" customHeight="1">
      <c r="A95" s="30" t="inlineStr">
        <is>
          <t>Efficiency - Contract Services Reduction</t>
        </is>
      </c>
      <c r="B95" s="31" t="n">
        <v>-76395</v>
      </c>
      <c r="C95" s="37">
        <f>IFERROR(B95/B97,0)</f>
        <v/>
      </c>
    </row>
    <row r="96" ht="10" customHeight="1">
      <c r="A96" s="30" t="inlineStr">
        <is>
          <t>Efficiency - Workforce Optimization (Public Shipyards)</t>
        </is>
      </c>
      <c r="B96" s="31" t="n">
        <v>-207734</v>
      </c>
      <c r="C96" s="37">
        <f>IFERROR(B96/B97,0)</f>
        <v/>
      </c>
    </row>
    <row r="97" ht="10" customHeight="1">
      <c r="A97" s="32" t="inlineStr">
        <is>
          <t>Total</t>
        </is>
      </c>
      <c r="B97" s="33">
        <f>SUM(B74:B96)</f>
        <v/>
      </c>
      <c r="C97" s="38" t="n">
        <v>1</v>
      </c>
    </row>
    <row r="98" ht="10" customHeight="1"/>
    <row r="99" ht="10" customHeight="1"/>
    <row r="100" ht="10" customHeight="1">
      <c r="A100" s="27" t="inlineStr">
        <is>
          <t>(F) MRO SAM (SDM cost-element estimate) — FY2026 ($K)</t>
        </is>
      </c>
      <c r="B100" s="28" t="n"/>
      <c r="C100" s="28" t="n"/>
      <c r="D100" s="28" t="n"/>
      <c r="E100" s="28" t="n"/>
      <c r="F100" s="28" t="n"/>
      <c r="G100" s="28" t="n"/>
      <c r="H100" s="28" t="n"/>
      <c r="I100" s="28" t="n"/>
      <c r="J100" s="28" t="n"/>
      <c r="K100" s="28" t="n"/>
      <c r="L100" s="28" t="n"/>
    </row>
    <row r="101" ht="10" customHeight="1">
      <c r="A101" s="26" t="inlineStr">
        <is>
          <t>Estimated SDM cost breakdown by hull program. Applies the aggregate OMN cost mix from section (E) to each hull’s SDM funding. This is an approximation — actual cost mix varies by hull class. Analogous to Newbuild SAM section (E) which applies P-5c cost mix to net budget authority.</t>
        </is>
      </c>
    </row>
    <row r="102" ht="10" customHeight="1">
      <c r="A102" s="39" t="n"/>
      <c r="B102" s="40" t="inlineStr">
        <is>
          <t>USN</t>
        </is>
      </c>
      <c r="C102" s="39" t="n"/>
      <c r="D102" s="39" t="n"/>
      <c r="E102" s="39" t="n"/>
      <c r="F102" s="39" t="n"/>
      <c r="G102" s="39" t="n"/>
      <c r="H102" s="39" t="n"/>
      <c r="I102" s="39" t="n"/>
      <c r="J102" s="39" t="n"/>
      <c r="K102" s="39" t="n"/>
      <c r="L102" s="41" t="n"/>
    </row>
    <row r="103" ht="10" customHeight="1">
      <c r="A103" s="29" t="inlineStr">
        <is>
          <t>OMN Sub-Component</t>
        </is>
      </c>
      <c r="B103" s="42" t="inlineStr">
        <is>
          <t>DDG</t>
        </is>
      </c>
      <c r="C103" s="29" t="inlineStr">
        <is>
          <t>LCS</t>
        </is>
      </c>
      <c r="D103" s="29" t="inlineStr">
        <is>
          <t>LHD</t>
        </is>
      </c>
      <c r="E103" s="29" t="inlineStr">
        <is>
          <t>LPD</t>
        </is>
      </c>
      <c r="F103" s="29" t="inlineStr">
        <is>
          <t>CG</t>
        </is>
      </c>
      <c r="G103" s="29" t="inlineStr">
        <is>
          <t>LSD</t>
        </is>
      </c>
      <c r="H103" s="29" t="inlineStr">
        <is>
          <t>LHA</t>
        </is>
      </c>
      <c r="I103" s="29" t="inlineStr">
        <is>
          <t>ESB</t>
        </is>
      </c>
      <c r="J103" s="29" t="inlineStr">
        <is>
          <t>MCM</t>
        </is>
      </c>
      <c r="K103" s="29" t="inlineStr">
        <is>
          <t>LCC</t>
        </is>
      </c>
      <c r="L103" s="42" t="inlineStr">
        <is>
          <t>Total</t>
        </is>
      </c>
    </row>
    <row r="104" ht="10" customHeight="1">
      <c r="A104" s="35" t="inlineStr">
        <is>
          <t>SAM SDM Total ($K)</t>
        </is>
      </c>
      <c r="B104" s="48">
        <f>D56</f>
        <v/>
      </c>
      <c r="C104" s="36">
        <f>D57</f>
        <v/>
      </c>
      <c r="D104" s="36">
        <f>D58</f>
        <v/>
      </c>
      <c r="E104" s="36">
        <f>D59</f>
        <v/>
      </c>
      <c r="F104" s="36">
        <f>D60</f>
        <v/>
      </c>
      <c r="G104" s="36">
        <f>D61</f>
        <v/>
      </c>
      <c r="H104" s="36">
        <f>D62</f>
        <v/>
      </c>
      <c r="I104" s="36">
        <f>D66</f>
        <v/>
      </c>
      <c r="J104" s="36">
        <f>D65</f>
        <v/>
      </c>
      <c r="K104" s="36">
        <f>D63</f>
        <v/>
      </c>
      <c r="L104" s="48">
        <f>SUM(B104:K104)</f>
        <v/>
      </c>
    </row>
    <row r="105" ht="10" customHeight="1">
      <c r="A105" s="30" t="inlineStr">
        <is>
          <t>Ship Maintenance By Contract</t>
        </is>
      </c>
      <c r="B105" s="45">
        <f>IFERROR(B$104*B74/B97,0)</f>
        <v/>
      </c>
      <c r="C105" s="31">
        <f>IFERROR(C$104*B74/B97,0)</f>
        <v/>
      </c>
      <c r="D105" s="31">
        <f>IFERROR(D$104*B74/B97,0)</f>
        <v/>
      </c>
      <c r="E105" s="31">
        <f>IFERROR(E$104*B74/B97,0)</f>
        <v/>
      </c>
      <c r="F105" s="31">
        <f>IFERROR(F$104*B74/B97,0)</f>
        <v/>
      </c>
      <c r="G105" s="31">
        <f>IFERROR(G$104*B74/B97,0)</f>
        <v/>
      </c>
      <c r="H105" s="31">
        <f>IFERROR(H$104*B74/B97,0)</f>
        <v/>
      </c>
      <c r="I105" s="31">
        <f>IFERROR(I$104*B74/B97,0)</f>
        <v/>
      </c>
      <c r="J105" s="31">
        <f>IFERROR(J$104*B74/B97,0)</f>
        <v/>
      </c>
      <c r="K105" s="31">
        <f>IFERROR(K$104*B74/B97,0)</f>
        <v/>
      </c>
      <c r="L105" s="45">
        <f>SUM(B105:K105)</f>
        <v/>
      </c>
    </row>
    <row r="106" ht="10" customHeight="1">
      <c r="A106" s="30" t="inlineStr">
        <is>
          <t>Executive, General and Special Schedules</t>
        </is>
      </c>
      <c r="B106" s="45">
        <f>IFERROR(B$104*B75/B97,0)</f>
        <v/>
      </c>
      <c r="C106" s="31">
        <f>IFERROR(C$104*B75/B97,0)</f>
        <v/>
      </c>
      <c r="D106" s="31">
        <f>IFERROR(D$104*B75/B97,0)</f>
        <v/>
      </c>
      <c r="E106" s="31">
        <f>IFERROR(E$104*B75/B97,0)</f>
        <v/>
      </c>
      <c r="F106" s="31">
        <f>IFERROR(F$104*B75/B97,0)</f>
        <v/>
      </c>
      <c r="G106" s="31">
        <f>IFERROR(G$104*B75/B97,0)</f>
        <v/>
      </c>
      <c r="H106" s="31">
        <f>IFERROR(H$104*B75/B97,0)</f>
        <v/>
      </c>
      <c r="I106" s="31">
        <f>IFERROR(I$104*B75/B97,0)</f>
        <v/>
      </c>
      <c r="J106" s="31">
        <f>IFERROR(J$104*B75/B97,0)</f>
        <v/>
      </c>
      <c r="K106" s="31">
        <f>IFERROR(K$104*B75/B97,0)</f>
        <v/>
      </c>
      <c r="L106" s="45">
        <f>SUM(B106:K106)</f>
        <v/>
      </c>
    </row>
    <row r="107" ht="10" customHeight="1">
      <c r="A107" s="30" t="inlineStr">
        <is>
          <t>Wage Board</t>
        </is>
      </c>
      <c r="B107" s="45">
        <f>IFERROR(B$104*B76/B97,0)</f>
        <v/>
      </c>
      <c r="C107" s="31">
        <f>IFERROR(C$104*B76/B97,0)</f>
        <v/>
      </c>
      <c r="D107" s="31">
        <f>IFERROR(D$104*B76/B97,0)</f>
        <v/>
      </c>
      <c r="E107" s="31">
        <f>IFERROR(E$104*B76/B97,0)</f>
        <v/>
      </c>
      <c r="F107" s="31">
        <f>IFERROR(F$104*B76/B97,0)</f>
        <v/>
      </c>
      <c r="G107" s="31">
        <f>IFERROR(G$104*B76/B97,0)</f>
        <v/>
      </c>
      <c r="H107" s="31">
        <f>IFERROR(H$104*B76/B97,0)</f>
        <v/>
      </c>
      <c r="I107" s="31">
        <f>IFERROR(I$104*B76/B97,0)</f>
        <v/>
      </c>
      <c r="J107" s="31">
        <f>IFERROR(J$104*B76/B97,0)</f>
        <v/>
      </c>
      <c r="K107" s="31">
        <f>IFERROR(K$104*B76/B97,0)</f>
        <v/>
      </c>
      <c r="L107" s="45">
        <f>SUM(B107:K107)</f>
        <v/>
      </c>
    </row>
    <row r="108" ht="10" customHeight="1">
      <c r="A108" s="30" t="inlineStr">
        <is>
          <t>Navy Managed Supplies &amp; Materials</t>
        </is>
      </c>
      <c r="B108" s="45">
        <f>IFERROR(B$104*B77/B97,0)</f>
        <v/>
      </c>
      <c r="C108" s="31">
        <f>IFERROR(C$104*B77/B97,0)</f>
        <v/>
      </c>
      <c r="D108" s="31">
        <f>IFERROR(D$104*B77/B97,0)</f>
        <v/>
      </c>
      <c r="E108" s="31">
        <f>IFERROR(E$104*B77/B97,0)</f>
        <v/>
      </c>
      <c r="F108" s="31">
        <f>IFERROR(F$104*B77/B97,0)</f>
        <v/>
      </c>
      <c r="G108" s="31">
        <f>IFERROR(G$104*B77/B97,0)</f>
        <v/>
      </c>
      <c r="H108" s="31">
        <f>IFERROR(H$104*B77/B97,0)</f>
        <v/>
      </c>
      <c r="I108" s="31">
        <f>IFERROR(I$104*B77/B97,0)</f>
        <v/>
      </c>
      <c r="J108" s="31">
        <f>IFERROR(J$104*B77/B97,0)</f>
        <v/>
      </c>
      <c r="K108" s="31">
        <f>IFERROR(K$104*B77/B97,0)</f>
        <v/>
      </c>
      <c r="L108" s="45">
        <f>SUM(B108:K108)</f>
        <v/>
      </c>
    </row>
    <row r="109" ht="10" customHeight="1">
      <c r="A109" s="30" t="inlineStr">
        <is>
          <t>DLA Material Supply Chain - Weapon Systems</t>
        </is>
      </c>
      <c r="B109" s="45">
        <f>IFERROR(B$104*B78/B97,0)</f>
        <v/>
      </c>
      <c r="C109" s="31">
        <f>IFERROR(C$104*B78/B97,0)</f>
        <v/>
      </c>
      <c r="D109" s="31">
        <f>IFERROR(D$104*B78/B97,0)</f>
        <v/>
      </c>
      <c r="E109" s="31">
        <f>IFERROR(E$104*B78/B97,0)</f>
        <v/>
      </c>
      <c r="F109" s="31">
        <f>IFERROR(F$104*B78/B97,0)</f>
        <v/>
      </c>
      <c r="G109" s="31">
        <f>IFERROR(G$104*B78/B97,0)</f>
        <v/>
      </c>
      <c r="H109" s="31">
        <f>IFERROR(H$104*B78/B97,0)</f>
        <v/>
      </c>
      <c r="I109" s="31">
        <f>IFERROR(I$104*B78/B97,0)</f>
        <v/>
      </c>
      <c r="J109" s="31">
        <f>IFERROR(J$104*B78/B97,0)</f>
        <v/>
      </c>
      <c r="K109" s="31">
        <f>IFERROR(K$104*B78/B97,0)</f>
        <v/>
      </c>
      <c r="L109" s="45">
        <f>SUM(B109:K109)</f>
        <v/>
      </c>
    </row>
    <row r="110" ht="10" customHeight="1">
      <c r="A110" s="30" t="inlineStr">
        <is>
          <t>MSC Regular Overhaul (ROH)</t>
        </is>
      </c>
      <c r="B110" s="45">
        <f>IFERROR(B$104*B79/B97,0)</f>
        <v/>
      </c>
      <c r="C110" s="31">
        <f>IFERROR(C$104*B79/B97,0)</f>
        <v/>
      </c>
      <c r="D110" s="31">
        <f>IFERROR(D$104*B79/B97,0)</f>
        <v/>
      </c>
      <c r="E110" s="31">
        <f>IFERROR(E$104*B79/B97,0)</f>
        <v/>
      </c>
      <c r="F110" s="31">
        <f>IFERROR(F$104*B79/B97,0)</f>
        <v/>
      </c>
      <c r="G110" s="31">
        <f>IFERROR(G$104*B79/B97,0)</f>
        <v/>
      </c>
      <c r="H110" s="31">
        <f>IFERROR(H$104*B79/B97,0)</f>
        <v/>
      </c>
      <c r="I110" s="31">
        <f>IFERROR(I$104*B79/B97,0)</f>
        <v/>
      </c>
      <c r="J110" s="31">
        <f>IFERROR(J$104*B79/B97,0)</f>
        <v/>
      </c>
      <c r="K110" s="31">
        <f>IFERROR(K$104*B79/B97,0)</f>
        <v/>
      </c>
      <c r="L110" s="45">
        <f>SUM(B110:K110)</f>
        <v/>
      </c>
    </row>
    <row r="111" ht="10" customHeight="1">
      <c r="A111" s="30" t="inlineStr">
        <is>
          <t>MSC Other Maintenance and Repair</t>
        </is>
      </c>
      <c r="B111" s="45">
        <f>IFERROR(B$104*B80/B97,0)</f>
        <v/>
      </c>
      <c r="C111" s="31">
        <f>IFERROR(C$104*B80/B97,0)</f>
        <v/>
      </c>
      <c r="D111" s="31">
        <f>IFERROR(D$104*B80/B97,0)</f>
        <v/>
      </c>
      <c r="E111" s="31">
        <f>IFERROR(E$104*B80/B97,0)</f>
        <v/>
      </c>
      <c r="F111" s="31">
        <f>IFERROR(F$104*B80/B97,0)</f>
        <v/>
      </c>
      <c r="G111" s="31">
        <f>IFERROR(G$104*B80/B97,0)</f>
        <v/>
      </c>
      <c r="H111" s="31">
        <f>IFERROR(H$104*B80/B97,0)</f>
        <v/>
      </c>
      <c r="I111" s="31">
        <f>IFERROR(I$104*B80/B97,0)</f>
        <v/>
      </c>
      <c r="J111" s="31">
        <f>IFERROR(J$104*B80/B97,0)</f>
        <v/>
      </c>
      <c r="K111" s="31">
        <f>IFERROR(K$104*B80/B97,0)</f>
        <v/>
      </c>
      <c r="L111" s="45">
        <f>SUM(B111:K111)</f>
        <v/>
      </c>
    </row>
    <row r="112" ht="10" customHeight="1">
      <c r="A112" s="30" t="inlineStr">
        <is>
          <t>Equipment Maintenance By Contract</t>
        </is>
      </c>
      <c r="B112" s="45">
        <f>IFERROR(B$104*B81/B97,0)</f>
        <v/>
      </c>
      <c r="C112" s="31">
        <f>IFERROR(C$104*B81/B97,0)</f>
        <v/>
      </c>
      <c r="D112" s="31">
        <f>IFERROR(D$104*B81/B97,0)</f>
        <v/>
      </c>
      <c r="E112" s="31">
        <f>IFERROR(E$104*B81/B97,0)</f>
        <v/>
      </c>
      <c r="F112" s="31">
        <f>IFERROR(F$104*B81/B97,0)</f>
        <v/>
      </c>
      <c r="G112" s="31">
        <f>IFERROR(G$104*B81/B97,0)</f>
        <v/>
      </c>
      <c r="H112" s="31">
        <f>IFERROR(H$104*B81/B97,0)</f>
        <v/>
      </c>
      <c r="I112" s="31">
        <f>IFERROR(I$104*B81/B97,0)</f>
        <v/>
      </c>
      <c r="J112" s="31">
        <f>IFERROR(J$104*B81/B97,0)</f>
        <v/>
      </c>
      <c r="K112" s="31">
        <f>IFERROR(K$104*B81/B97,0)</f>
        <v/>
      </c>
      <c r="L112" s="45">
        <f>SUM(B112:K112)</f>
        <v/>
      </c>
    </row>
    <row r="113" ht="10" customHeight="1">
      <c r="A113" s="30" t="inlineStr">
        <is>
          <t>Other Depot Maintenance Non-Fund</t>
        </is>
      </c>
      <c r="B113" s="45">
        <f>IFERROR(B$104*B82/B97,0)</f>
        <v/>
      </c>
      <c r="C113" s="31">
        <f>IFERROR(C$104*B82/B97,0)</f>
        <v/>
      </c>
      <c r="D113" s="31">
        <f>IFERROR(D$104*B82/B97,0)</f>
        <v/>
      </c>
      <c r="E113" s="31">
        <f>IFERROR(E$104*B82/B97,0)</f>
        <v/>
      </c>
      <c r="F113" s="31">
        <f>IFERROR(F$104*B82/B97,0)</f>
        <v/>
      </c>
      <c r="G113" s="31">
        <f>IFERROR(G$104*B82/B97,0)</f>
        <v/>
      </c>
      <c r="H113" s="31">
        <f>IFERROR(H$104*B82/B97,0)</f>
        <v/>
      </c>
      <c r="I113" s="31">
        <f>IFERROR(I$104*B82/B97,0)</f>
        <v/>
      </c>
      <c r="J113" s="31">
        <f>IFERROR(J$104*B82/B97,0)</f>
        <v/>
      </c>
      <c r="K113" s="31">
        <f>IFERROR(K$104*B82/B97,0)</f>
        <v/>
      </c>
      <c r="L113" s="45">
        <f>SUM(B113:K113)</f>
        <v/>
      </c>
    </row>
    <row r="114" ht="10" customHeight="1">
      <c r="A114" s="30" t="inlineStr">
        <is>
          <t>MSC Mid-Term Availability (MTA)</t>
        </is>
      </c>
      <c r="B114" s="45">
        <f>IFERROR(B$104*B83/B97,0)</f>
        <v/>
      </c>
      <c r="C114" s="31">
        <f>IFERROR(C$104*B83/B97,0)</f>
        <v/>
      </c>
      <c r="D114" s="31">
        <f>IFERROR(D$104*B83/B97,0)</f>
        <v/>
      </c>
      <c r="E114" s="31">
        <f>IFERROR(E$104*B83/B97,0)</f>
        <v/>
      </c>
      <c r="F114" s="31">
        <f>IFERROR(F$104*B83/B97,0)</f>
        <v/>
      </c>
      <c r="G114" s="31">
        <f>IFERROR(G$104*B83/B97,0)</f>
        <v/>
      </c>
      <c r="H114" s="31">
        <f>IFERROR(H$104*B83/B97,0)</f>
        <v/>
      </c>
      <c r="I114" s="31">
        <f>IFERROR(I$104*B83/B97,0)</f>
        <v/>
      </c>
      <c r="J114" s="31">
        <f>IFERROR(J$104*B83/B97,0)</f>
        <v/>
      </c>
      <c r="K114" s="31">
        <f>IFERROR(K$104*B83/B97,0)</f>
        <v/>
      </c>
      <c r="L114" s="45">
        <f>SUM(B114:K114)</f>
        <v/>
      </c>
    </row>
    <row r="115" ht="10" customHeight="1">
      <c r="A115" s="30" t="inlineStr">
        <is>
          <t>Other Intra-Government Purchases</t>
        </is>
      </c>
      <c r="B115" s="45">
        <f>IFERROR(B$104*B84/B97,0)</f>
        <v/>
      </c>
      <c r="C115" s="31">
        <f>IFERROR(C$104*B84/B97,0)</f>
        <v/>
      </c>
      <c r="D115" s="31">
        <f>IFERROR(D$104*B84/B97,0)</f>
        <v/>
      </c>
      <c r="E115" s="31">
        <f>IFERROR(E$104*B84/B97,0)</f>
        <v/>
      </c>
      <c r="F115" s="31">
        <f>IFERROR(F$104*B84/B97,0)</f>
        <v/>
      </c>
      <c r="G115" s="31">
        <f>IFERROR(G$104*B84/B97,0)</f>
        <v/>
      </c>
      <c r="H115" s="31">
        <f>IFERROR(H$104*B84/B97,0)</f>
        <v/>
      </c>
      <c r="I115" s="31">
        <f>IFERROR(I$104*B84/B97,0)</f>
        <v/>
      </c>
      <c r="J115" s="31">
        <f>IFERROR(J$104*B84/B97,0)</f>
        <v/>
      </c>
      <c r="K115" s="31">
        <f>IFERROR(K$104*B84/B97,0)</f>
        <v/>
      </c>
      <c r="L115" s="45">
        <f>SUM(B115:K115)</f>
        <v/>
      </c>
    </row>
    <row r="116" ht="10" customHeight="1">
      <c r="A116" s="30" t="inlineStr">
        <is>
          <t>Tomahawk Systems (All-Up Round and TTWCS)</t>
        </is>
      </c>
      <c r="B116" s="45">
        <f>IFERROR(B$104*B85/B97,0)</f>
        <v/>
      </c>
      <c r="C116" s="31">
        <f>IFERROR(C$104*B85/B97,0)</f>
        <v/>
      </c>
      <c r="D116" s="31">
        <f>IFERROR(D$104*B85/B97,0)</f>
        <v/>
      </c>
      <c r="E116" s="31">
        <f>IFERROR(E$104*B85/B97,0)</f>
        <v/>
      </c>
      <c r="F116" s="31">
        <f>IFERROR(F$104*B85/B97,0)</f>
        <v/>
      </c>
      <c r="G116" s="31">
        <f>IFERROR(G$104*B85/B97,0)</f>
        <v/>
      </c>
      <c r="H116" s="31">
        <f>IFERROR(H$104*B85/B97,0)</f>
        <v/>
      </c>
      <c r="I116" s="31">
        <f>IFERROR(I$104*B85/B97,0)</f>
        <v/>
      </c>
      <c r="J116" s="31">
        <f>IFERROR(J$104*B85/B97,0)</f>
        <v/>
      </c>
      <c r="K116" s="31">
        <f>IFERROR(K$104*B85/B97,0)</f>
        <v/>
      </c>
      <c r="L116" s="45">
        <f>SUM(B116:K116)</f>
        <v/>
      </c>
    </row>
    <row r="117" ht="10" customHeight="1">
      <c r="A117" s="30" t="inlineStr">
        <is>
          <t>Standard Missile Depot Maintenance (SM-2/SM-6)</t>
        </is>
      </c>
      <c r="B117" s="45">
        <f>IFERROR(B$104*B86/B97,0)</f>
        <v/>
      </c>
      <c r="C117" s="31">
        <f>IFERROR(C$104*B86/B97,0)</f>
        <v/>
      </c>
      <c r="D117" s="31">
        <f>IFERROR(D$104*B86/B97,0)</f>
        <v/>
      </c>
      <c r="E117" s="31">
        <f>IFERROR(E$104*B86/B97,0)</f>
        <v/>
      </c>
      <c r="F117" s="31">
        <f>IFERROR(F$104*B86/B97,0)</f>
        <v/>
      </c>
      <c r="G117" s="31">
        <f>IFERROR(G$104*B86/B97,0)</f>
        <v/>
      </c>
      <c r="H117" s="31">
        <f>IFERROR(H$104*B86/B97,0)</f>
        <v/>
      </c>
      <c r="I117" s="31">
        <f>IFERROR(I$104*B86/B97,0)</f>
        <v/>
      </c>
      <c r="J117" s="31">
        <f>IFERROR(J$104*B86/B97,0)</f>
        <v/>
      </c>
      <c r="K117" s="31">
        <f>IFERROR(K$104*B86/B97,0)</f>
        <v/>
      </c>
      <c r="L117" s="45">
        <f>SUM(B117:K117)</f>
        <v/>
      </c>
    </row>
    <row r="118" ht="10" customHeight="1">
      <c r="A118" s="30" t="inlineStr">
        <is>
          <t>Close-In Weapons System (CIWS)</t>
        </is>
      </c>
      <c r="B118" s="45">
        <f>IFERROR(B$104*B87/B97,0)</f>
        <v/>
      </c>
      <c r="C118" s="31">
        <f>IFERROR(C$104*B87/B97,0)</f>
        <v/>
      </c>
      <c r="D118" s="31">
        <f>IFERROR(D$104*B87/B97,0)</f>
        <v/>
      </c>
      <c r="E118" s="31">
        <f>IFERROR(E$104*B87/B97,0)</f>
        <v/>
      </c>
      <c r="F118" s="31">
        <f>IFERROR(F$104*B87/B97,0)</f>
        <v/>
      </c>
      <c r="G118" s="31">
        <f>IFERROR(G$104*B87/B97,0)</f>
        <v/>
      </c>
      <c r="H118" s="31">
        <f>IFERROR(H$104*B87/B97,0)</f>
        <v/>
      </c>
      <c r="I118" s="31">
        <f>IFERROR(I$104*B87/B97,0)</f>
        <v/>
      </c>
      <c r="J118" s="31">
        <f>IFERROR(J$104*B87/B97,0)</f>
        <v/>
      </c>
      <c r="K118" s="31">
        <f>IFERROR(K$104*B87/B97,0)</f>
        <v/>
      </c>
      <c r="L118" s="45">
        <f>SUM(B118:K118)</f>
        <v/>
      </c>
    </row>
    <row r="119" ht="10" customHeight="1">
      <c r="A119" s="30" t="inlineStr">
        <is>
          <t>Submarine Torpedo Systems</t>
        </is>
      </c>
      <c r="B119" s="45">
        <f>IFERROR(B$104*B88/B97,0)</f>
        <v/>
      </c>
      <c r="C119" s="31">
        <f>IFERROR(C$104*B88/B97,0)</f>
        <v/>
      </c>
      <c r="D119" s="31">
        <f>IFERROR(D$104*B88/B97,0)</f>
        <v/>
      </c>
      <c r="E119" s="31">
        <f>IFERROR(E$104*B88/B97,0)</f>
        <v/>
      </c>
      <c r="F119" s="31">
        <f>IFERROR(F$104*B88/B97,0)</f>
        <v/>
      </c>
      <c r="G119" s="31">
        <f>IFERROR(G$104*B88/B97,0)</f>
        <v/>
      </c>
      <c r="H119" s="31">
        <f>IFERROR(H$104*B88/B97,0)</f>
        <v/>
      </c>
      <c r="I119" s="31">
        <f>IFERROR(I$104*B88/B97,0)</f>
        <v/>
      </c>
      <c r="J119" s="31">
        <f>IFERROR(J$104*B88/B97,0)</f>
        <v/>
      </c>
      <c r="K119" s="31">
        <f>IFERROR(K$104*B88/B97,0)</f>
        <v/>
      </c>
      <c r="L119" s="45">
        <f>SUM(B119:K119)</f>
        <v/>
      </c>
    </row>
    <row r="120" ht="10" customHeight="1">
      <c r="A120" s="30" t="inlineStr">
        <is>
          <t>NATO Seasparrow (RIM-7)</t>
        </is>
      </c>
      <c r="B120" s="45">
        <f>IFERROR(B$104*B89/B97,0)</f>
        <v/>
      </c>
      <c r="C120" s="31">
        <f>IFERROR(C$104*B89/B97,0)</f>
        <v/>
      </c>
      <c r="D120" s="31">
        <f>IFERROR(D$104*B89/B97,0)</f>
        <v/>
      </c>
      <c r="E120" s="31">
        <f>IFERROR(E$104*B89/B97,0)</f>
        <v/>
      </c>
      <c r="F120" s="31">
        <f>IFERROR(F$104*B89/B97,0)</f>
        <v/>
      </c>
      <c r="G120" s="31">
        <f>IFERROR(G$104*B89/B97,0)</f>
        <v/>
      </c>
      <c r="H120" s="31">
        <f>IFERROR(H$104*B89/B97,0)</f>
        <v/>
      </c>
      <c r="I120" s="31">
        <f>IFERROR(I$104*B89/B97,0)</f>
        <v/>
      </c>
      <c r="J120" s="31">
        <f>IFERROR(J$104*B89/B97,0)</f>
        <v/>
      </c>
      <c r="K120" s="31">
        <f>IFERROR(K$104*B89/B97,0)</f>
        <v/>
      </c>
      <c r="L120" s="45">
        <f>SUM(B120:K120)</f>
        <v/>
      </c>
    </row>
    <row r="121" ht="10" customHeight="1">
      <c r="A121" s="30" t="inlineStr">
        <is>
          <t>Surface Undersea Warfare (USW)</t>
        </is>
      </c>
      <c r="B121" s="45">
        <f>IFERROR(B$104*B90/B97,0)</f>
        <v/>
      </c>
      <c r="C121" s="31">
        <f>IFERROR(C$104*B90/B97,0)</f>
        <v/>
      </c>
      <c r="D121" s="31">
        <f>IFERROR(D$104*B90/B97,0)</f>
        <v/>
      </c>
      <c r="E121" s="31">
        <f>IFERROR(E$104*B90/B97,0)</f>
        <v/>
      </c>
      <c r="F121" s="31">
        <f>IFERROR(F$104*B90/B97,0)</f>
        <v/>
      </c>
      <c r="G121" s="31">
        <f>IFERROR(G$104*B90/B97,0)</f>
        <v/>
      </c>
      <c r="H121" s="31">
        <f>IFERROR(H$104*B90/B97,0)</f>
        <v/>
      </c>
      <c r="I121" s="31">
        <f>IFERROR(I$104*B90/B97,0)</f>
        <v/>
      </c>
      <c r="J121" s="31">
        <f>IFERROR(J$104*B90/B97,0)</f>
        <v/>
      </c>
      <c r="K121" s="31">
        <f>IFERROR(K$104*B90/B97,0)</f>
        <v/>
      </c>
      <c r="L121" s="45">
        <f>SUM(B121:K121)</f>
        <v/>
      </c>
    </row>
    <row r="122" ht="10" customHeight="1">
      <c r="A122" s="30" t="inlineStr">
        <is>
          <t>Inactive Ship Maintenance Facility &amp; Operations</t>
        </is>
      </c>
      <c r="B122" s="45">
        <f>IFERROR(B$104*B91/B97,0)</f>
        <v/>
      </c>
      <c r="C122" s="31">
        <f>IFERROR(C$104*B91/B97,0)</f>
        <v/>
      </c>
      <c r="D122" s="31">
        <f>IFERROR(D$104*B91/B97,0)</f>
        <v/>
      </c>
      <c r="E122" s="31">
        <f>IFERROR(E$104*B91/B97,0)</f>
        <v/>
      </c>
      <c r="F122" s="31">
        <f>IFERROR(F$104*B91/B97,0)</f>
        <v/>
      </c>
      <c r="G122" s="31">
        <f>IFERROR(G$104*B91/B97,0)</f>
        <v/>
      </c>
      <c r="H122" s="31">
        <f>IFERROR(H$104*B91/B97,0)</f>
        <v/>
      </c>
      <c r="I122" s="31">
        <f>IFERROR(I$104*B91/B97,0)</f>
        <v/>
      </c>
      <c r="J122" s="31">
        <f>IFERROR(J$104*B91/B97,0)</f>
        <v/>
      </c>
      <c r="K122" s="31">
        <f>IFERROR(K$104*B91/B97,0)</f>
        <v/>
      </c>
      <c r="L122" s="45">
        <f>SUM(B122:K122)</f>
        <v/>
      </c>
    </row>
    <row r="123" ht="10" customHeight="1">
      <c r="A123" s="30" t="inlineStr">
        <is>
          <t>Rolling Air Frame (RAM) Maintenance</t>
        </is>
      </c>
      <c r="B123" s="45">
        <f>IFERROR(B$104*B92/B97,0)</f>
        <v/>
      </c>
      <c r="C123" s="31">
        <f>IFERROR(C$104*B92/B97,0)</f>
        <v/>
      </c>
      <c r="D123" s="31">
        <f>IFERROR(D$104*B92/B97,0)</f>
        <v/>
      </c>
      <c r="E123" s="31">
        <f>IFERROR(E$104*B92/B97,0)</f>
        <v/>
      </c>
      <c r="F123" s="31">
        <f>IFERROR(F$104*B92/B97,0)</f>
        <v/>
      </c>
      <c r="G123" s="31">
        <f>IFERROR(G$104*B92/B97,0)</f>
        <v/>
      </c>
      <c r="H123" s="31">
        <f>IFERROR(H$104*B92/B97,0)</f>
        <v/>
      </c>
      <c r="I123" s="31">
        <f>IFERROR(I$104*B92/B97,0)</f>
        <v/>
      </c>
      <c r="J123" s="31">
        <f>IFERROR(J$104*B92/B97,0)</f>
        <v/>
      </c>
      <c r="K123" s="31">
        <f>IFERROR(K$104*B92/B97,0)</f>
        <v/>
      </c>
      <c r="L123" s="45">
        <f>SUM(B123:K123)</f>
        <v/>
      </c>
    </row>
    <row r="124" ht="10" customHeight="1">
      <c r="A124" s="30" t="inlineStr">
        <is>
          <t>Submarine Acoustics / In-Service Combat Systems</t>
        </is>
      </c>
      <c r="B124" s="45">
        <f>IFERROR(B$104*B93/B97,0)</f>
        <v/>
      </c>
      <c r="C124" s="31">
        <f>IFERROR(C$104*B93/B97,0)</f>
        <v/>
      </c>
      <c r="D124" s="31">
        <f>IFERROR(D$104*B93/B97,0)</f>
        <v/>
      </c>
      <c r="E124" s="31">
        <f>IFERROR(E$104*B93/B97,0)</f>
        <v/>
      </c>
      <c r="F124" s="31">
        <f>IFERROR(F$104*B93/B97,0)</f>
        <v/>
      </c>
      <c r="G124" s="31">
        <f>IFERROR(G$104*B93/B97,0)</f>
        <v/>
      </c>
      <c r="H124" s="31">
        <f>IFERROR(H$104*B93/B97,0)</f>
        <v/>
      </c>
      <c r="I124" s="31">
        <f>IFERROR(I$104*B93/B97,0)</f>
        <v/>
      </c>
      <c r="J124" s="31">
        <f>IFERROR(J$104*B93/B97,0)</f>
        <v/>
      </c>
      <c r="K124" s="31">
        <f>IFERROR(K$104*B93/B97,0)</f>
        <v/>
      </c>
      <c r="L124" s="45">
        <f>SUM(B124:K124)</f>
        <v/>
      </c>
    </row>
    <row r="125" ht="10" customHeight="1">
      <c r="A125" s="30" t="inlineStr">
        <is>
          <t>Surface Ship Torpedo Defense (SSTD) Depot Repair</t>
        </is>
      </c>
      <c r="B125" s="45">
        <f>IFERROR(B$104*B94/B97,0)</f>
        <v/>
      </c>
      <c r="C125" s="31">
        <f>IFERROR(C$104*B94/B97,0)</f>
        <v/>
      </c>
      <c r="D125" s="31">
        <f>IFERROR(D$104*B94/B97,0)</f>
        <v/>
      </c>
      <c r="E125" s="31">
        <f>IFERROR(E$104*B94/B97,0)</f>
        <v/>
      </c>
      <c r="F125" s="31">
        <f>IFERROR(F$104*B94/B97,0)</f>
        <v/>
      </c>
      <c r="G125" s="31">
        <f>IFERROR(G$104*B94/B97,0)</f>
        <v/>
      </c>
      <c r="H125" s="31">
        <f>IFERROR(H$104*B94/B97,0)</f>
        <v/>
      </c>
      <c r="I125" s="31">
        <f>IFERROR(I$104*B94/B97,0)</f>
        <v/>
      </c>
      <c r="J125" s="31">
        <f>IFERROR(J$104*B94/B97,0)</f>
        <v/>
      </c>
      <c r="K125" s="31">
        <f>IFERROR(K$104*B94/B97,0)</f>
        <v/>
      </c>
      <c r="L125" s="45">
        <f>SUM(B125:K125)</f>
        <v/>
      </c>
    </row>
    <row r="126" ht="10" customHeight="1">
      <c r="A126" s="30" t="inlineStr">
        <is>
          <t>Efficiency - Contract Services Reduction</t>
        </is>
      </c>
      <c r="B126" s="45">
        <f>IFERROR(B$104*B95/B97,0)</f>
        <v/>
      </c>
      <c r="C126" s="31">
        <f>IFERROR(C$104*B95/B97,0)</f>
        <v/>
      </c>
      <c r="D126" s="31">
        <f>IFERROR(D$104*B95/B97,0)</f>
        <v/>
      </c>
      <c r="E126" s="31">
        <f>IFERROR(E$104*B95/B97,0)</f>
        <v/>
      </c>
      <c r="F126" s="31">
        <f>IFERROR(F$104*B95/B97,0)</f>
        <v/>
      </c>
      <c r="G126" s="31">
        <f>IFERROR(G$104*B95/B97,0)</f>
        <v/>
      </c>
      <c r="H126" s="31">
        <f>IFERROR(H$104*B95/B97,0)</f>
        <v/>
      </c>
      <c r="I126" s="31">
        <f>IFERROR(I$104*B95/B97,0)</f>
        <v/>
      </c>
      <c r="J126" s="31">
        <f>IFERROR(J$104*B95/B97,0)</f>
        <v/>
      </c>
      <c r="K126" s="31">
        <f>IFERROR(K$104*B95/B97,0)</f>
        <v/>
      </c>
      <c r="L126" s="45">
        <f>SUM(B126:K126)</f>
        <v/>
      </c>
    </row>
    <row r="127" ht="10" customHeight="1">
      <c r="A127" s="30" t="inlineStr">
        <is>
          <t>Efficiency - Workforce Optimization (Public Shipyards)</t>
        </is>
      </c>
      <c r="B127" s="45">
        <f>IFERROR(B$104*B96/B97,0)</f>
        <v/>
      </c>
      <c r="C127" s="31">
        <f>IFERROR(C$104*B96/B97,0)</f>
        <v/>
      </c>
      <c r="D127" s="31">
        <f>IFERROR(D$104*B96/B97,0)</f>
        <v/>
      </c>
      <c r="E127" s="31">
        <f>IFERROR(E$104*B96/B97,0)</f>
        <v/>
      </c>
      <c r="F127" s="31">
        <f>IFERROR(F$104*B96/B97,0)</f>
        <v/>
      </c>
      <c r="G127" s="31">
        <f>IFERROR(G$104*B96/B97,0)</f>
        <v/>
      </c>
      <c r="H127" s="31">
        <f>IFERROR(H$104*B96/B97,0)</f>
        <v/>
      </c>
      <c r="I127" s="31">
        <f>IFERROR(I$104*B96/B97,0)</f>
        <v/>
      </c>
      <c r="J127" s="31">
        <f>IFERROR(J$104*B96/B97,0)</f>
        <v/>
      </c>
      <c r="K127" s="31">
        <f>IFERROR(K$104*B96/B97,0)</f>
        <v/>
      </c>
      <c r="L127" s="45">
        <f>SUM(B127:K127)</f>
        <v/>
      </c>
    </row>
    <row r="128" ht="10" customHeight="1">
      <c r="A128" s="32" t="inlineStr">
        <is>
          <t>Estimated SDM Total ($K)</t>
        </is>
      </c>
      <c r="B128" s="44">
        <f>SUM(B105:B127)</f>
        <v/>
      </c>
      <c r="C128" s="33">
        <f>SUM(C105:C127)</f>
        <v/>
      </c>
      <c r="D128" s="33">
        <f>SUM(D105:D127)</f>
        <v/>
      </c>
      <c r="E128" s="33">
        <f>SUM(E105:E127)</f>
        <v/>
      </c>
      <c r="F128" s="33">
        <f>SUM(F105:F127)</f>
        <v/>
      </c>
      <c r="G128" s="33">
        <f>SUM(G105:G127)</f>
        <v/>
      </c>
      <c r="H128" s="33">
        <f>SUM(H105:H127)</f>
        <v/>
      </c>
      <c r="I128" s="33">
        <f>SUM(I105:I127)</f>
        <v/>
      </c>
      <c r="J128" s="33">
        <f>SUM(J105:J127)</f>
        <v/>
      </c>
      <c r="K128" s="33">
        <f>SUM(K105:K127)</f>
        <v/>
      </c>
      <c r="L128" s="44">
        <f>SUM(L105:L127)</f>
        <v/>
      </c>
    </row>
    <row r="129" ht="10" customHeight="1"/>
    <row r="130" ht="10" customHeight="1"/>
    <row r="131" ht="10" customHeight="1">
      <c r="A131" s="27" t="inlineStr">
        <is>
          <t>(G) MRO SAM (contract-addressable) — FY2026 ($K)</t>
        </is>
      </c>
      <c r="B131" s="28" t="n"/>
      <c r="C131" s="28" t="n"/>
      <c r="D131" s="28" t="n"/>
      <c r="E131" s="28" t="n"/>
      <c r="F131" s="28" t="n"/>
      <c r="G131" s="28" t="n"/>
      <c r="H131" s="28" t="n"/>
      <c r="I131" s="28" t="n"/>
      <c r="J131" s="28" t="n"/>
      <c r="K131" s="28" t="n"/>
      <c r="L131" s="28" t="n"/>
      <c r="M131" s="28" t="n"/>
      <c r="N131" s="28" t="n"/>
    </row>
    <row r="132" ht="10" customHeight="1">
      <c r="A132" s="26" t="inlineStr">
        <is>
          <t>MRO SAM narrowed to the contract-addressable market. SDM is reduced to only the private-sector contract portion (Ship Maintenance By Contract + Equipment Maintenance By Contract, ~31% of SDM). Cont/Emerg, Mod, and Major LC are retained at full hull-level totals. This is the MRO market a company could realistically compete for.</t>
        </is>
      </c>
    </row>
    <row r="133" ht="10" customHeight="1">
      <c r="A133" s="39" t="n"/>
      <c r="B133" s="40" t="inlineStr">
        <is>
          <t>USN</t>
        </is>
      </c>
      <c r="C133" s="39" t="n"/>
      <c r="D133" s="39" t="n"/>
      <c r="E133" s="39" t="n"/>
      <c r="F133" s="39" t="n"/>
      <c r="G133" s="39" t="n"/>
      <c r="H133" s="39" t="n"/>
      <c r="I133" s="39" t="n"/>
      <c r="J133" s="39" t="n"/>
      <c r="K133" s="39" t="n"/>
      <c r="L133" s="39" t="n"/>
      <c r="M133" s="40" t="inlineStr">
        <is>
          <t>USCG</t>
        </is>
      </c>
      <c r="N133" s="41" t="n"/>
    </row>
    <row r="134" ht="10" customHeight="1">
      <c r="A134" s="29" t="inlineStr">
        <is>
          <t>Work Type</t>
        </is>
      </c>
      <c r="B134" s="42" t="inlineStr">
        <is>
          <t>DDG</t>
        </is>
      </c>
      <c r="C134" s="29" t="inlineStr">
        <is>
          <t>LCS</t>
        </is>
      </c>
      <c r="D134" s="29" t="inlineStr">
        <is>
          <t>LHD</t>
        </is>
      </c>
      <c r="E134" s="29" t="inlineStr">
        <is>
          <t>LPD</t>
        </is>
      </c>
      <c r="F134" s="29" t="inlineStr">
        <is>
          <t>CG</t>
        </is>
      </c>
      <c r="G134" s="29" t="inlineStr">
        <is>
          <t>LSD</t>
        </is>
      </c>
      <c r="H134" s="29" t="inlineStr">
        <is>
          <t>LHA</t>
        </is>
      </c>
      <c r="I134" s="29" t="inlineStr">
        <is>
          <t>LCC</t>
        </is>
      </c>
      <c r="J134" s="29" t="inlineStr">
        <is>
          <t>T-AGOS</t>
        </is>
      </c>
      <c r="K134" s="29" t="inlineStr">
        <is>
          <t>MCM</t>
        </is>
      </c>
      <c r="L134" s="29" t="inlineStr">
        <is>
          <t>ESB</t>
        </is>
      </c>
      <c r="M134" s="42" t="inlineStr">
        <is>
          <t>WMSL</t>
        </is>
      </c>
      <c r="N134" s="42" t="inlineStr">
        <is>
          <t>Total</t>
        </is>
      </c>
    </row>
    <row r="135" ht="10" customHeight="1">
      <c r="A135" s="30" t="inlineStr">
        <is>
          <t>SDM — Contract ($K)</t>
        </is>
      </c>
      <c r="B135" s="45">
        <f>IFERROR(D56*(B74+B81)/B97,0)</f>
        <v/>
      </c>
      <c r="C135" s="31">
        <f>IFERROR(D57*(B74+B81)/B97,0)</f>
        <v/>
      </c>
      <c r="D135" s="31">
        <f>IFERROR(D58*(B74+B81)/B97,0)</f>
        <v/>
      </c>
      <c r="E135" s="31">
        <f>IFERROR(D59*(B74+B81)/B97,0)</f>
        <v/>
      </c>
      <c r="F135" s="31">
        <f>IFERROR(D60*(B74+B81)/B97,0)</f>
        <v/>
      </c>
      <c r="G135" s="31">
        <f>IFERROR(D61*(B74+B81)/B97,0)</f>
        <v/>
      </c>
      <c r="H135" s="31">
        <f>IFERROR(D62*(B74+B81)/B97,0)</f>
        <v/>
      </c>
      <c r="I135" s="31">
        <f>IFERROR(D63*(B74+B81)/B97,0)</f>
        <v/>
      </c>
      <c r="J135" s="31">
        <f>IFERROR(D64*(B74+B81)/B97,0)</f>
        <v/>
      </c>
      <c r="K135" s="31">
        <f>IFERROR(D65*(B74+B81)/B97,0)</f>
        <v/>
      </c>
      <c r="L135" s="31">
        <f>IFERROR(D66*(B74+B81)/B97,0)</f>
        <v/>
      </c>
      <c r="M135" s="45">
        <f>IFERROR(D67*(B74+B81)/B97,0)</f>
        <v/>
      </c>
      <c r="N135" s="45">
        <f>SUM(B135:M135)</f>
        <v/>
      </c>
    </row>
    <row r="136" ht="10" customHeight="1">
      <c r="A136" s="30" t="inlineStr">
        <is>
          <t>Cont/Emerg ($K)</t>
        </is>
      </c>
      <c r="B136" s="45">
        <f>SUMIFS(JB_26BV,JB_B,3,JB_H,"DDG",JB_RC,"ADD")</f>
        <v/>
      </c>
      <c r="C136" s="31">
        <f>SUMIFS(JB_26BV,JB_B,3,JB_H,"LCS",JB_RC,"ADD")</f>
        <v/>
      </c>
      <c r="D136" s="31">
        <f>SUMIFS(JB_26BV,JB_B,3,JB_H,"LHD",JB_RC,"ADD")</f>
        <v/>
      </c>
      <c r="E136" s="31">
        <f>SUMIFS(JB_26BV,JB_B,3,JB_H,"LPD",JB_RC,"ADD")</f>
        <v/>
      </c>
      <c r="F136" s="31">
        <f>SUMIFS(JB_26BV,JB_B,3,JB_H,"CG",JB_RC,"ADD")</f>
        <v/>
      </c>
      <c r="G136" s="31">
        <f>SUMIFS(JB_26BV,JB_B,3,JB_H,"LSD",JB_RC,"ADD")</f>
        <v/>
      </c>
      <c r="H136" s="31">
        <f>SUMIFS(JB_26BV,JB_B,3,JB_H,"LHA",JB_RC,"ADD")</f>
        <v/>
      </c>
      <c r="I136" s="31">
        <f>SUMIFS(JB_26BV,JB_B,3,JB_H,"LCC",JB_RC,"ADD")</f>
        <v/>
      </c>
      <c r="J136" s="31">
        <f>SUMIFS(JB_26BV,JB_B,3,JB_H,"T-AGOS",JB_RC,"ADD")</f>
        <v/>
      </c>
      <c r="K136" s="31">
        <f>SUMIFS(JB_26BV,JB_B,3,JB_H,"MCM",JB_RC,"ADD")</f>
        <v/>
      </c>
      <c r="L136" s="31">
        <f>SUMIFS(JB_26BV,JB_B,3,JB_H,"ESB",JB_RC,"ADD")</f>
        <v/>
      </c>
      <c r="M136" s="45">
        <f>SUMIFS(JB_26BV,JB_B,3,JB_H,"WMSL",JB_RC,"ADD")</f>
        <v/>
      </c>
      <c r="N136" s="45">
        <f>SUM(B136:M136)</f>
        <v/>
      </c>
    </row>
    <row r="137" ht="10" customHeight="1">
      <c r="A137" s="30" t="inlineStr">
        <is>
          <t>Mod ($K)</t>
        </is>
      </c>
      <c r="B137" s="45">
        <f>SUMIFS(JB_26BV,JB_B,4,JB_H,"DDG",JB_RC,"ADD")</f>
        <v/>
      </c>
      <c r="C137" s="31">
        <f>SUMIFS(JB_26BV,JB_B,4,JB_H,"LCS",JB_RC,"ADD")</f>
        <v/>
      </c>
      <c r="D137" s="31">
        <f>SUMIFS(JB_26BV,JB_B,4,JB_H,"LHD",JB_RC,"ADD")</f>
        <v/>
      </c>
      <c r="E137" s="31">
        <f>SUMIFS(JB_26BV,JB_B,4,JB_H,"LPD",JB_RC,"ADD")</f>
        <v/>
      </c>
      <c r="F137" s="31">
        <f>SUMIFS(JB_26BV,JB_B,4,JB_H,"CG",JB_RC,"ADD")</f>
        <v/>
      </c>
      <c r="G137" s="31">
        <f>SUMIFS(JB_26BV,JB_B,4,JB_H,"LSD",JB_RC,"ADD")</f>
        <v/>
      </c>
      <c r="H137" s="31">
        <f>SUMIFS(JB_26BV,JB_B,4,JB_H,"LHA",JB_RC,"ADD")</f>
        <v/>
      </c>
      <c r="I137" s="31">
        <f>SUMIFS(JB_26BV,JB_B,4,JB_H,"LCC",JB_RC,"ADD")</f>
        <v/>
      </c>
      <c r="J137" s="31">
        <f>SUMIFS(JB_26BV,JB_B,4,JB_H,"T-AGOS",JB_RC,"ADD")</f>
        <v/>
      </c>
      <c r="K137" s="31">
        <f>SUMIFS(JB_26BV,JB_B,4,JB_H,"MCM",JB_RC,"ADD")</f>
        <v/>
      </c>
      <c r="L137" s="31">
        <f>SUMIFS(JB_26BV,JB_B,4,JB_H,"ESB",JB_RC,"ADD")</f>
        <v/>
      </c>
      <c r="M137" s="45">
        <f>SUMIFS(JB_26BV,JB_B,4,JB_H,"WMSL",JB_RC,"ADD")</f>
        <v/>
      </c>
      <c r="N137" s="45">
        <f>SUM(B137:M137)</f>
        <v/>
      </c>
    </row>
    <row r="138" ht="10" customHeight="1">
      <c r="A138" s="30" t="inlineStr">
        <is>
          <t>Major LC ($K)</t>
        </is>
      </c>
      <c r="B138" s="45">
        <f>SUMIFS(JB_26BV,JB_B,5,JB_H,"DDG",JB_RC,"ADD")</f>
        <v/>
      </c>
      <c r="C138" s="31">
        <f>SUMIFS(JB_26BV,JB_B,5,JB_H,"LCS",JB_RC,"ADD")</f>
        <v/>
      </c>
      <c r="D138" s="31">
        <f>SUMIFS(JB_26BV,JB_B,5,JB_H,"LHD",JB_RC,"ADD")</f>
        <v/>
      </c>
      <c r="E138" s="31">
        <f>SUMIFS(JB_26BV,JB_B,5,JB_H,"LPD",JB_RC,"ADD")</f>
        <v/>
      </c>
      <c r="F138" s="31">
        <f>SUMIFS(JB_26BV,JB_B,5,JB_H,"CG",JB_RC,"ADD")</f>
        <v/>
      </c>
      <c r="G138" s="31">
        <f>SUMIFS(JB_26BV,JB_B,5,JB_H,"LSD",JB_RC,"ADD")</f>
        <v/>
      </c>
      <c r="H138" s="31">
        <f>SUMIFS(JB_26BV,JB_B,5,JB_H,"LHA",JB_RC,"ADD")</f>
        <v/>
      </c>
      <c r="I138" s="31">
        <f>SUMIFS(JB_26BV,JB_B,5,JB_H,"LCC",JB_RC,"ADD")</f>
        <v/>
      </c>
      <c r="J138" s="31">
        <f>SUMIFS(JB_26BV,JB_B,5,JB_H,"T-AGOS",JB_RC,"ADD")</f>
        <v/>
      </c>
      <c r="K138" s="31">
        <f>SUMIFS(JB_26BV,JB_B,5,JB_H,"MCM",JB_RC,"ADD")</f>
        <v/>
      </c>
      <c r="L138" s="31">
        <f>SUMIFS(JB_26BV,JB_B,5,JB_H,"ESB",JB_RC,"ADD")</f>
        <v/>
      </c>
      <c r="M138" s="45">
        <f>SUMIFS(JB_26BV,JB_B,5,JB_H,"WMSL",JB_RC,"ADD")</f>
        <v/>
      </c>
      <c r="N138" s="45">
        <f>SUM(B138:M138)</f>
        <v/>
      </c>
    </row>
    <row r="139" ht="10" customHeight="1">
      <c r="A139" s="32" t="inlineStr">
        <is>
          <t>MRO SAM (contract-addressable)</t>
        </is>
      </c>
      <c r="B139" s="44">
        <f>SUM(B135:B138)</f>
        <v/>
      </c>
      <c r="C139" s="33">
        <f>SUM(C135:C138)</f>
        <v/>
      </c>
      <c r="D139" s="33">
        <f>SUM(D135:D138)</f>
        <v/>
      </c>
      <c r="E139" s="33">
        <f>SUM(E135:E138)</f>
        <v/>
      </c>
      <c r="F139" s="33">
        <f>SUM(F135:F138)</f>
        <v/>
      </c>
      <c r="G139" s="33">
        <f>SUM(G135:G138)</f>
        <v/>
      </c>
      <c r="H139" s="33">
        <f>SUM(H135:H138)</f>
        <v/>
      </c>
      <c r="I139" s="33">
        <f>SUM(I135:I138)</f>
        <v/>
      </c>
      <c r="J139" s="33">
        <f>SUM(J135:J138)</f>
        <v/>
      </c>
      <c r="K139" s="33">
        <f>SUM(K135:K138)</f>
        <v/>
      </c>
      <c r="L139" s="33">
        <f>SUM(L135:L138)</f>
        <v/>
      </c>
      <c r="M139" s="44">
        <f>SUM(M135:M138)</f>
        <v/>
      </c>
      <c r="N139" s="44">
        <f>SUM(N135:N138)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Research, Survey &amp; Instrumentation Ships</t>
        </is>
      </c>
      <c r="B28" s="30" t="inlineStr">
        <is>
          <t>MSC</t>
        </is>
      </c>
      <c r="C28" s="31">
        <f>SUMIFS(JB_27BV,JB_B,1,JB_W,"Research, Survey &amp; Instrumentation Ships",JB_RC,"ADD")</f>
        <v/>
      </c>
      <c r="D28" s="37">
        <f>IFERROR(C28/C$44,0)</f>
        <v/>
      </c>
    </row>
    <row r="29" ht="10" customHeight="1">
      <c r="A29" s="30" t="inlineStr">
        <is>
          <t>Aviation Logistics Support Ship</t>
        </is>
      </c>
      <c r="B29" s="30" t="inlineStr">
        <is>
          <t>USN</t>
        </is>
      </c>
      <c r="C29" s="31">
        <f>SUMIFS(JB_27BV,JB_B,1,JB_W,"Aviation Logistics Support Ship",JB_RC,"ADD")</f>
        <v/>
      </c>
      <c r="D29" s="37">
        <f>IFERROR(C29/C$44,0)</f>
        <v/>
      </c>
    </row>
    <row r="30" ht="10" customHeight="1">
      <c r="A30" s="30" t="inlineStr">
        <is>
          <t>Mine Warfare</t>
        </is>
      </c>
      <c r="B30" s="30" t="inlineStr">
        <is>
          <t>USN</t>
        </is>
      </c>
      <c r="C30" s="31">
        <f>SUMIFS(JB_27BV,JB_B,1,JB_W,"Mine Warfare",JB_RC,"ADD")</f>
        <v/>
      </c>
      <c r="D30" s="37">
        <f>IFERROR(C30/C$44,0)</f>
        <v/>
      </c>
    </row>
    <row r="31" ht="10" customHeight="1">
      <c r="A31" s="30" t="inlineStr">
        <is>
          <t>High Speed Transport</t>
        </is>
      </c>
      <c r="B31" s="30" t="inlineStr">
        <is>
          <t>USN</t>
        </is>
      </c>
      <c r="C31" s="31">
        <f>SUMIFS(JB_27BV,JB_B,1,JB_W,"High Speed Transport",JB_RC,"ADD")</f>
        <v/>
      </c>
      <c r="D31" s="37">
        <f>IFERROR(C31/C$44,0)</f>
        <v/>
      </c>
    </row>
    <row r="32" ht="10" customHeight="1">
      <c r="A32" s="30" t="inlineStr">
        <is>
          <t>Submarine Escort Ship</t>
        </is>
      </c>
      <c r="B32" s="30" t="inlineStr">
        <is>
          <t>USN</t>
        </is>
      </c>
      <c r="C32" s="31">
        <f>SUMIFS(JB_27BV,JB_B,1,JB_W,"Submarine Escort Ship",JB_RC,"ADD")</f>
        <v/>
      </c>
      <c r="D32" s="37">
        <f>IFERROR(C32/C$44,0)</f>
        <v/>
      </c>
    </row>
    <row r="33" ht="10" customHeight="1">
      <c r="A33" s="30" t="inlineStr">
        <is>
          <t>General Auxiliary</t>
        </is>
      </c>
      <c r="B33" s="30" t="inlineStr">
        <is>
          <t>USN</t>
        </is>
      </c>
      <c r="C33" s="31">
        <f>SUMIFS(JB_27BV,JB_B,1,JB_W,"General Auxiliary",JB_RC,"ADD")</f>
        <v/>
      </c>
      <c r="D33" s="37">
        <f>IFERROR(C33/C$44,0)</f>
        <v/>
      </c>
    </row>
    <row r="34" ht="10" customHeight="1">
      <c r="A34" s="30" t="inlineStr">
        <is>
          <t>Command Ships</t>
        </is>
      </c>
      <c r="B34" s="30" t="inlineStr">
        <is>
          <t>USN</t>
        </is>
      </c>
      <c r="C34" s="31">
        <f>SUMIFS(JB_27BV,JB_B,1,JB_W,"Command Ships",JB_RC,"ADD")</f>
        <v/>
      </c>
      <c r="D34" s="37">
        <f>IFERROR(C34/C$44,0)</f>
        <v/>
      </c>
    </row>
    <row r="35" ht="10" customHeight="1">
      <c r="A35" s="30" t="inlineStr">
        <is>
          <t>Crane Ship</t>
        </is>
      </c>
      <c r="B35" s="30" t="inlineStr">
        <is>
          <t>USN</t>
        </is>
      </c>
      <c r="C35" s="31">
        <f>SUMIFS(JB_27BV,JB_B,1,JB_W,"Crane Ship",JB_RC,"ADD")</f>
        <v/>
      </c>
      <c r="D35" s="37">
        <f>IFERROR(C35/C$44,0)</f>
        <v/>
      </c>
    </row>
    <row r="36" ht="10" customHeight="1">
      <c r="A36" s="30" t="inlineStr">
        <is>
          <t>Salvage Ships &amp; Fleet Ocean Tugs</t>
        </is>
      </c>
      <c r="B36" s="30" t="inlineStr">
        <is>
          <t>MSC</t>
        </is>
      </c>
      <c r="C36" s="31">
        <f>SUMIFS(JB_27BV,JB_B,1,JB_W,"Salvage Ships &amp; Fleet Ocean Tugs",JB_RC,"ADD")</f>
        <v/>
      </c>
      <c r="D36" s="37">
        <f>IFERROR(C36/C$44,0)</f>
        <v/>
      </c>
    </row>
    <row r="37" ht="10" customHeight="1">
      <c r="A37" s="30" t="inlineStr">
        <is>
          <t>Coastal Buoy Tenders</t>
        </is>
      </c>
      <c r="B37" s="30" t="inlineStr">
        <is>
          <t>USCG</t>
        </is>
      </c>
      <c r="C37" s="31">
        <f>SUMIFS(JB_27BV,JB_B,1,JB_W,"Coastal Buoy Tenders",JB_RC,"ADD")</f>
        <v/>
      </c>
      <c r="D37" s="37">
        <f>IFERROR(C37/C$44,0)</f>
        <v/>
      </c>
    </row>
    <row r="38" ht="10" customHeight="1">
      <c r="A38" s="30" t="inlineStr">
        <is>
          <t>Waterways Commerce Cutters</t>
        </is>
      </c>
      <c r="B38" s="30" t="inlineStr">
        <is>
          <t>USCG</t>
        </is>
      </c>
      <c r="C38" s="31">
        <f>SUMIFS(JB_27BV,JB_B,1,JB_W,"Waterways Commerce Cutters",JB_RC,"ADD")</f>
        <v/>
      </c>
      <c r="D38" s="37">
        <f>IFERROR(C38/C$44,0)</f>
        <v/>
      </c>
    </row>
    <row r="39" ht="10" customHeight="1">
      <c r="A39" s="30" t="inlineStr">
        <is>
          <t>Offshore Patrol Cutter</t>
        </is>
      </c>
      <c r="B39" s="30" t="inlineStr">
        <is>
          <t>USCG</t>
        </is>
      </c>
      <c r="C39" s="31">
        <f>SUMIFS(JB_27BV,JB_B,1,JB_W,"Offshore Patrol Cutter",JB_RC,"ADD")</f>
        <v/>
      </c>
      <c r="D39" s="37">
        <f>IFERROR(C39/C$44,0)</f>
        <v/>
      </c>
    </row>
    <row r="40" ht="10" customHeight="1">
      <c r="A40" s="30" t="inlineStr">
        <is>
          <t>Icebreakers, Oceangoing</t>
        </is>
      </c>
      <c r="B40" s="30" t="inlineStr">
        <is>
          <t>USCG</t>
        </is>
      </c>
      <c r="C40" s="31">
        <f>SUMIFS(JB_27BV,JB_B,1,JB_W,"Icebreakers, Oceangoing",JB_RC,"ADD")</f>
        <v/>
      </c>
      <c r="D40" s="37">
        <f>IFERROR(C40/C$44,0)</f>
        <v/>
      </c>
    </row>
    <row r="41" ht="10" customHeight="1">
      <c r="A41" s="30" t="inlineStr">
        <is>
          <t>Fast Response Cutters</t>
        </is>
      </c>
      <c r="B41" s="30" t="inlineStr">
        <is>
          <t>USCG</t>
        </is>
      </c>
      <c r="C41" s="31">
        <f>SUMIFS(JB_27BV,JB_B,1,JB_W,"Fast Response Cutters",JB_RC,"ADD")</f>
        <v/>
      </c>
      <c r="D41" s="37">
        <f>IFERROR(C41/C$44,0)</f>
        <v/>
      </c>
    </row>
    <row r="42" ht="10" customHeight="1">
      <c r="A42" s="30" t="inlineStr">
        <is>
          <t>National Security Cutters</t>
        </is>
      </c>
      <c r="B42" s="30" t="inlineStr">
        <is>
          <t>USCG</t>
        </is>
      </c>
      <c r="C42" s="31">
        <f>SUMIFS(JB_27BV,JB_B,1,JB_W,"National Security Cutters",JB_RC,"ADD")</f>
        <v/>
      </c>
      <c r="D42" s="37">
        <f>IFERROR(C42/C$44,0)</f>
        <v/>
      </c>
    </row>
    <row r="43" ht="10" customHeight="1">
      <c r="A43" s="30" t="inlineStr">
        <is>
          <t>Icebreakers, Great Lakes</t>
        </is>
      </c>
      <c r="B43" s="30" t="inlineStr">
        <is>
          <t>USCG</t>
        </is>
      </c>
      <c r="C43" s="31">
        <f>SUMIFS(JB_27BV,JB_B,1,JB_W,"Icebreakers, Great Lakes",JB_RC,"ADD")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Combat Logistics Ships</t>
        </is>
      </c>
      <c r="B32" s="30" t="inlineStr">
        <is>
          <t>MSC</t>
        </is>
      </c>
      <c r="C32"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2" s="37">
        <f>IFERROR(C32/C$53,0)</f>
        <v/>
      </c>
    </row>
    <row r="33" ht="10" customHeight="1">
      <c r="A33" s="30" t="inlineStr">
        <is>
          <t>Research, Survey &amp; Instrumentation Ships</t>
        </is>
      </c>
      <c r="B33" s="30" t="inlineStr">
        <is>
          <t>MSC</t>
        </is>
      </c>
      <c r="C33"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3" s="37">
        <f>IFERROR(C33/C$53,0)</f>
        <v/>
      </c>
    </row>
    <row r="34" ht="10" customHeight="1">
      <c r="A34" s="30" t="inlineStr">
        <is>
          <t>Aviation Logistics Support Ship</t>
        </is>
      </c>
      <c r="B34" s="30" t="inlineStr">
        <is>
          <t>USN</t>
        </is>
      </c>
      <c r="C34"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4" s="37">
        <f>IFERROR(C34/C$53,0)</f>
        <v/>
      </c>
    </row>
    <row r="35" ht="10" customHeight="1">
      <c r="A35" s="30" t="inlineStr">
        <is>
          <t>Material Support Ships</t>
        </is>
      </c>
      <c r="B35" s="30" t="inlineStr">
        <is>
          <t>USN</t>
        </is>
      </c>
      <c r="C35"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5" s="37">
        <f>IFERROR(C35/C$53,0)</f>
        <v/>
      </c>
    </row>
    <row r="36" ht="10" customHeight="1">
      <c r="A36" s="30" t="inlineStr">
        <is>
          <t>Cargo &amp; Vehicle Cargo Ships</t>
        </is>
      </c>
      <c r="B36" s="30" t="inlineStr">
        <is>
          <t>USN</t>
        </is>
      </c>
      <c r="C36"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6" s="37">
        <f>IFERROR(C36/C$53,0)</f>
        <v/>
      </c>
    </row>
    <row r="37" ht="10" customHeight="1">
      <c r="A37" s="30" t="inlineStr">
        <is>
          <t>Mine Warfare</t>
        </is>
      </c>
      <c r="B37" s="30" t="inlineStr">
        <is>
          <t>USN</t>
        </is>
      </c>
      <c r="C37" s="31">
        <f>SUMIFS(JB_27BV,JB_B,2,JB_W,"Mine Warfare",JB_RC,"ADD")+SUMIFS(JB_27BV,JB_B,3,JB_W,"Mine Warfare",JB_RC,"ADD")+SUMIFS(JB_27BV,JB_B,4,JB_W,"Mine Warfare",JB_RC,"ADD")+SUMIFS(JB_27BV,JB_B,5,JB_W,"Mine Warfare",JB_RC,"ADD")+SUMIFS(JB_27BV,JB_B,6,JB_W,"Mine Warfare",JB_RC,"ADD")+SUMIFS(JB_27BV,JB_B,7,JB_W,"Mine Warfare",JB_RC,"ADD")</f>
        <v/>
      </c>
      <c r="D37" s="37">
        <f>IFERROR(C37/C$53,0)</f>
        <v/>
      </c>
    </row>
    <row r="38" ht="10" customHeight="1">
      <c r="A38" s="30" t="inlineStr">
        <is>
          <t>High Speed Transport</t>
        </is>
      </c>
      <c r="B38" s="30" t="inlineStr">
        <is>
          <t>USN</t>
        </is>
      </c>
      <c r="C38"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8" s="37">
        <f>IFERROR(C38/C$53,0)</f>
        <v/>
      </c>
    </row>
    <row r="39" ht="10" customHeight="1">
      <c r="A39" s="30" t="inlineStr">
        <is>
          <t>Submarine Escort Ship</t>
        </is>
      </c>
      <c r="B39" s="30" t="inlineStr">
        <is>
          <t>USN</t>
        </is>
      </c>
      <c r="C39"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9" s="37">
        <f>IFERROR(C39/C$53,0)</f>
        <v/>
      </c>
    </row>
    <row r="40" ht="10" customHeight="1">
      <c r="A40" s="30" t="inlineStr">
        <is>
          <t>Hospital Ship</t>
        </is>
      </c>
      <c r="B40" s="30" t="inlineStr">
        <is>
          <t>MSC</t>
        </is>
      </c>
      <c r="C40" s="31">
        <f>SUMIFS(JB_27BV,JB_B,2,JB_W,"Hospital Ship",JB_RC,"ADD")+SUMIFS(JB_27BV,JB_B,3,JB_W,"Hospital Ship",JB_RC,"ADD")+SUMIFS(JB_27BV,JB_B,4,JB_W,"Hospital Ship",JB_RC,"ADD")+SUMIFS(JB_27BV,JB_B,5,JB_W,"Hospital Ship",JB_RC,"ADD")+SUMIFS(JB_27BV,JB_B,6,JB_W,"Hospital Ship",JB_RC,"ADD")+SUMIFS(JB_27BV,JB_B,7,JB_W,"Hospital Ship",JB_RC,"ADD")</f>
        <v/>
      </c>
      <c r="D40" s="37">
        <f>IFERROR(C40/C$53,0)</f>
        <v/>
      </c>
    </row>
    <row r="41" ht="10" customHeight="1">
      <c r="A41" s="30" t="inlineStr">
        <is>
          <t>General Auxiliary</t>
        </is>
      </c>
      <c r="B41" s="30" t="inlineStr">
        <is>
          <t>USN</t>
        </is>
      </c>
      <c r="C41"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1" s="37">
        <f>IFERROR(C41/C$53,0)</f>
        <v/>
      </c>
    </row>
    <row r="42" ht="10" customHeight="1">
      <c r="A42" s="30" t="inlineStr">
        <is>
          <t>Crane Ship</t>
        </is>
      </c>
      <c r="B42" s="30" t="inlineStr">
        <is>
          <t>USN</t>
        </is>
      </c>
      <c r="C42" s="31">
        <f>SUMIFS(JB_27BV,JB_B,2,JB_W,"Crane Ship",JB_RC,"ADD")+SUMIFS(JB_27BV,JB_B,3,JB_W,"Crane Ship",JB_RC,"ADD")+SUMIFS(JB_27BV,JB_B,4,JB_W,"Crane Ship",JB_RC,"ADD")+SUMIFS(JB_27BV,JB_B,5,JB_W,"Crane Ship",JB_RC,"ADD")+SUMIFS(JB_27BV,JB_B,6,JB_W,"Crane Ship",JB_RC,"ADD")+SUMIFS(JB_27BV,JB_B,7,JB_W,"Crane Ship",JB_RC,"ADD")</f>
        <v/>
      </c>
      <c r="D42" s="37">
        <f>IFERROR(C42/C$53,0)</f>
        <v/>
      </c>
    </row>
    <row r="43" ht="10" customHeight="1">
      <c r="A43" s="30" t="inlineStr">
        <is>
          <t>Unmanned Surface Vehicles</t>
        </is>
      </c>
      <c r="B43" s="30" t="inlineStr">
        <is>
          <t>USN</t>
        </is>
      </c>
      <c r="C43"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43" s="37">
        <f>IFERROR(C43/C$53,0)</f>
        <v/>
      </c>
    </row>
    <row r="44" ht="10" customHeight="1">
      <c r="A44" s="30" t="inlineStr">
        <is>
          <t>Salvage Ships &amp; Fleet Ocean Tugs</t>
        </is>
      </c>
      <c r="B44" s="30" t="inlineStr">
        <is>
          <t>MSC</t>
        </is>
      </c>
      <c r="C44"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4" s="37">
        <f>IFERROR(C44/C$53,0)</f>
        <v/>
      </c>
    </row>
    <row r="45" ht="10" customHeight="1">
      <c r="A45" s="30" t="inlineStr">
        <is>
          <t>Unmanned Undersea Vehicles</t>
        </is>
      </c>
      <c r="B45" s="30" t="inlineStr">
        <is>
          <t>USN</t>
        </is>
      </c>
      <c r="C45"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5" s="37">
        <f>IFERROR(C45/C$53,0)</f>
        <v/>
      </c>
    </row>
    <row r="46" ht="10" customHeight="1">
      <c r="A46" s="30" t="inlineStr">
        <is>
          <t>Coastal Buoy Tenders</t>
        </is>
      </c>
      <c r="B46" s="30" t="inlineStr">
        <is>
          <t>USCG</t>
        </is>
      </c>
      <c r="C46"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6" s="37">
        <f>IFERROR(C46/C$53,0)</f>
        <v/>
      </c>
    </row>
    <row r="47" ht="10" customHeight="1">
      <c r="A47" s="30" t="inlineStr">
        <is>
          <t>Waterways Commerce Cutters</t>
        </is>
      </c>
      <c r="B47" s="30" t="inlineStr">
        <is>
          <t>USCG</t>
        </is>
      </c>
      <c r="C47"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7" s="37">
        <f>IFERROR(C47/C$53,0)</f>
        <v/>
      </c>
    </row>
    <row r="48" ht="10" customHeight="1">
      <c r="A48" s="30" t="inlineStr">
        <is>
          <t>Offshore Patrol Cutter</t>
        </is>
      </c>
      <c r="B48" s="30" t="inlineStr">
        <is>
          <t>USCG</t>
        </is>
      </c>
      <c r="C48"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8" s="37">
        <f>IFERROR(C48/C$53,0)</f>
        <v/>
      </c>
    </row>
    <row r="49" ht="10" customHeight="1">
      <c r="A49" s="30" t="inlineStr">
        <is>
          <t>Icebreakers, Oceangoing</t>
        </is>
      </c>
      <c r="B49" s="30" t="inlineStr">
        <is>
          <t>USCG</t>
        </is>
      </c>
      <c r="C49"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9" s="37">
        <f>IFERROR(C49/C$53,0)</f>
        <v/>
      </c>
    </row>
    <row r="50" ht="10" customHeight="1">
      <c r="A50" s="30" t="inlineStr">
        <is>
          <t>Fast Response Cutters</t>
        </is>
      </c>
      <c r="B50" s="30" t="inlineStr">
        <is>
          <t>USCG</t>
        </is>
      </c>
      <c r="C50"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0" s="37">
        <f>IFERROR(C50/C$53,0)</f>
        <v/>
      </c>
    </row>
    <row r="51" ht="10" customHeight="1">
      <c r="A51" s="30" t="inlineStr">
        <is>
          <t>National Security Cutters</t>
        </is>
      </c>
      <c r="B51" s="30" t="inlineStr">
        <is>
          <t>USCG</t>
        </is>
      </c>
      <c r="C51"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51" s="37">
        <f>IFERROR(C51/C$53,0)</f>
        <v/>
      </c>
    </row>
    <row r="52" ht="10" customHeight="1">
      <c r="A52" s="30" t="inlineStr">
        <is>
          <t>Icebreakers, Great Lakes</t>
        </is>
      </c>
      <c r="B52" s="30" t="inlineStr">
        <is>
          <t>USCG</t>
        </is>
      </c>
      <c r="C52"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55">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 (all programs)</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(all programs)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Combat Logistics Ships</t>
        </is>
      </c>
      <c r="B19" s="30" t="inlineStr">
        <is>
          <t>MSC</t>
        </is>
      </c>
      <c r="C19" s="31">
        <f>SUMIFS(JB_27BV,JB_B,2,JB_W,"Combat Logistics Ships",JB_RC,"ADD")</f>
        <v/>
      </c>
      <c r="D19" s="31">
        <f>SUMIFS(JB_27BV,JB_B,3,JB_W,"Combat Logistics Ships",JB_RC,"ADD")</f>
        <v/>
      </c>
      <c r="E19" s="31">
        <f>SUMIFS(JB_27BV,JB_B,4,JB_W,"Combat Logistics Ships",JB_RC,"ADD")</f>
        <v/>
      </c>
      <c r="F19" s="31">
        <f>SUMIFS(JB_27BV,JB_B,5,JB_W,"Combat Logistics Ships",JB_RC,"ADD")</f>
        <v/>
      </c>
      <c r="G19" s="31">
        <f>SUM(C19:F19)</f>
        <v/>
      </c>
      <c r="H19" s="37">
        <f>IFERROR(G19/G$40,0)</f>
        <v/>
      </c>
    </row>
    <row r="20" ht="10" customHeight="1">
      <c r="A20" s="30" t="inlineStr">
        <is>
          <t>General Auxiliary</t>
        </is>
      </c>
      <c r="B20" s="30" t="inlineStr">
        <is>
          <t>USN</t>
        </is>
      </c>
      <c r="C20" s="31">
        <f>SUMIFS(JB_27BV,JB_B,2,JB_W,"General Auxiliary",JB_RC,"ADD")</f>
        <v/>
      </c>
      <c r="D20" s="31">
        <f>SUMIFS(JB_27BV,JB_B,3,JB_W,"General Auxiliary",JB_RC,"ADD")</f>
        <v/>
      </c>
      <c r="E20" s="31">
        <f>SUMIFS(JB_27BV,JB_B,4,JB_W,"General Auxiliary",JB_RC,"ADD")</f>
        <v/>
      </c>
      <c r="F20" s="31">
        <f>SUMIFS(JB_27BV,JB_B,5,JB_W,"General Auxiliary",JB_RC,"ADD")</f>
        <v/>
      </c>
      <c r="G20" s="31">
        <f>SUM(C20:F20)</f>
        <v/>
      </c>
      <c r="H20" s="37">
        <f>IFERROR(G20/G$40,0)</f>
        <v/>
      </c>
    </row>
    <row r="21" ht="10" customHeight="1">
      <c r="A21" s="30" t="inlineStr">
        <is>
          <t>Crane Ship</t>
        </is>
      </c>
      <c r="B21" s="30" t="inlineStr">
        <is>
          <t>USN</t>
        </is>
      </c>
      <c r="C21" s="31">
        <f>SUMIFS(JB_27BV,JB_B,2,JB_W,"Crane Ship",JB_RC,"ADD")</f>
        <v/>
      </c>
      <c r="D21" s="31">
        <f>SUMIFS(JB_27BV,JB_B,3,JB_W,"Crane Ship",JB_RC,"ADD")</f>
        <v/>
      </c>
      <c r="E21" s="31">
        <f>SUMIFS(JB_27BV,JB_B,4,JB_W,"Crane Ship",JB_RC,"ADD")</f>
        <v/>
      </c>
      <c r="F21" s="31">
        <f>SUMIFS(JB_27BV,JB_B,5,JB_W,"Crane Ship",JB_RC,"ADD")</f>
        <v/>
      </c>
      <c r="G21" s="31">
        <f>SUM(C21:F21)</f>
        <v/>
      </c>
      <c r="H21" s="37">
        <f>IFERROR(G21/G$40,0)</f>
        <v/>
      </c>
    </row>
    <row r="22" ht="10" customHeight="1">
      <c r="A22" s="30" t="inlineStr">
        <is>
          <t>Unmanned Surface Vehicles</t>
        </is>
      </c>
      <c r="B22" s="30" t="inlineStr">
        <is>
          <t>USN</t>
        </is>
      </c>
      <c r="C22" s="31">
        <f>SUMIFS(JB_27BV,JB_B,2,JB_W,"Unmanned Surface Vehicles",JB_RC,"ADD")</f>
        <v/>
      </c>
      <c r="D22" s="31">
        <f>SUMIFS(JB_27BV,JB_B,3,JB_W,"Unmanned Surface Vehicles",JB_RC,"ADD")</f>
        <v/>
      </c>
      <c r="E22" s="31">
        <f>SUMIFS(JB_27BV,JB_B,4,JB_W,"Unmanned Surface Vehicles",JB_RC,"ADD")</f>
        <v/>
      </c>
      <c r="F22" s="31">
        <f>SUMIFS(JB_27BV,JB_B,5,JB_W,"Unmanned Surface Vehicles",JB_RC,"ADD")</f>
        <v/>
      </c>
      <c r="G22" s="31">
        <f>SUM(C22:F22)</f>
        <v/>
      </c>
      <c r="H22" s="37">
        <f>IFERROR(G22/G$40,0)</f>
        <v/>
      </c>
    </row>
    <row r="23" ht="10" customHeight="1">
      <c r="A23" s="30" t="inlineStr">
        <is>
          <t>Salvage Ships &amp; Fleet Ocean Tugs</t>
        </is>
      </c>
      <c r="B23" s="30" t="inlineStr">
        <is>
          <t>MSC</t>
        </is>
      </c>
      <c r="C23" s="31">
        <f>SUMIFS(JB_27BV,JB_B,2,JB_W,"Salvage Ships &amp; Fleet Ocean Tugs",JB_RC,"ADD")</f>
        <v/>
      </c>
      <c r="D23" s="31">
        <f>SUMIFS(JB_27BV,JB_B,3,JB_W,"Salvage Ships &amp; Fleet Ocean Tugs",JB_RC,"ADD")</f>
        <v/>
      </c>
      <c r="E23" s="31">
        <f>SUMIFS(JB_27BV,JB_B,4,JB_W,"Salvage Ships &amp; Fleet Ocean Tugs",JB_RC,"ADD")</f>
        <v/>
      </c>
      <c r="F23" s="31">
        <f>SUMIFS(JB_27BV,JB_B,5,JB_W,"Salvage Ships &amp; Fleet Ocean Tugs",JB_RC,"ADD")</f>
        <v/>
      </c>
      <c r="G23" s="31">
        <f>SUM(C23:F23)</f>
        <v/>
      </c>
      <c r="H23" s="37">
        <f>IFERROR(G23/G$40,0)</f>
        <v/>
      </c>
    </row>
    <row r="24" ht="10" customHeight="1">
      <c r="A24" s="30" t="inlineStr">
        <is>
          <t>Expeditionary &amp; Seabasing Ships</t>
        </is>
      </c>
      <c r="B24" s="30" t="inlineStr">
        <is>
          <t>USN</t>
        </is>
      </c>
      <c r="C24" s="31">
        <f>SUMIFS(JB_27BV,JB_B,2,JB_W,"Expeditionary &amp; Seabasing Ships",JB_RC,"ADD")</f>
        <v/>
      </c>
      <c r="D24" s="31">
        <f>SUMIFS(JB_27BV,JB_B,3,JB_W,"Expeditionary &amp; Seabasing Ships",JB_RC,"ADD")</f>
        <v/>
      </c>
      <c r="E24" s="31">
        <f>SUMIFS(JB_27BV,JB_B,4,JB_W,"Expeditionary &amp; Seabasing Ships",JB_RC,"ADD")</f>
        <v/>
      </c>
      <c r="F24" s="31">
        <f>SUMIFS(JB_27BV,JB_B,5,JB_W,"Expeditionary &amp; Seabasing Ships",JB_RC,"ADD")</f>
        <v/>
      </c>
      <c r="G24" s="31">
        <f>SUM(C24:F24)</f>
        <v/>
      </c>
      <c r="H24" s="37">
        <f>IFERROR(G24/G$40,0)</f>
        <v/>
      </c>
    </row>
    <row r="25" ht="10" customHeight="1">
      <c r="A25" s="30" t="inlineStr">
        <is>
          <t>Research, Survey &amp; Instrumentation Ships</t>
        </is>
      </c>
      <c r="B25" s="30" t="inlineStr">
        <is>
          <t>MSC</t>
        </is>
      </c>
      <c r="C25" s="31">
        <f>SUMIFS(JB_27BV,JB_B,2,JB_W,"Research, Survey &amp; Instrumentation Ships",JB_RC,"ADD")</f>
        <v/>
      </c>
      <c r="D25" s="31">
        <f>SUMIFS(JB_27BV,JB_B,3,JB_W,"Research, Survey &amp; Instrumentation Ships",JB_RC,"ADD")</f>
        <v/>
      </c>
      <c r="E25" s="31">
        <f>SUMIFS(JB_27BV,JB_B,4,JB_W,"Research, Survey &amp; Instrumentation Ships",JB_RC,"ADD")</f>
        <v/>
      </c>
      <c r="F25" s="31">
        <f>SUMIFS(JB_27BV,JB_B,5,JB_W,"Research, Survey &amp; Instrumentation Ships",JB_RC,"ADD")</f>
        <v/>
      </c>
      <c r="G25" s="31">
        <f>SUM(C25:F25)</f>
        <v/>
      </c>
      <c r="H25" s="37">
        <f>IFERROR(G25/G$40,0)</f>
        <v/>
      </c>
    </row>
    <row r="26" ht="10" customHeight="1">
      <c r="A26" s="30" t="inlineStr">
        <is>
          <t>Aviation Logistics Support Ship</t>
        </is>
      </c>
      <c r="B26" s="30" t="inlineStr">
        <is>
          <t>USN</t>
        </is>
      </c>
      <c r="C26" s="31">
        <f>SUMIFS(JB_27BV,JB_B,2,JB_W,"Aviation Logistics Support Ship",JB_RC,"ADD")</f>
        <v/>
      </c>
      <c r="D26" s="31">
        <f>SUMIFS(JB_27BV,JB_B,3,JB_W,"Aviation Logistics Support Ship",JB_RC,"ADD")</f>
        <v/>
      </c>
      <c r="E26" s="31">
        <f>SUMIFS(JB_27BV,JB_B,4,JB_W,"Aviation Logistics Support Ship",JB_RC,"ADD")</f>
        <v/>
      </c>
      <c r="F26" s="31">
        <f>SUMIFS(JB_27BV,JB_B,5,JB_W,"Aviation Logistics Support Ship",JB_RC,"ADD")</f>
        <v/>
      </c>
      <c r="G26" s="31">
        <f>SUM(C26:F26)</f>
        <v/>
      </c>
      <c r="H26" s="37">
        <f>IFERROR(G26/G$40,0)</f>
        <v/>
      </c>
    </row>
    <row r="27" ht="10" customHeight="1">
      <c r="A27" s="30" t="inlineStr">
        <is>
          <t>Material Support Ships</t>
        </is>
      </c>
      <c r="B27" s="30" t="inlineStr">
        <is>
          <t>USN</t>
        </is>
      </c>
      <c r="C27" s="31">
        <f>SUMIFS(JB_27BV,JB_B,2,JB_W,"Material Support Ships",JB_RC,"ADD")</f>
        <v/>
      </c>
      <c r="D27" s="31">
        <f>SUMIFS(JB_27BV,JB_B,3,JB_W,"Material Support Ships",JB_RC,"ADD")</f>
        <v/>
      </c>
      <c r="E27" s="31">
        <f>SUMIFS(JB_27BV,JB_B,4,JB_W,"Material Support Ships",JB_RC,"ADD")</f>
        <v/>
      </c>
      <c r="F27" s="31">
        <f>SUMIFS(JB_27BV,JB_B,5,JB_W,"Material Support Ships",JB_RC,"ADD")</f>
        <v/>
      </c>
      <c r="G27" s="31">
        <f>SUM(C27:F27)</f>
        <v/>
      </c>
      <c r="H27" s="37">
        <f>IFERROR(G27/G$40,0)</f>
        <v/>
      </c>
    </row>
    <row r="28" ht="10" customHeight="1">
      <c r="A28" s="30" t="inlineStr">
        <is>
          <t>Cargo &amp; Vehicle Cargo Ships</t>
        </is>
      </c>
      <c r="B28" s="30" t="inlineStr">
        <is>
          <t>USN</t>
        </is>
      </c>
      <c r="C28" s="31">
        <f>SUMIFS(JB_27BV,JB_B,2,JB_W,"Cargo &amp; Vehicle Cargo Ships",JB_RC,"ADD")</f>
        <v/>
      </c>
      <c r="D28" s="31">
        <f>SUMIFS(JB_27BV,JB_B,3,JB_W,"Cargo &amp; Vehicle Cargo Ships",JB_RC,"ADD")</f>
        <v/>
      </c>
      <c r="E28" s="31">
        <f>SUMIFS(JB_27BV,JB_B,4,JB_W,"Cargo &amp; Vehicle Cargo Ships",JB_RC,"ADD")</f>
        <v/>
      </c>
      <c r="F28" s="31">
        <f>SUMIFS(JB_27BV,JB_B,5,JB_W,"Cargo &amp; Vehicle Cargo Ships",JB_RC,"ADD")</f>
        <v/>
      </c>
      <c r="G28" s="31">
        <f>SUM(C28:F28)</f>
        <v/>
      </c>
      <c r="H28" s="37">
        <f>IFERROR(G28/G$40,0)</f>
        <v/>
      </c>
    </row>
    <row r="29" ht="10" customHeight="1">
      <c r="A29" s="30" t="inlineStr">
        <is>
          <t>Mine Warfare</t>
        </is>
      </c>
      <c r="B29" s="30" t="inlineStr">
        <is>
          <t>USN</t>
        </is>
      </c>
      <c r="C29" s="31">
        <f>SUMIFS(JB_27BV,JB_B,2,JB_W,"Mine Warfare",JB_RC,"ADD")</f>
        <v/>
      </c>
      <c r="D29" s="31">
        <f>SUMIFS(JB_27BV,JB_B,3,JB_W,"Mine Warfare",JB_RC,"ADD")</f>
        <v/>
      </c>
      <c r="E29" s="31">
        <f>SUMIFS(JB_27BV,JB_B,4,JB_W,"Mine Warfare",JB_RC,"ADD")</f>
        <v/>
      </c>
      <c r="F29" s="31">
        <f>SUMIFS(JB_27BV,JB_B,5,JB_W,"Mine Warfare",JB_RC,"ADD")</f>
        <v/>
      </c>
      <c r="G29" s="31">
        <f>SUM(C29:F29)</f>
        <v/>
      </c>
      <c r="H29" s="37">
        <f>IFERROR(G29/G$40,0)</f>
        <v/>
      </c>
    </row>
    <row r="30" ht="10" customHeight="1">
      <c r="A30" s="30" t="inlineStr">
        <is>
          <t>High Speed Transport</t>
        </is>
      </c>
      <c r="B30" s="30" t="inlineStr">
        <is>
          <t>USN</t>
        </is>
      </c>
      <c r="C30" s="31">
        <f>SUMIFS(JB_27BV,JB_B,2,JB_W,"High Speed Transport",JB_RC,"ADD")</f>
        <v/>
      </c>
      <c r="D30" s="31">
        <f>SUMIFS(JB_27BV,JB_B,3,JB_W,"High Speed Transport",JB_RC,"ADD")</f>
        <v/>
      </c>
      <c r="E30" s="31">
        <f>SUMIFS(JB_27BV,JB_B,4,JB_W,"High Speed Transport",JB_RC,"ADD")</f>
        <v/>
      </c>
      <c r="F30" s="31">
        <f>SUMIFS(JB_27BV,JB_B,5,JB_W,"High Speed Transport",JB_RC,"ADD")</f>
        <v/>
      </c>
      <c r="G30" s="31">
        <f>SUM(C30:F30)</f>
        <v/>
      </c>
      <c r="H30" s="37">
        <f>IFERROR(G30/G$40,0)</f>
        <v/>
      </c>
    </row>
    <row r="31" ht="10" customHeight="1">
      <c r="A31" s="30" t="inlineStr">
        <is>
          <t>Submarine Escort Ship</t>
        </is>
      </c>
      <c r="B31" s="30" t="inlineStr">
        <is>
          <t>USN</t>
        </is>
      </c>
      <c r="C31" s="31">
        <f>SUMIFS(JB_27BV,JB_B,2,JB_W,"Submarine Escort Ship",JB_RC,"ADD")</f>
        <v/>
      </c>
      <c r="D31" s="31">
        <f>SUMIFS(JB_27BV,JB_B,3,JB_W,"Submarine Escort Ship",JB_RC,"ADD")</f>
        <v/>
      </c>
      <c r="E31" s="31">
        <f>SUMIFS(JB_27BV,JB_B,4,JB_W,"Submarine Escort Ship",JB_RC,"ADD")</f>
        <v/>
      </c>
      <c r="F31" s="31">
        <f>SUMIFS(JB_27BV,JB_B,5,JB_W,"Submarine Escort Ship",JB_RC,"ADD")</f>
        <v/>
      </c>
      <c r="G31" s="31">
        <f>SUM(C31:F31)</f>
        <v/>
      </c>
      <c r="H31" s="37">
        <f>IFERROR(G31/G$40,0)</f>
        <v/>
      </c>
    </row>
    <row r="32" ht="10" customHeight="1">
      <c r="A32" s="30" t="inlineStr">
        <is>
          <t>Hospital Ship</t>
        </is>
      </c>
      <c r="B32" s="30" t="inlineStr">
        <is>
          <t>MSC</t>
        </is>
      </c>
      <c r="C32" s="31">
        <f>SUMIFS(JB_27BV,JB_B,2,JB_W,"Hospital Ship",JB_RC,"ADD")</f>
        <v/>
      </c>
      <c r="D32" s="31">
        <f>SUMIFS(JB_27BV,JB_B,3,JB_W,"Hospital Ship",JB_RC,"ADD")</f>
        <v/>
      </c>
      <c r="E32" s="31">
        <f>SUMIFS(JB_27BV,JB_B,4,JB_W,"Hospital Ship",JB_RC,"ADD")</f>
        <v/>
      </c>
      <c r="F32" s="31">
        <f>SUMIFS(JB_27BV,JB_B,5,JB_W,"Hospital Ship",JB_RC,"ADD")</f>
        <v/>
      </c>
      <c r="G32" s="31">
        <f>SUM(C32:F32)</f>
        <v/>
      </c>
      <c r="H32" s="37">
        <f>IFERROR(G32/G$40,0)</f>
        <v/>
      </c>
    </row>
    <row r="33" ht="10" customHeight="1">
      <c r="A33" s="30" t="inlineStr">
        <is>
          <t>Icebreakers, Oceangoing</t>
        </is>
      </c>
      <c r="B33" s="30" t="inlineStr">
        <is>
          <t>USCG</t>
        </is>
      </c>
      <c r="C33" s="31">
        <f>SUMIFS(JB_27BV,JB_B,2,JB_W,"Icebreakers, Oceangoing",JB_RC,"ADD")</f>
        <v/>
      </c>
      <c r="D33" s="31">
        <f>SUMIFS(JB_27BV,JB_B,3,JB_W,"Icebreakers, Oceangoing",JB_RC,"ADD")</f>
        <v/>
      </c>
      <c r="E33" s="31">
        <f>SUMIFS(JB_27BV,JB_B,4,JB_W,"Icebreakers, Oceangoing",JB_RC,"ADD")</f>
        <v/>
      </c>
      <c r="F33" s="31">
        <f>SUMIFS(JB_27BV,JB_B,5,JB_W,"Icebreakers, Oceangoing",JB_RC,"ADD")</f>
        <v/>
      </c>
      <c r="G33" s="31">
        <f>SUM(C33:F33)</f>
        <v/>
      </c>
      <c r="H33" s="37">
        <f>IFERROR(G33/G$40,0)</f>
        <v/>
      </c>
    </row>
    <row r="34" ht="10" customHeight="1">
      <c r="A34" s="30" t="inlineStr">
        <is>
          <t>Fast Response Cutters</t>
        </is>
      </c>
      <c r="B34" s="30" t="inlineStr">
        <is>
          <t>USCG</t>
        </is>
      </c>
      <c r="C34" s="31">
        <f>SUMIFS(JB_27BV,JB_B,2,JB_W,"Fast Response Cutters",JB_RC,"ADD")</f>
        <v/>
      </c>
      <c r="D34" s="31">
        <f>SUMIFS(JB_27BV,JB_B,3,JB_W,"Fast Response Cutters",JB_RC,"ADD")</f>
        <v/>
      </c>
      <c r="E34" s="31">
        <f>SUMIFS(JB_27BV,JB_B,4,JB_W,"Fast Response Cutters",JB_RC,"ADD")</f>
        <v/>
      </c>
      <c r="F34" s="31">
        <f>SUMIFS(JB_27BV,JB_B,5,JB_W,"Fast Response Cutters",JB_RC,"ADD")</f>
        <v/>
      </c>
      <c r="G34" s="31">
        <f>SUM(C34:F34)</f>
        <v/>
      </c>
      <c r="H34" s="37">
        <f>IFERROR(G34/G$40,0)</f>
        <v/>
      </c>
    </row>
    <row r="35" ht="10" customHeight="1">
      <c r="A35" s="30" t="inlineStr">
        <is>
          <t>Coastal Buoy Tenders</t>
        </is>
      </c>
      <c r="B35" s="30" t="inlineStr">
        <is>
          <t>USCG</t>
        </is>
      </c>
      <c r="C35" s="31">
        <f>SUMIFS(JB_27BV,JB_B,2,JB_W,"Coastal Buoy Tenders",JB_RC,"ADD")</f>
        <v/>
      </c>
      <c r="D35" s="31">
        <f>SUMIFS(JB_27BV,JB_B,3,JB_W,"Coastal Buoy Tenders",JB_RC,"ADD")</f>
        <v/>
      </c>
      <c r="E35" s="31">
        <f>SUMIFS(JB_27BV,JB_B,4,JB_W,"Coastal Buoy Tenders",JB_RC,"ADD")</f>
        <v/>
      </c>
      <c r="F35" s="31">
        <f>SUMIFS(JB_27BV,JB_B,5,JB_W,"Coastal Buoy Tenders",JB_RC,"ADD")</f>
        <v/>
      </c>
      <c r="G35" s="31">
        <f>SUM(C35:F35)</f>
        <v/>
      </c>
      <c r="H35" s="37">
        <f>IFERROR(G35/G$40,0)</f>
        <v/>
      </c>
    </row>
    <row r="36" ht="10" customHeight="1">
      <c r="A36" s="30" t="inlineStr">
        <is>
          <t>Waterways Commerce Cutters</t>
        </is>
      </c>
      <c r="B36" s="30" t="inlineStr">
        <is>
          <t>USCG</t>
        </is>
      </c>
      <c r="C36" s="31">
        <f>SUMIFS(JB_27BV,JB_B,2,JB_W,"Waterways Commerce Cutters",JB_RC,"ADD")</f>
        <v/>
      </c>
      <c r="D36" s="31">
        <f>SUMIFS(JB_27BV,JB_B,3,JB_W,"Waterways Commerce Cutters",JB_RC,"ADD")</f>
        <v/>
      </c>
      <c r="E36" s="31">
        <f>SUMIFS(JB_27BV,JB_B,4,JB_W,"Waterways Commerce Cutters",JB_RC,"ADD")</f>
        <v/>
      </c>
      <c r="F36" s="31">
        <f>SUMIFS(JB_27BV,JB_B,5,JB_W,"Waterways Commerce Cutters",JB_RC,"ADD")</f>
        <v/>
      </c>
      <c r="G36" s="31">
        <f>SUM(C36:F36)</f>
        <v/>
      </c>
      <c r="H36" s="37">
        <f>IFERROR(G36/G$40,0)</f>
        <v/>
      </c>
    </row>
    <row r="37" ht="10" customHeight="1">
      <c r="A37" s="30" t="inlineStr">
        <is>
          <t>National Security Cutters</t>
        </is>
      </c>
      <c r="B37" s="30" t="inlineStr">
        <is>
          <t>USCG</t>
        </is>
      </c>
      <c r="C37" s="31">
        <f>SUMIFS(JB_27BV,JB_B,2,JB_W,"National Security Cutters",JB_RC,"ADD")</f>
        <v/>
      </c>
      <c r="D37" s="31">
        <f>SUMIFS(JB_27BV,JB_B,3,JB_W,"National Security Cutters",JB_RC,"ADD")</f>
        <v/>
      </c>
      <c r="E37" s="31">
        <f>SUMIFS(JB_27BV,JB_B,4,JB_W,"National Security Cutters",JB_RC,"ADD")</f>
        <v/>
      </c>
      <c r="F37" s="31">
        <f>SUMIFS(JB_27BV,JB_B,5,JB_W,"National Security Cutters",JB_RC,"ADD")</f>
        <v/>
      </c>
      <c r="G37" s="31">
        <f>SUM(C37:F37)</f>
        <v/>
      </c>
      <c r="H37" s="37">
        <f>IFERROR(G37/G$40,0)</f>
        <v/>
      </c>
    </row>
    <row r="38" ht="10" customHeight="1">
      <c r="A38" s="30" t="inlineStr">
        <is>
          <t>Icebreakers, Great Lakes</t>
        </is>
      </c>
      <c r="B38" s="30" t="inlineStr">
        <is>
          <t>USCG</t>
        </is>
      </c>
      <c r="C38" s="31">
        <f>SUMIFS(JB_27BV,JB_B,2,JB_W,"Icebreakers, Great Lakes",JB_RC,"ADD")</f>
        <v/>
      </c>
      <c r="D38" s="31">
        <f>SUMIFS(JB_27BV,JB_B,3,JB_W,"Icebreakers, Great Lakes",JB_RC,"ADD")</f>
        <v/>
      </c>
      <c r="E38" s="31">
        <f>SUMIFS(JB_27BV,JB_B,4,JB_W,"Icebreakers, Great Lakes",JB_RC,"ADD")</f>
        <v/>
      </c>
      <c r="F38" s="31">
        <f>SUMIFS(JB_27BV,JB_B,5,JB_W,"Icebreakers, Great Lakes",JB_RC,"ADD")</f>
        <v/>
      </c>
      <c r="G38" s="31">
        <f>SUM(C38:F38)</f>
        <v/>
      </c>
      <c r="H38" s="37">
        <f>IFERROR(G38/G$40,0)</f>
        <v/>
      </c>
    </row>
    <row r="39" ht="10" customHeight="1">
      <c r="A39" s="30" t="inlineStr">
        <is>
          <t>Offshore Patrol Cutter</t>
        </is>
      </c>
      <c r="B39" s="30" t="inlineStr">
        <is>
          <t>USCG</t>
        </is>
      </c>
      <c r="C39" s="31">
        <f>SUMIFS(JB_27BV,JB_B,2,JB_W,"Offshore Patrol Cutter",JB_RC,"ADD")</f>
        <v/>
      </c>
      <c r="D39" s="31">
        <f>SUMIFS(JB_27BV,JB_B,3,JB_W,"Offshore Patrol Cutter",JB_RC,"ADD")</f>
        <v/>
      </c>
      <c r="E39" s="31">
        <f>SUMIFS(JB_27BV,JB_B,4,JB_W,"Offshore Patrol Cutter",JB_RC,"ADD")</f>
        <v/>
      </c>
      <c r="F39" s="31">
        <f>SUMIFS(JB_27BV,JB_B,5,JB_W,"Offshore Patrol Cutter",JB_RC,"ADD")</f>
        <v/>
      </c>
      <c r="G39" s="31">
        <f>SUM(C39:F39)</f>
        <v/>
      </c>
      <c r="H39" s="37">
        <f>IFERROR(G39/G$40,0)</f>
        <v/>
      </c>
    </row>
    <row r="40" ht="10" customHeight="1">
      <c r="A40" s="32" t="inlineStr">
        <is>
          <t>MRO SAM (all programs)</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39" t="n"/>
      <c r="I44" s="41" t="n"/>
    </row>
    <row r="45" ht="10" customHeight="1">
      <c r="A45" s="29" t="inlineStr">
        <is>
          <t>Work Type</t>
        </is>
      </c>
      <c r="B45" s="42" t="inlineStr">
        <is>
          <t>DDG</t>
        </is>
      </c>
      <c r="C45" s="29" t="inlineStr">
        <is>
          <t>LCS</t>
        </is>
      </c>
      <c r="D45" s="29" t="inlineStr">
        <is>
          <t>LPD</t>
        </is>
      </c>
      <c r="E45" s="29" t="inlineStr">
        <is>
          <t>LHD</t>
        </is>
      </c>
      <c r="F45" s="29" t="inlineStr">
        <is>
          <t>T-AGOS</t>
        </is>
      </c>
      <c r="G45" s="29" t="inlineStr">
        <is>
          <t>LCC</t>
        </is>
      </c>
      <c r="H45" s="29" t="inlineStr">
        <is>
          <t>LSD</t>
        </is>
      </c>
      <c r="I45" s="42" t="inlineStr">
        <is>
          <t>Total</t>
        </is>
      </c>
    </row>
    <row r="46" ht="10" customHeight="1">
      <c r="A46" s="30" t="inlineStr">
        <is>
          <t>Scheduled Depot Maintenance</t>
        </is>
      </c>
      <c r="B46" s="43">
        <f>IFERROR((SUMIFS(JB_27BV,JB_B,2,JB_H,"DDG",JB_RC,"ADD"))/B$50,0)</f>
        <v/>
      </c>
      <c r="C46" s="37">
        <f>IFERROR((SUMIFS(JB_27BV,JB_B,2,JB_H,"LCS",JB_RC,"ADD"))/C$50,0)</f>
        <v/>
      </c>
      <c r="D46" s="37">
        <f>IFERROR((SUMIFS(JB_27BV,JB_B,2,JB_H,"LPD",JB_RC,"ADD"))/D$50,0)</f>
        <v/>
      </c>
      <c r="E46" s="37">
        <f>IFERROR((SUMIFS(JB_27BV,JB_B,2,JB_H,"LHD",JB_RC,"ADD"))/E$50,0)</f>
        <v/>
      </c>
      <c r="F46" s="37">
        <f>IFERROR((SUMIFS(JB_27BV,JB_B,2,JB_H,"T-AGOS",JB_RC,"ADD"))/F$50,0)</f>
        <v/>
      </c>
      <c r="G46" s="37">
        <f>IFERROR((SUMIFS(JB_27BV,JB_B,2,JB_H,"LCC",JB_RC,"ADD"))/G$50,0)</f>
        <v/>
      </c>
      <c r="H46" s="37">
        <f>IFERROR((SUMIFS(JB_27BV,JB_B,2,JB_H,"LSD",JB_RC,"ADD"))/H$50,0)</f>
        <v/>
      </c>
      <c r="I46" s="43">
        <f>IFERROR((SUMIFS(JB_27BV,JB_B,2,JB_H,"DDG",JB_RC,"ADD")+SUMIFS(JB_27BV,JB_B,2,JB_H,"LCS",JB_RC,"ADD")+SUMIFS(JB_27BV,JB_B,2,JB_H,"LPD",JB_RC,"ADD")+SUMIFS(JB_27BV,JB_B,2,JB_H,"LHD",JB_RC,"ADD")+SUMIFS(JB_27BV,JB_B,2,JB_H,"T-AGOS",JB_RC,"ADD")+SUMIFS(JB_27BV,JB_B,2,JB_H,"LCC",JB_RC,"ADD")+SUMIFS(JB_27BV,JB_B,2,JB_H,"LSD",JB_RC,"ADD"))/I$50,0)</f>
        <v/>
      </c>
    </row>
    <row r="47" ht="10" customHeight="1">
      <c r="A47" s="30" t="inlineStr">
        <is>
          <t>Continuous / Emergent Maintenance</t>
        </is>
      </c>
      <c r="B47" s="43">
        <f>IFERROR((SUMIFS(JB_27BV,JB_B,3,JB_H,"DDG",JB_RC,"ADD"))/B$50,0)</f>
        <v/>
      </c>
      <c r="C47" s="37">
        <f>IFERROR((SUMIFS(JB_27BV,JB_B,3,JB_H,"LCS",JB_RC,"ADD"))/C$50,0)</f>
        <v/>
      </c>
      <c r="D47" s="37">
        <f>IFERROR((SUMIFS(JB_27BV,JB_B,3,JB_H,"LPD",JB_RC,"ADD"))/D$50,0)</f>
        <v/>
      </c>
      <c r="E47" s="37">
        <f>IFERROR((SUMIFS(JB_27BV,JB_B,3,JB_H,"LHD",JB_RC,"ADD"))/E$50,0)</f>
        <v/>
      </c>
      <c r="F47" s="37">
        <f>IFERROR((SUMIFS(JB_27BV,JB_B,3,JB_H,"T-AGOS",JB_RC,"ADD"))/F$50,0)</f>
        <v/>
      </c>
      <c r="G47" s="37">
        <f>IFERROR((SUMIFS(JB_27BV,JB_B,3,JB_H,"LCC",JB_RC,"ADD"))/G$50,0)</f>
        <v/>
      </c>
      <c r="H47" s="37">
        <f>IFERROR((SUMIFS(JB_27BV,JB_B,3,JB_H,"LSD",JB_RC,"ADD"))/H$50,0)</f>
        <v/>
      </c>
      <c r="I47" s="43">
        <f>IFERROR((SUMIFS(JB_27BV,JB_B,3,JB_H,"DDG",JB_RC,"ADD")+SUMIFS(JB_27BV,JB_B,3,JB_H,"LCS",JB_RC,"ADD")+SUMIFS(JB_27BV,JB_B,3,JB_H,"LPD",JB_RC,"ADD")+SUMIFS(JB_27BV,JB_B,3,JB_H,"LHD",JB_RC,"ADD")+SUMIFS(JB_27BV,JB_B,3,JB_H,"T-AGOS",JB_RC,"ADD")+SUMIFS(JB_27BV,JB_B,3,JB_H,"LCC",JB_RC,"ADD")+SUMIFS(JB_27BV,JB_B,3,JB_H,"LSD",JB_RC,"ADD"))/I$50,0)</f>
        <v/>
      </c>
    </row>
    <row r="48" ht="10" customHeight="1">
      <c r="A48" s="30" t="inlineStr">
        <is>
          <t>Modernization</t>
        </is>
      </c>
      <c r="B48" s="43">
        <f>IFERROR((SUMIFS(JB_27BV,JB_B,4,JB_H,"DDG",JB_RC,"ADD"))/B$50,0)</f>
        <v/>
      </c>
      <c r="C48" s="37">
        <f>IFERROR((SUMIFS(JB_27BV,JB_B,4,JB_H,"LCS",JB_RC,"ADD"))/C$50,0)</f>
        <v/>
      </c>
      <c r="D48" s="37">
        <f>IFERROR((SUMIFS(JB_27BV,JB_B,4,JB_H,"LPD",JB_RC,"ADD"))/D$50,0)</f>
        <v/>
      </c>
      <c r="E48" s="37">
        <f>IFERROR((SUMIFS(JB_27BV,JB_B,4,JB_H,"LHD",JB_RC,"ADD"))/E$50,0)</f>
        <v/>
      </c>
      <c r="F48" s="37">
        <f>IFERROR((SUMIFS(JB_27BV,JB_B,4,JB_H,"T-AGOS",JB_RC,"ADD"))/F$50,0)</f>
        <v/>
      </c>
      <c r="G48" s="37">
        <f>IFERROR((SUMIFS(JB_27BV,JB_B,4,JB_H,"LCC",JB_RC,"ADD"))/G$50,0)</f>
        <v/>
      </c>
      <c r="H48" s="37">
        <f>IFERROR((SUMIFS(JB_27BV,JB_B,4,JB_H,"LSD",JB_RC,"ADD"))/H$50,0)</f>
        <v/>
      </c>
      <c r="I48" s="43">
        <f>IFERROR((SUMIFS(JB_27BV,JB_B,4,JB_H,"DDG",JB_RC,"ADD")+SUMIFS(JB_27BV,JB_B,4,JB_H,"LCS",JB_RC,"ADD")+SUMIFS(JB_27BV,JB_B,4,JB_H,"LPD",JB_RC,"ADD")+SUMIFS(JB_27BV,JB_B,4,JB_H,"LHD",JB_RC,"ADD")+SUMIFS(JB_27BV,JB_B,4,JB_H,"T-AGOS",JB_RC,"ADD")+SUMIFS(JB_27BV,JB_B,4,JB_H,"LCC",JB_RC,"ADD")+SUMIFS(JB_27BV,JB_B,4,JB_H,"LSD",JB_RC,"ADD"))/I$50,0)</f>
        <v/>
      </c>
    </row>
    <row r="49" ht="10" customHeight="1">
      <c r="A49" s="30" t="inlineStr">
        <is>
          <t>Major Life-Cycle Events / RCOH</t>
        </is>
      </c>
      <c r="B49" s="43">
        <f>IFERROR((SUMIFS(JB_27BV,JB_B,5,JB_H,"DDG",JB_RC,"ADD"))/B$50,0)</f>
        <v/>
      </c>
      <c r="C49" s="37">
        <f>IFERROR((SUMIFS(JB_27BV,JB_B,5,JB_H,"LCS",JB_RC,"ADD"))/C$50,0)</f>
        <v/>
      </c>
      <c r="D49" s="37">
        <f>IFERROR((SUMIFS(JB_27BV,JB_B,5,JB_H,"LPD",JB_RC,"ADD"))/D$50,0)</f>
        <v/>
      </c>
      <c r="E49" s="37">
        <f>IFERROR((SUMIFS(JB_27BV,JB_B,5,JB_H,"LHD",JB_RC,"ADD"))/E$50,0)</f>
        <v/>
      </c>
      <c r="F49" s="37">
        <f>IFERROR((SUMIFS(JB_27BV,JB_B,5,JB_H,"T-AGOS",JB_RC,"ADD"))/F$50,0)</f>
        <v/>
      </c>
      <c r="G49" s="37">
        <f>IFERROR((SUMIFS(JB_27BV,JB_B,5,JB_H,"LCC",JB_RC,"ADD"))/G$50,0)</f>
        <v/>
      </c>
      <c r="H49" s="37">
        <f>IFERROR((SUMIFS(JB_27BV,JB_B,5,JB_H,"LSD",JB_RC,"ADD"))/H$50,0)</f>
        <v/>
      </c>
      <c r="I49" s="43">
        <f>IFERROR((SUMIFS(JB_27BV,JB_B,5,JB_H,"DDG",JB_RC,"ADD")+SUMIFS(JB_27BV,JB_B,5,JB_H,"LCS",JB_RC,"ADD")+SUMIFS(JB_27BV,JB_B,5,JB_H,"LPD",JB_RC,"ADD")+SUMIFS(JB_27BV,JB_B,5,JB_H,"LHD",JB_RC,"ADD")+SUMIFS(JB_27BV,JB_B,5,JB_H,"T-AGOS",JB_RC,"ADD")+SUMIFS(JB_27BV,JB_B,5,JB_H,"LCC",JB_RC,"ADD")+SUMIFS(JB_27BV,JB_B,5,JB_H,"LSD",JB_RC,"ADD"))/I$50,0)</f>
        <v/>
      </c>
    </row>
    <row r="50" ht="10" customHeight="1">
      <c r="A50" s="32" t="inlineStr">
        <is>
          <t>Total ($K)</t>
        </is>
      </c>
      <c r="B50" s="44">
        <f>SUMIFS(JB_27BV,JB_B,2,JB_H,"DDG",JB_RC,"ADD")+SUMIFS(JB_27BV,JB_B,3,JB_H,"DDG",JB_RC,"ADD")+SUMIFS(JB_27BV,JB_B,4,JB_H,"DDG",JB_RC,"ADD")+SUMIFS(JB_27BV,JB_B,5,JB_H,"DDG",JB_RC,"ADD")</f>
        <v/>
      </c>
      <c r="C50" s="33">
        <f>SUMIFS(JB_27BV,JB_B,2,JB_H,"LCS",JB_RC,"ADD")+SUMIFS(JB_27BV,JB_B,3,JB_H,"LCS",JB_RC,"ADD")+SUMIFS(JB_27BV,JB_B,4,JB_H,"LCS",JB_RC,"ADD")+SUMIFS(JB_27BV,JB_B,5,JB_H,"LCS",JB_RC,"ADD")</f>
        <v/>
      </c>
      <c r="D50" s="33">
        <f>SUMIFS(JB_27BV,JB_B,2,JB_H,"LPD",JB_RC,"ADD")+SUMIFS(JB_27BV,JB_B,3,JB_H,"LPD",JB_RC,"ADD")+SUMIFS(JB_27BV,JB_B,4,JB_H,"LPD",JB_RC,"ADD")+SUMIFS(JB_27BV,JB_B,5,JB_H,"LPD",JB_RC,"ADD")</f>
        <v/>
      </c>
      <c r="E50" s="33">
        <f>SUMIFS(JB_27BV,JB_B,2,JB_H,"LHD",JB_RC,"ADD")+SUMIFS(JB_27BV,JB_B,3,JB_H,"LHD",JB_RC,"ADD")+SUMIFS(JB_27BV,JB_B,4,JB_H,"LHD",JB_RC,"ADD")+SUMIFS(JB_27BV,JB_B,5,JB_H,"LHD",JB_RC,"ADD")</f>
        <v/>
      </c>
      <c r="F50" s="33">
        <f>SUMIFS(JB_27BV,JB_B,2,JB_H,"T-AGOS",JB_RC,"ADD")+SUMIFS(JB_27BV,JB_B,3,JB_H,"T-AGOS",JB_RC,"ADD")+SUMIFS(JB_27BV,JB_B,4,JB_H,"T-AGOS",JB_RC,"ADD")+SUMIFS(JB_27BV,JB_B,5,JB_H,"T-AGOS",JB_RC,"ADD")</f>
        <v/>
      </c>
      <c r="G50" s="33">
        <f>SUMIFS(JB_27BV,JB_B,2,JB_H,"LCC",JB_RC,"ADD")+SUMIFS(JB_27BV,JB_B,3,JB_H,"LCC",JB_RC,"ADD")+SUMIFS(JB_27BV,JB_B,4,JB_H,"LCC",JB_RC,"ADD")+SUMIFS(JB_27BV,JB_B,5,JB_H,"LCC",JB_RC,"ADD")</f>
        <v/>
      </c>
      <c r="H50" s="33">
        <f>SUMIFS(JB_27BV,JB_B,2,JB_H,"LSD",JB_RC,"ADD")+SUMIFS(JB_27BV,JB_B,3,JB_H,"LSD",JB_RC,"ADD")+SUMIFS(JB_27BV,JB_B,4,JB_H,"LSD",JB_RC,"ADD")+SUMIFS(JB_27BV,JB_B,5,JB_H,"LSD",JB_RC,"ADD")</f>
        <v/>
      </c>
      <c r="I50" s="44">
        <f>SUM(B50:H50)</f>
        <v/>
      </c>
    </row>
    <row r="51" ht="10" customHeight="1"/>
    <row r="52" ht="10" customHeight="1"/>
    <row r="53" ht="10" customHeight="1">
      <c r="A53" s="27" t="inlineStr">
        <is>
          <t>(D) MRO SAM (all programs) by Hull Program — FY2027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SUMIFS(JB_27BV,JB_B,2,JB_H,"DDG",JB_RC,"ADD")</f>
        <v/>
      </c>
      <c r="E56" s="31">
        <f>SUMIFS(JB_27BV,JB_B,3,JB_H,"DDG",JB_RC,"ADD")</f>
        <v/>
      </c>
      <c r="F56" s="31">
        <f>SUMIFS(JB_27BV,JB_B,4,JB_H,"DDG",JB_RC,"ADD")</f>
        <v/>
      </c>
      <c r="G56" s="31">
        <f>SUMIFS(JB_27BV,JB_B,5,JB_H,"DDG",JB_RC,"ADD")</f>
        <v/>
      </c>
      <c r="H56" s="31">
        <f>SUM(D56:G56)</f>
        <v/>
      </c>
      <c r="I56" s="37">
        <f>IFERROR(H56/H$63,0)</f>
        <v/>
      </c>
    </row>
    <row r="57" ht="10" customHeight="1">
      <c r="A57" s="30" t="inlineStr">
        <is>
          <t>LCS</t>
        </is>
      </c>
      <c r="B57" s="30" t="inlineStr">
        <is>
          <t>Surface Combatants</t>
        </is>
      </c>
      <c r="C57" s="30" t="inlineStr">
        <is>
          <t>USN</t>
        </is>
      </c>
      <c r="D57" s="31">
        <f>SUMIFS(JB_27BV,JB_B,2,JB_H,"LCS",JB_RC,"ADD")</f>
        <v/>
      </c>
      <c r="E57" s="31">
        <f>SUMIFS(JB_27BV,JB_B,3,JB_H,"LCS",JB_RC,"ADD")</f>
        <v/>
      </c>
      <c r="F57" s="31">
        <f>SUMIFS(JB_27BV,JB_B,4,JB_H,"LCS",JB_RC,"ADD")</f>
        <v/>
      </c>
      <c r="G57" s="31">
        <f>SUMIFS(JB_27BV,JB_B,5,JB_H,"LCS",JB_RC,"ADD")</f>
        <v/>
      </c>
      <c r="H57" s="31">
        <f>SUM(D57:G57)</f>
        <v/>
      </c>
      <c r="I57" s="37">
        <f>IFERROR(H57/H$63,0)</f>
        <v/>
      </c>
    </row>
    <row r="58" ht="10" customHeight="1">
      <c r="A58" s="30" t="inlineStr">
        <is>
          <t>LPD</t>
        </is>
      </c>
      <c r="B58" s="30" t="inlineStr">
        <is>
          <t>Amphibious Warfare Ships</t>
        </is>
      </c>
      <c r="C58" s="30" t="inlineStr">
        <is>
          <t>USN</t>
        </is>
      </c>
      <c r="D58" s="31">
        <f>SUMIFS(JB_27BV,JB_B,2,JB_H,"LPD",JB_RC,"ADD")</f>
        <v/>
      </c>
      <c r="E58" s="31">
        <f>SUMIFS(JB_27BV,JB_B,3,JB_H,"LPD",JB_RC,"ADD")</f>
        <v/>
      </c>
      <c r="F58" s="31">
        <f>SUMIFS(JB_27BV,JB_B,4,JB_H,"LPD",JB_RC,"ADD")</f>
        <v/>
      </c>
      <c r="G58" s="31">
        <f>SUMIFS(JB_27BV,JB_B,5,JB_H,"LPD",JB_RC,"ADD")</f>
        <v/>
      </c>
      <c r="H58" s="31">
        <f>SUM(D58:G58)</f>
        <v/>
      </c>
      <c r="I58" s="37">
        <f>IFERROR(H58/H$63,0)</f>
        <v/>
      </c>
    </row>
    <row r="59" ht="10" customHeight="1">
      <c r="A59" s="30" t="inlineStr">
        <is>
          <t>LHD</t>
        </is>
      </c>
      <c r="B59" s="30" t="inlineStr">
        <is>
          <t>Amphibious Warfare Ships</t>
        </is>
      </c>
      <c r="C59" s="30" t="inlineStr">
        <is>
          <t>USN</t>
        </is>
      </c>
      <c r="D59" s="31">
        <f>SUMIFS(JB_27BV,JB_B,2,JB_H,"LHD",JB_RC,"ADD")</f>
        <v/>
      </c>
      <c r="E59" s="31">
        <f>SUMIFS(JB_27BV,JB_B,3,JB_H,"LHD",JB_RC,"ADD")</f>
        <v/>
      </c>
      <c r="F59" s="31">
        <f>SUMIFS(JB_27BV,JB_B,4,JB_H,"LHD",JB_RC,"ADD")</f>
        <v/>
      </c>
      <c r="G59" s="31">
        <f>SUMIFS(JB_27BV,JB_B,5,JB_H,"LHD",JB_RC,"ADD")</f>
        <v/>
      </c>
      <c r="H59" s="31">
        <f>SUM(D59:G59)</f>
        <v/>
      </c>
      <c r="I59" s="37">
        <f>IFERROR(H59/H$63,0)</f>
        <v/>
      </c>
    </row>
    <row r="60" ht="10" customHeight="1">
      <c r="A60" s="30" t="inlineStr">
        <is>
          <t>T-AGOS</t>
        </is>
      </c>
      <c r="B60" s="30" t="inlineStr">
        <is>
          <t>Surveillance Ships</t>
        </is>
      </c>
      <c r="C60" s="30" t="inlineStr">
        <is>
          <t>MSC</t>
        </is>
      </c>
      <c r="D60" s="31">
        <f>SUMIFS(JB_27BV,JB_B,2,JB_H,"T-AGOS",JB_RC,"ADD")</f>
        <v/>
      </c>
      <c r="E60" s="31">
        <f>SUMIFS(JB_27BV,JB_B,3,JB_H,"T-AGOS",JB_RC,"ADD")</f>
        <v/>
      </c>
      <c r="F60" s="31">
        <f>SUMIFS(JB_27BV,JB_B,4,JB_H,"T-AGOS",JB_RC,"ADD")</f>
        <v/>
      </c>
      <c r="G60" s="31">
        <f>SUMIFS(JB_27BV,JB_B,5,JB_H,"T-AGOS",JB_RC,"ADD")</f>
        <v/>
      </c>
      <c r="H60" s="31">
        <f>SUM(D60:G60)</f>
        <v/>
      </c>
      <c r="I60" s="37">
        <f>IFERROR(H60/H$63,0)</f>
        <v/>
      </c>
    </row>
    <row r="61" ht="10" customHeight="1">
      <c r="A61" s="30" t="inlineStr">
        <is>
          <t>LCC</t>
        </is>
      </c>
      <c r="B61" s="30" t="inlineStr">
        <is>
          <t>Command Ships</t>
        </is>
      </c>
      <c r="C61" s="30" t="inlineStr">
        <is>
          <t>USN</t>
        </is>
      </c>
      <c r="D61" s="31">
        <f>SUMIFS(JB_27BV,JB_B,2,JB_H,"LCC",JB_RC,"ADD")</f>
        <v/>
      </c>
      <c r="E61" s="31">
        <f>SUMIFS(JB_27BV,JB_B,3,JB_H,"LCC",JB_RC,"ADD")</f>
        <v/>
      </c>
      <c r="F61" s="31">
        <f>SUMIFS(JB_27BV,JB_B,4,JB_H,"LCC",JB_RC,"ADD")</f>
        <v/>
      </c>
      <c r="G61" s="31">
        <f>SUMIFS(JB_27BV,JB_B,5,JB_H,"LCC",JB_RC,"ADD")</f>
        <v/>
      </c>
      <c r="H61" s="31">
        <f>SUM(D61:G61)</f>
        <v/>
      </c>
      <c r="I61" s="37">
        <f>IFERROR(H61/H$63,0)</f>
        <v/>
      </c>
    </row>
    <row r="62" ht="10" customHeight="1">
      <c r="A62" s="30" t="inlineStr">
        <is>
          <t>LSD</t>
        </is>
      </c>
      <c r="B62" s="30" t="inlineStr">
        <is>
          <t>Amphibious Warfare Ships</t>
        </is>
      </c>
      <c r="C62" s="30" t="inlineStr">
        <is>
          <t>USN</t>
        </is>
      </c>
      <c r="D62" s="31">
        <f>SUMIFS(JB_27BV,JB_B,2,JB_H,"LSD",JB_RC,"ADD")</f>
        <v/>
      </c>
      <c r="E62" s="31">
        <f>SUMIFS(JB_27BV,JB_B,3,JB_H,"LSD",JB_RC,"ADD")</f>
        <v/>
      </c>
      <c r="F62" s="31">
        <f>SUMIFS(JB_27BV,JB_B,4,JB_H,"LSD",JB_RC,"ADD")</f>
        <v/>
      </c>
      <c r="G62" s="31">
        <f>SUMIFS(JB_27BV,JB_B,5,JB_H,"LSD",JB_RC,"ADD")</f>
        <v/>
      </c>
      <c r="H62" s="31">
        <f>SUM(D62:G62)</f>
        <v/>
      </c>
      <c r="I62" s="37">
        <f>IFERROR(H62/H$63,0)</f>
        <v/>
      </c>
    </row>
    <row r="63" ht="10" customHeight="1">
      <c r="A63" s="32" t="inlineStr">
        <is>
          <t>MRO SAM (all programs)</t>
        </is>
      </c>
      <c r="B63" s="32" t="inlineStr"/>
      <c r="C63" s="32" t="inlineStr"/>
      <c r="D63" s="33">
        <f>SUM(D56:D62)</f>
        <v/>
      </c>
      <c r="E63" s="33">
        <f>SUM(E56:E62)</f>
        <v/>
      </c>
      <c r="F63" s="33">
        <f>SUM(F56:F62)</f>
        <v/>
      </c>
      <c r="G63" s="33">
        <f>SUM(G56:G62)</f>
        <v/>
      </c>
      <c r="H63" s="33">
        <f>SUM(H56:H62)</f>
        <v/>
      </c>
      <c r="I63" s="38" t="n">
        <v>1</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6" t="n">
        <v>22000000</v>
      </c>
      <c r="D6" s="26" t="inlineStr">
        <is>
          <t>DDG-51 $11.4B, LPD $4.7B, LHA $4.5B, DDG-1000 $0.3B, depot</t>
        </is>
      </c>
    </row>
    <row r="7" ht="10" customHeight="1">
      <c r="A7" s="30" t="inlineStr">
        <is>
          <t>Raytheon / RTX</t>
        </is>
      </c>
      <c r="B7" s="26" t="inlineStr">
        <is>
          <t>RTX Corp</t>
        </is>
      </c>
      <c r="C7" s="56" t="n">
        <v>13700000</v>
      </c>
      <c r="D7" s="26" t="inlineStr">
        <is>
          <t>Standard Missile $5.7B, SPY-6 $3.5B, CIWS/RAM $2.0B, DDG-1000 $0.9B, CEC $0.6B</t>
        </is>
      </c>
    </row>
    <row r="8" ht="10" customHeight="1">
      <c r="A8" s="30" t="inlineStr">
        <is>
          <t>Bath Iron Works</t>
        </is>
      </c>
      <c r="B8" s="26" t="inlineStr">
        <is>
          <t>General Dynamics</t>
        </is>
      </c>
      <c r="C8" s="56" t="n">
        <v>8800000</v>
      </c>
      <c r="D8" s="26" t="inlineStr">
        <is>
          <t>DDG-51 FY23-27 $5.0B, FY18-22 $3.3B, FY13-17 $0.5B, DDG-1000 $0.2B</t>
        </is>
      </c>
    </row>
    <row r="9" ht="10" customHeight="1">
      <c r="A9" s="30" t="inlineStr">
        <is>
          <t>BAE Systems</t>
        </is>
      </c>
      <c r="B9" s="26" t="inlineStr">
        <is>
          <t>BAE Systems plc</t>
        </is>
      </c>
      <c r="C9" s="56" t="n">
        <v>5000000</v>
      </c>
      <c r="D9" s="26" t="inlineStr">
        <is>
          <t>DDG/LHD/LPD/LSD/CG depot maintenance — Norfolk, San Diego, Jacksonville, Hawaii</t>
        </is>
      </c>
    </row>
    <row r="10" ht="10" customHeight="1">
      <c r="A10" s="30" t="inlineStr">
        <is>
          <t>Lockheed Martin</t>
        </is>
      </c>
      <c r="B10" s="26" t="inlineStr">
        <is>
          <t>LM</t>
        </is>
      </c>
      <c r="C10" s="56" t="n">
        <v>1500000</v>
      </c>
      <c r="D10" s="26" t="inlineStr">
        <is>
          <t>SLQ-32(V)6 $0.8B, SSDS $0.4B, HELIOS $0.1B, LCS Freedom $0.3B</t>
        </is>
      </c>
    </row>
    <row r="11" ht="10" customHeight="1">
      <c r="A11" s="30" t="inlineStr">
        <is>
          <t>Metro Machine Corp</t>
        </is>
      </c>
      <c r="B11" s="26" t="inlineStr">
        <is>
          <t>--</t>
        </is>
      </c>
      <c r="C11" s="56" t="n">
        <v>700000</v>
      </c>
      <c r="D11" s="26" t="inlineStr">
        <is>
          <t>LHD/DDG/LSD depot maintenance — Norfolk</t>
        </is>
      </c>
    </row>
    <row r="12" ht="10" customHeight="1">
      <c r="A12" s="30" t="inlineStr">
        <is>
          <t>NASSCO</t>
        </is>
      </c>
      <c r="B12" s="26" t="inlineStr">
        <is>
          <t>General Dynamics</t>
        </is>
      </c>
      <c r="C12" s="56" t="n">
        <v>600000</v>
      </c>
      <c r="D12" s="26" t="inlineStr">
        <is>
          <t>LHA/LHD/LSD/DDG/CG depot maintenance — San Diego</t>
        </is>
      </c>
    </row>
    <row r="13" ht="10" customHeight="1">
      <c r="A13" s="30" t="inlineStr">
        <is>
          <t>Vigor Marine LLC</t>
        </is>
      </c>
      <c r="B13" s="26" t="inlineStr">
        <is>
          <t>--</t>
        </is>
      </c>
      <c r="C13" s="56" t="n">
        <v>500000</v>
      </c>
      <c r="D13" s="26" t="inlineStr">
        <is>
          <t>DDG/CG depot maintenance — Portland, OR</t>
        </is>
      </c>
    </row>
    <row r="14" ht="10" customHeight="1">
      <c r="A14" s="30" t="inlineStr">
        <is>
          <t>Northrop Grumman Systems</t>
        </is>
      </c>
      <c r="B14" s="26" t="inlineStr">
        <is>
          <t>NG</t>
        </is>
      </c>
      <c r="C14" s="56" t="n">
        <v>487000</v>
      </c>
      <c r="D14" s="26" t="inlineStr">
        <is>
          <t>Knifefish/LCS $0.35B, SEWIP Block 3 $0.14B, ALMDS $0.07B</t>
        </is>
      </c>
    </row>
    <row r="15" ht="10" customHeight="1">
      <c r="A15" s="30" t="inlineStr">
        <is>
          <t>QED Systems</t>
        </is>
      </c>
      <c r="B15" s="26" t="inlineStr">
        <is>
          <t>--</t>
        </is>
      </c>
      <c r="C15" s="56" t="n">
        <v>300000</v>
      </c>
      <c r="D15" s="26" t="inlineStr">
        <is>
          <t>Third-party planning DDG/CG/LPD/LHD</t>
        </is>
      </c>
    </row>
    <row r="16" ht="10" customHeight="1">
      <c r="A16" s="30" t="inlineStr">
        <is>
          <t>Continental Maritime</t>
        </is>
      </c>
      <c r="B16" s="26" t="inlineStr">
        <is>
          <t>--</t>
        </is>
      </c>
      <c r="C16" s="56" t="n">
        <v>300000</v>
      </c>
      <c r="D16" s="26" t="inlineStr">
        <is>
          <t>DDG depot — San Diego</t>
        </is>
      </c>
    </row>
    <row r="17" ht="10" customHeight="1">
      <c r="A17" s="30" t="inlineStr">
        <is>
          <t>Textron Systems</t>
        </is>
      </c>
      <c r="B17" s="26" t="inlineStr">
        <is>
          <t>Textron</t>
        </is>
      </c>
      <c r="C17" s="56" t="n">
        <v>242000</v>
      </c>
      <c r="D17" s="26" t="inlineStr">
        <is>
          <t>UISS $0.24B</t>
        </is>
      </c>
    </row>
    <row r="18" ht="10" customHeight="1">
      <c r="A18" s="30" t="inlineStr">
        <is>
          <t>Advanced Technology International</t>
        </is>
      </c>
      <c r="B18" s="26" t="inlineStr">
        <is>
          <t>--</t>
        </is>
      </c>
      <c r="C18" s="56" t="n">
        <v>235000</v>
      </c>
      <c r="D18" s="26" t="inlineStr">
        <is>
          <t>OTA consortium: MK-54 MOD 2, SPY-6 prototype, HEL, LHD midlife</t>
        </is>
      </c>
    </row>
    <row r="19" ht="10" customHeight="1">
      <c r="A19" s="30" t="inlineStr">
        <is>
          <t>General Dynamics Mission Systems</t>
        </is>
      </c>
      <c r="B19" s="26" t="inlineStr">
        <is>
          <t>General Dynamics</t>
        </is>
      </c>
      <c r="C19" s="56" t="n">
        <v>210000</v>
      </c>
      <c r="D19" s="26" t="inlineStr">
        <is>
          <t>MK-54 MOD 1 $0.12B, Knifefish Block 1 $0.08B</t>
        </is>
      </c>
    </row>
    <row r="20" ht="10" customHeight="1">
      <c r="A20" s="30" t="inlineStr">
        <is>
          <t>SAIC</t>
        </is>
      </c>
      <c r="B20" s="26" t="inlineStr">
        <is>
          <t>SAIC</t>
        </is>
      </c>
      <c r="C20" s="56" t="n">
        <v>200000</v>
      </c>
      <c r="D20" s="26" t="inlineStr">
        <is>
          <t>DDG-1000 engineering, SSTD Nixie, torpedo defense</t>
        </is>
      </c>
    </row>
    <row r="21" ht="10" customHeight="1">
      <c r="A21" s="30" t="inlineStr">
        <is>
          <t>Marine Hydraulics International</t>
        </is>
      </c>
      <c r="B21" s="26" t="inlineStr">
        <is>
          <t>--</t>
        </is>
      </c>
      <c r="C21" s="56" t="n">
        <v>200000</v>
      </c>
      <c r="D21" s="26" t="inlineStr">
        <is>
          <t>DDG/LSD depot + sub-prime on LHD primes</t>
        </is>
      </c>
    </row>
    <row r="22" ht="10" customHeight="1">
      <c r="A22" s="30" t="inlineStr">
        <is>
          <t>Bollinger Shipyards</t>
        </is>
      </c>
      <c r="B22" s="26" t="inlineStr">
        <is>
          <t>Bollinger</t>
        </is>
      </c>
      <c r="C22" s="56" t="n">
        <v>116000</v>
      </c>
      <c r="D22" s="26" t="inlineStr">
        <is>
          <t>MCM USV production</t>
        </is>
      </c>
    </row>
    <row r="23" ht="10" customHeight="1">
      <c r="A23" s="30" t="inlineStr">
        <is>
          <t>Ultra Electronics Ocean Systems</t>
        </is>
      </c>
      <c r="B23" s="26" t="inlineStr">
        <is>
          <t>Ultra</t>
        </is>
      </c>
      <c r="C23" s="56" t="n">
        <v>68000</v>
      </c>
      <c r="D23" s="26" t="inlineStr">
        <is>
          <t>MK 54 MOD 0 array kits + Nixie production</t>
        </is>
      </c>
    </row>
    <row r="24" ht="10" customHeight="1">
      <c r="A24" s="30" t="inlineStr">
        <is>
          <t>Penn State Applied Research Lab</t>
        </is>
      </c>
      <c r="B24" s="26" t="inlineStr">
        <is>
          <t>Penn State</t>
        </is>
      </c>
      <c r="C24" s="56"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6" t="n">
        <v>2487000</v>
      </c>
      <c r="C30" s="56" t="n">
        <v>2</v>
      </c>
      <c r="D30" s="56" t="n">
        <v>1</v>
      </c>
      <c r="E30" s="26" t="inlineStr">
        <is>
          <t>LCS Freedom hull builder — actual constructor under LM prime</t>
        </is>
      </c>
    </row>
    <row r="31" ht="10" customHeight="1">
      <c r="A31" s="30" t="inlineStr">
        <is>
          <t>Timken Gears &amp; Services</t>
        </is>
      </c>
      <c r="B31" s="56" t="n">
        <v>516000</v>
      </c>
      <c r="C31" s="56" t="n">
        <v>22</v>
      </c>
      <c r="D31" s="56" t="n">
        <v>20</v>
      </c>
      <c r="E31" s="26" t="inlineStr">
        <is>
          <t>DDG/LHD/CG propulsion gearing</t>
        </is>
      </c>
    </row>
    <row r="32" ht="10" customHeight="1">
      <c r="A32" s="30" t="inlineStr">
        <is>
          <t>General Dynamics (rolled up)</t>
        </is>
      </c>
      <c r="B32" s="56" t="n">
        <v>432000</v>
      </c>
      <c r="C32" s="56" t="n">
        <v>23</v>
      </c>
      <c r="D32" s="56" t="n">
        <v>14</v>
      </c>
      <c r="E32" s="26" t="inlineStr">
        <is>
          <t>GD Mission Systems $359M on SPY-6, GD-OTS, GDIT</t>
        </is>
      </c>
    </row>
    <row r="33" ht="10" customHeight="1">
      <c r="A33" s="30" t="inlineStr">
        <is>
          <t>L3Harris (Aerojet Rocketdyne)</t>
        </is>
      </c>
      <c r="B33" s="56" t="n">
        <v>378000</v>
      </c>
      <c r="C33" s="56" t="n">
        <v>4</v>
      </c>
      <c r="D33" s="56" t="n">
        <v>4</v>
      </c>
      <c r="E33" s="26" t="inlineStr">
        <is>
          <t>Solid rocket motors for Standard Missile family</t>
        </is>
      </c>
    </row>
    <row r="34" ht="10" customHeight="1">
      <c r="A34" s="30" t="inlineStr">
        <is>
          <t>Rolls-Royce</t>
        </is>
      </c>
      <c r="B34" s="56" t="n">
        <v>313000</v>
      </c>
      <c r="C34" s="56" t="n">
        <v>25</v>
      </c>
      <c r="D34" s="56" t="n">
        <v>25</v>
      </c>
      <c r="E34" s="26" t="inlineStr">
        <is>
          <t>Gas turbines, waterjets, gearing — DDG/LCS/LPD/LHA + depot</t>
        </is>
      </c>
    </row>
    <row r="35" ht="10" customHeight="1">
      <c r="A35" s="30" t="inlineStr">
        <is>
          <t>CAES (Cobham)</t>
        </is>
      </c>
      <c r="B35" s="56" t="n">
        <v>217000</v>
      </c>
      <c r="C35" s="56" t="n">
        <v>10</v>
      </c>
      <c r="D35" s="56" t="n">
        <v>8</v>
      </c>
      <c r="E35" s="26" t="inlineStr">
        <is>
          <t>RF assemblies on SPY-6 $170M, SEWIP $110M, SLQ-32 $95M</t>
        </is>
      </c>
    </row>
    <row r="36" ht="10" customHeight="1">
      <c r="A36" s="30" t="inlineStr">
        <is>
          <t>Northrop Grumman (as sub)</t>
        </is>
      </c>
      <c r="B36" s="56" t="n">
        <v>215000</v>
      </c>
      <c r="C36" s="56" t="n">
        <v>10</v>
      </c>
      <c r="D36" s="56" t="n">
        <v>9</v>
      </c>
      <c r="E36" s="26" t="inlineStr">
        <is>
          <t>SPY-6 RF $114M, CIWS, LPD/LHA construction</t>
        </is>
      </c>
    </row>
    <row r="37" ht="10" customHeight="1">
      <c r="A37" s="30" t="inlineStr">
        <is>
          <t>IMIA</t>
        </is>
      </c>
      <c r="B37" s="56" t="n">
        <v>204000</v>
      </c>
      <c r="C37" s="56" t="n">
        <v>28</v>
      </c>
      <c r="D37" s="56" t="n">
        <v>28</v>
      </c>
      <c r="E37" s="26" t="inlineStr">
        <is>
          <t>Hull coatings / paint across 28 depot availabilities</t>
        </is>
      </c>
    </row>
    <row r="38" ht="10" customHeight="1">
      <c r="A38" s="30" t="inlineStr">
        <is>
          <t>L3Harris (excl. Aerojet)</t>
        </is>
      </c>
      <c r="B38" s="56" t="n">
        <v>203000</v>
      </c>
      <c r="C38" s="56" t="n">
        <v>53</v>
      </c>
      <c r="D38" s="56" t="n">
        <v>45</v>
      </c>
      <c r="E38" s="26" t="inlineStr">
        <is>
          <t>Maritime Power, Cincinnati Electronics, Fuzing — broadest footprint</t>
        </is>
      </c>
    </row>
    <row r="39" ht="10" customHeight="1">
      <c r="A39" s="30" t="inlineStr">
        <is>
          <t>Johnson Controls (incl. York)</t>
        </is>
      </c>
      <c r="B39" s="56" t="n">
        <v>172000</v>
      </c>
      <c r="C39" s="56" t="n">
        <v>31</v>
      </c>
      <c r="D39" s="56" t="n">
        <v>24</v>
      </c>
      <c r="E39" s="26" t="inlineStr">
        <is>
          <t>HVAC / chilled water on DDG/LPD/LHA + depot</t>
        </is>
      </c>
    </row>
    <row r="40" ht="10" customHeight="1">
      <c r="A40" s="30" t="inlineStr">
        <is>
          <t>GE Aerospace</t>
        </is>
      </c>
      <c r="B40" s="56" t="n">
        <v>166000</v>
      </c>
      <c r="C40" s="56" t="n">
        <v>16</v>
      </c>
      <c r="D40" s="56" t="n">
        <v>14</v>
      </c>
      <c r="E40" s="26" t="inlineStr">
        <is>
          <t>LM2500 gas turbines on DDG-51 + GE Power Conversion LHA 9</t>
        </is>
      </c>
    </row>
    <row r="41" ht="10" customHeight="1">
      <c r="A41" s="30" t="inlineStr">
        <is>
          <t>Fairbanks Morse Defense</t>
        </is>
      </c>
      <c r="B41" s="56" t="n">
        <v>161000</v>
      </c>
      <c r="C41" s="56" t="n">
        <v>25</v>
      </c>
      <c r="D41" s="56" t="n">
        <v>18</v>
      </c>
      <c r="E41" s="26" t="inlineStr">
        <is>
          <t>Diesel generators / propulsion on LPD/LHA + depot rebuilds</t>
        </is>
      </c>
    </row>
    <row r="42" ht="10" customHeight="1">
      <c r="A42" s="30" t="inlineStr">
        <is>
          <t>Leonardo DRS</t>
        </is>
      </c>
      <c r="B42" s="56" t="n">
        <v>134000</v>
      </c>
      <c r="C42" s="56" t="n">
        <v>18</v>
      </c>
      <c r="D42" s="56" t="n">
        <v>15</v>
      </c>
      <c r="E42" s="26" t="inlineStr">
        <is>
          <t>Naval Power Systems, Network &amp; Imaging, Laurel Technologies</t>
        </is>
      </c>
    </row>
    <row r="43" ht="10" customHeight="1">
      <c r="A43" s="30" t="inlineStr">
        <is>
          <t>Sparton DeLeon Springs</t>
        </is>
      </c>
      <c r="B43" s="56" t="n">
        <v>108000</v>
      </c>
      <c r="C43" s="56" t="n">
        <v>2</v>
      </c>
      <c r="D43" s="56" t="n">
        <v>2</v>
      </c>
      <c r="E43" s="26" t="inlineStr">
        <is>
          <t>ASW sensors / payload on Raytheon Barracuda</t>
        </is>
      </c>
    </row>
    <row r="44" ht="10" customHeight="1">
      <c r="A44" s="30" t="inlineStr">
        <is>
          <t>RAM-System GmbH</t>
        </is>
      </c>
      <c r="B44" s="56" t="n">
        <v>98000</v>
      </c>
      <c r="C44" s="56" t="n">
        <v>1</v>
      </c>
      <c r="D44" s="56" t="n">
        <v>1</v>
      </c>
      <c r="E44" s="26" t="inlineStr">
        <is>
          <t>RAM missile co-development with Raytheon (Germany)</t>
        </is>
      </c>
    </row>
    <row r="45" ht="10" customHeight="1">
      <c r="A45" s="30" t="inlineStr">
        <is>
          <t>Bay Metals &amp; Fabrication</t>
        </is>
      </c>
      <c r="B45" s="56" t="n">
        <v>93000</v>
      </c>
      <c r="C45" s="56" t="n">
        <v>9</v>
      </c>
      <c r="D45" s="56" t="n">
        <v>9</v>
      </c>
      <c r="E45" s="26" t="inlineStr">
        <is>
          <t>Norfolk metal fab serving 9 depot availabilities</t>
        </is>
      </c>
    </row>
    <row r="46" ht="10" customHeight="1">
      <c r="A46" s="30" t="inlineStr">
        <is>
          <t>US Joiner LLC</t>
        </is>
      </c>
      <c r="B46" s="56" t="n">
        <v>88000</v>
      </c>
      <c r="C46" s="56" t="n">
        <v>12</v>
      </c>
      <c r="D46" s="56" t="n">
        <v>12</v>
      </c>
      <c r="E46" s="26" t="inlineStr">
        <is>
          <t>Interior outfitting — LPD construction + depot</t>
        </is>
      </c>
    </row>
    <row r="47" ht="10" customHeight="1">
      <c r="A47" s="30" t="inlineStr">
        <is>
          <t>United Rentals</t>
        </is>
      </c>
      <c r="B47" s="56" t="n">
        <v>77000</v>
      </c>
      <c r="C47" s="56" t="n">
        <v>29</v>
      </c>
      <c r="D47" s="56" t="n">
        <v>29</v>
      </c>
      <c r="E47" s="26" t="inlineStr">
        <is>
          <t>Equipment rental across 29 depot availabilities</t>
        </is>
      </c>
    </row>
    <row r="48" ht="10" customHeight="1">
      <c r="A48" s="30" t="inlineStr">
        <is>
          <t>Honeywell</t>
        </is>
      </c>
      <c r="B48" s="56" t="n">
        <v>71000</v>
      </c>
      <c r="C48" s="56" t="n">
        <v>12</v>
      </c>
      <c r="D48" s="56" t="n">
        <v>12</v>
      </c>
      <c r="E48" s="26" t="inlineStr">
        <is>
          <t>IMUs / IRUs on Standard Missile + CIWS</t>
        </is>
      </c>
    </row>
    <row r="49" ht="10" customHeight="1">
      <c r="A49" s="30" t="inlineStr">
        <is>
          <t>Anaren</t>
        </is>
      </c>
      <c r="B49" s="56" t="n">
        <v>64000</v>
      </c>
      <c r="C49" s="56" t="n">
        <v>7</v>
      </c>
      <c r="D49" s="56"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6" t="n">
        <v>530000</v>
      </c>
      <c r="C55" s="26" t="inlineStr">
        <is>
          <t>GE Aerospace $88M</t>
        </is>
      </c>
      <c r="D55" s="26" t="inlineStr">
        <is>
          <t>Johnson Controls $76M</t>
        </is>
      </c>
      <c r="E55" s="26" t="inlineStr">
        <is>
          <t>Timken Gears $41M</t>
        </is>
      </c>
    </row>
    <row r="56" ht="10" customHeight="1">
      <c r="A56" s="30" t="inlineStr">
        <is>
          <t>DDG Mod — SPY-6</t>
        </is>
      </c>
      <c r="B56" s="56" t="n">
        <v>1220000</v>
      </c>
      <c r="C56" s="26" t="inlineStr">
        <is>
          <t>GD Mission Systems $359M</t>
        </is>
      </c>
      <c r="D56" s="26" t="inlineStr">
        <is>
          <t>CAES $170M</t>
        </is>
      </c>
      <c r="E56" s="26" t="inlineStr">
        <is>
          <t>Northrop Grumman $114M</t>
        </is>
      </c>
    </row>
    <row r="57" ht="10" customHeight="1">
      <c r="A57" s="30" t="inlineStr">
        <is>
          <t>DDG Mod — CIWS/RAM/SeaRAM</t>
        </is>
      </c>
      <c r="B57" s="56" t="n">
        <v>560000</v>
      </c>
      <c r="C57" s="26" t="inlineStr">
        <is>
          <t>RAM-System GmbH $98M</t>
        </is>
      </c>
      <c r="D57" s="26" t="inlineStr">
        <is>
          <t>L3Harris $39M</t>
        </is>
      </c>
      <c r="E57" s="26" t="inlineStr">
        <is>
          <t>GD $35M</t>
        </is>
      </c>
    </row>
    <row r="58" ht="10" customHeight="1">
      <c r="A58" s="30" t="inlineStr">
        <is>
          <t>LCS Freedom Construction</t>
        </is>
      </c>
      <c r="B58" s="56" t="n">
        <v>2910000</v>
      </c>
      <c r="C58" s="26" t="inlineStr">
        <is>
          <t>Marinette Marine $2,487M</t>
        </is>
      </c>
      <c r="D58" s="26" t="inlineStr">
        <is>
          <t>Rolls-Royce $196M</t>
        </is>
      </c>
      <c r="E58" s="26" t="inlineStr">
        <is>
          <t>Airbus US $56M</t>
        </is>
      </c>
    </row>
    <row r="59" ht="10" customHeight="1">
      <c r="A59" s="30" t="inlineStr">
        <is>
          <t>LCS MCM Mission Modules</t>
        </is>
      </c>
      <c r="B59" s="56" t="n">
        <v>1230000</v>
      </c>
      <c r="C59" s="26" t="inlineStr">
        <is>
          <t>Trident Sensors $215M</t>
        </is>
      </c>
      <c r="D59" s="26" t="inlineStr">
        <is>
          <t>Teledyne $55M</t>
        </is>
      </c>
      <c r="E59" s="26" t="inlineStr">
        <is>
          <t>GD $13M</t>
        </is>
      </c>
    </row>
    <row r="60" ht="10" customHeight="1">
      <c r="A60" s="30" t="inlineStr">
        <is>
          <t>LHA New Construction</t>
        </is>
      </c>
      <c r="B60" s="56" t="n">
        <v>340000</v>
      </c>
      <c r="C60" s="26" t="inlineStr">
        <is>
          <t>Fairbanks Morse $40M</t>
        </is>
      </c>
      <c r="D60" s="26" t="inlineStr">
        <is>
          <t>L3Harris $39M</t>
        </is>
      </c>
      <c r="E60" s="26" t="inlineStr">
        <is>
          <t>Leonardo DRS $34M</t>
        </is>
      </c>
    </row>
    <row r="61" ht="10" customHeight="1">
      <c r="A61" s="30" t="inlineStr">
        <is>
          <t>LPD Flight II New Construction</t>
        </is>
      </c>
      <c r="B61" s="56" t="n">
        <v>340000</v>
      </c>
      <c r="C61" s="26" t="inlineStr">
        <is>
          <t>Fairbanks Morse $65M</t>
        </is>
      </c>
      <c r="D61" s="26" t="inlineStr">
        <is>
          <t>US Joiner $36M</t>
        </is>
      </c>
      <c r="E61" s="26" t="inlineStr">
        <is>
          <t>Caterpillar $20M</t>
        </is>
      </c>
    </row>
    <row r="62" ht="10" customHeight="1">
      <c r="A62" s="30" t="inlineStr">
        <is>
          <t>Standard Missile Family</t>
        </is>
      </c>
      <c r="B62" s="56" t="n">
        <v>930000</v>
      </c>
      <c r="C62" s="26" t="inlineStr">
        <is>
          <t>L3Harris (Aerojet) $390M</t>
        </is>
      </c>
      <c r="D62" s="26" t="inlineStr">
        <is>
          <t>Honeywell $43M</t>
        </is>
      </c>
      <c r="E62" s="26" t="inlineStr">
        <is>
          <t>Goodrich $32M</t>
        </is>
      </c>
    </row>
    <row r="63" ht="10" customHeight="1">
      <c r="A63" s="30" t="inlineStr">
        <is>
          <t>DDG-1000</t>
        </is>
      </c>
      <c r="B63" s="56" t="n">
        <v>130000</v>
      </c>
      <c r="C63" s="26" t="inlineStr">
        <is>
          <t>Red River Technology $61M</t>
        </is>
      </c>
      <c r="D63" s="26" t="inlineStr">
        <is>
          <t>Air Masters $6M</t>
        </is>
      </c>
      <c r="E63" s="26" t="inlineStr">
        <is>
          <t>--</t>
        </is>
      </c>
    </row>
    <row r="64" ht="10" customHeight="1">
      <c r="A64" s="30" t="inlineStr">
        <is>
          <t>DDG Mod — CEC</t>
        </is>
      </c>
      <c r="B64" s="56" t="n">
        <v>30000</v>
      </c>
      <c r="C64" s="26" t="inlineStr">
        <is>
          <t>Sechan Electronics $7M</t>
        </is>
      </c>
      <c r="D64" s="26" t="inlineStr">
        <is>
          <t>Action Electronics $5M</t>
        </is>
      </c>
      <c r="E64" s="26" t="inlineStr">
        <is>
          <t>--</t>
        </is>
      </c>
    </row>
    <row r="65" ht="10" customHeight="1">
      <c r="A65" s="30" t="inlineStr">
        <is>
          <t>DDG Mod — SSDS</t>
        </is>
      </c>
      <c r="B65" s="56" t="n">
        <v>40000</v>
      </c>
      <c r="C65" s="26" t="inlineStr">
        <is>
          <t>Mission Solutions $14M</t>
        </is>
      </c>
      <c r="D65" s="26" t="inlineStr">
        <is>
          <t>PMAT $6M</t>
        </is>
      </c>
      <c r="E65" s="26" t="inlineStr">
        <is>
          <t>--</t>
        </is>
      </c>
    </row>
    <row r="66" ht="10" customHeight="1">
      <c r="A66" s="30" t="inlineStr">
        <is>
          <t>DDG Mod — HELIOS</t>
        </is>
      </c>
      <c r="B66" s="56" t="n">
        <v>60000</v>
      </c>
      <c r="C66" s="26" t="inlineStr">
        <is>
          <t>MZA Associates $25M</t>
        </is>
      </c>
      <c r="D66" s="26" t="inlineStr">
        <is>
          <t>L3 Technologies $22M</t>
        </is>
      </c>
      <c r="E66" s="26" t="inlineStr">
        <is>
          <t>--</t>
        </is>
      </c>
    </row>
    <row r="67" ht="10" customHeight="1">
      <c r="A67" s="30" t="inlineStr">
        <is>
          <t>Airborne MCM</t>
        </is>
      </c>
      <c r="B67" s="56" t="n">
        <v>150000</v>
      </c>
      <c r="C67" s="26" t="inlineStr">
        <is>
          <t>Sparton $108M</t>
        </is>
      </c>
      <c r="D67" s="26" t="inlineStr">
        <is>
          <t>Teledyne $17M</t>
        </is>
      </c>
      <c r="E67" s="26" t="inlineStr">
        <is>
          <t>--</t>
        </is>
      </c>
    </row>
    <row r="68" ht="10" customHeight="1">
      <c r="A68" s="30" t="inlineStr">
        <is>
          <t>MK-54 Torpedo</t>
        </is>
      </c>
      <c r="B68" s="56" t="n">
        <v>30000</v>
      </c>
      <c r="C68" s="26" t="inlineStr">
        <is>
          <t>L3Harris (Aerojet) $25M</t>
        </is>
      </c>
      <c r="D68" s="26" t="inlineStr">
        <is>
          <t>J&amp;E Precision Tool $3M</t>
        </is>
      </c>
      <c r="E68" s="26" t="inlineStr">
        <is>
          <t>--</t>
        </is>
      </c>
    </row>
    <row r="69" ht="10" customHeight="1">
      <c r="A69" s="30" t="inlineStr">
        <is>
          <t>Depot Maintenance</t>
        </is>
      </c>
      <c r="B69" s="56"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6" t="n">
        <v>346443</v>
      </c>
      <c r="C77" s="26" t="inlineStr">
        <is>
          <t>BAE Norfolk/SD, Metro Machine, NASSCO</t>
        </is>
      </c>
    </row>
    <row r="78" ht="10" customHeight="1">
      <c r="A78" s="30" t="inlineStr">
        <is>
          <t>OMN_Vol2 LHD/AMPHIBS modernization</t>
        </is>
      </c>
      <c r="B78" s="56" t="n">
        <v>631859</v>
      </c>
      <c r="C78" s="26" t="inlineStr">
        <is>
          <t>BAE Norfolk/SD, Metro Machine</t>
        </is>
      </c>
    </row>
    <row r="79" ht="10" customHeight="1">
      <c r="A79" s="30" t="inlineStr">
        <is>
          <t>OPN BA1 Line 8 LHA/LHD Midlife</t>
        </is>
      </c>
      <c r="B79" s="56"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6" t="n">
        <v>835037</v>
      </c>
      <c r="C84" s="26" t="inlineStr">
        <is>
          <t>HII — N0002424C2473 ($5.80B ceiling)</t>
        </is>
      </c>
    </row>
    <row r="85" ht="10" customHeight="1">
      <c r="A85" s="30" t="inlineStr">
        <is>
          <t>SCN 3010 LPD Flight II AP</t>
        </is>
      </c>
      <c r="B85" s="56" t="n">
        <v>275000</v>
      </c>
      <c r="C85" s="26" t="inlineStr">
        <is>
          <t>HII — N0002424C2473 AP scope</t>
        </is>
      </c>
    </row>
    <row r="86" ht="10" customHeight="1">
      <c r="A86" s="30" t="inlineStr">
        <is>
          <t>OMN_Vol2 LPD depot</t>
        </is>
      </c>
      <c r="B86" s="56" t="n">
        <v>149595</v>
      </c>
      <c r="C86" s="26" t="inlineStr">
        <is>
          <t>BAE Norfolk/SD</t>
        </is>
      </c>
    </row>
    <row r="87" ht="10" customHeight="1">
      <c r="A87" s="30" t="inlineStr">
        <is>
          <t>OPN BA1 Line 15 LPD Class Support</t>
        </is>
      </c>
      <c r="B87" s="56"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6" t="n">
        <v>94421</v>
      </c>
      <c r="C92" s="26" t="inlineStr">
        <is>
          <t>NASSCO, BAE, Metro Machine</t>
        </is>
      </c>
    </row>
    <row r="93" ht="10" customHeight="1">
      <c r="A93" s="30" t="inlineStr">
        <is>
          <t>OMN_Vol2 LSD modernization</t>
        </is>
      </c>
      <c r="B93" s="56"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6" t="n">
        <v>634963</v>
      </c>
      <c r="C98" s="26" t="inlineStr">
        <is>
          <t>HII — N0002420C2437 LHA 9 ($3.14B ceiling)</t>
        </is>
      </c>
    </row>
    <row r="99" ht="10" customHeight="1">
      <c r="A99" s="30" t="inlineStr">
        <is>
          <t>OMN_Vol2 LHA depot</t>
        </is>
      </c>
      <c r="B99" s="56"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6" t="n">
        <v>5410773</v>
      </c>
      <c r="C104" s="26" t="inlineStr">
        <is>
          <t>HII FY23-27 MYP + BIW FY23-27 MYP</t>
        </is>
      </c>
    </row>
    <row r="105" ht="10" customHeight="1">
      <c r="A105" s="30" t="inlineStr">
        <is>
          <t>SCN 2122 DDG-51 AP</t>
        </is>
      </c>
      <c r="B105" s="56" t="n">
        <v>1750000</v>
      </c>
      <c r="C105" s="26" t="inlineStr">
        <is>
          <t>HII + BIW — AP against FY23-27 MYPs</t>
        </is>
      </c>
    </row>
    <row r="106" ht="10" customHeight="1">
      <c r="A106" s="30" t="inlineStr">
        <is>
          <t>SCN 2119 DDG-1000</t>
        </is>
      </c>
      <c r="B106" s="56" t="n">
        <v>52358</v>
      </c>
      <c r="C106" s="26" t="inlineStr">
        <is>
          <t>HII Mod Planning + BIW Planning Yard</t>
        </is>
      </c>
    </row>
    <row r="107" ht="10" customHeight="1">
      <c r="A107" s="30" t="inlineStr">
        <is>
          <t>OMN_Vol2 DDG depot</t>
        </is>
      </c>
      <c r="B107" s="56" t="n">
        <v>952000</v>
      </c>
      <c r="C107" s="26" t="inlineStr">
        <is>
          <t>BAE / NASSCO / Continental / Vigor / MHI / Metro</t>
        </is>
      </c>
    </row>
    <row r="108" ht="10" customHeight="1">
      <c r="A108" s="30" t="inlineStr">
        <is>
          <t>OMN_Vol2 DDG modernization</t>
        </is>
      </c>
      <c r="B108" s="56" t="n">
        <v>1282612</v>
      </c>
      <c r="C108" s="26" t="inlineStr">
        <is>
          <t>Cross-vehicle alteration installation</t>
        </is>
      </c>
    </row>
    <row r="109" ht="10" customHeight="1">
      <c r="A109" s="30" t="inlineStr">
        <is>
          <t>WPN 2234 Standard Missile</t>
        </is>
      </c>
      <c r="B109" s="56" t="n">
        <v>1008875</v>
      </c>
      <c r="C109" s="26" t="inlineStr">
        <is>
          <t>Raytheon SM production vehicles</t>
        </is>
      </c>
    </row>
    <row r="110" ht="10" customHeight="1">
      <c r="A110" s="30" t="inlineStr">
        <is>
          <t>OPN BA1 Line 5 DDG Mod</t>
        </is>
      </c>
      <c r="B110" s="56" t="n">
        <v>878787</v>
      </c>
      <c r="C110" s="26" t="inlineStr">
        <is>
          <t>SPY-6, SEWIP, SSDS, CEC, CIWS, HELIOS, Aegis kits</t>
        </is>
      </c>
    </row>
    <row r="111" ht="10" customHeight="1">
      <c r="A111" s="30" t="inlineStr">
        <is>
          <t>WPN 3215 MK-54 Torpedo Mods</t>
        </is>
      </c>
      <c r="B111" s="56" t="n">
        <v>128513</v>
      </c>
      <c r="C111" s="26" t="inlineStr">
        <is>
          <t>GDMS MK 54 MOD 1 + Ultra MK 54 MOD 0 + ATI OTAs</t>
        </is>
      </c>
    </row>
    <row r="112" ht="10" customHeight="1">
      <c r="A112" s="30" t="inlineStr">
        <is>
          <t>OPN BA1 Line 16 DDG-1000 Support</t>
        </is>
      </c>
      <c r="B112" s="56"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6" t="n">
        <v>576389</v>
      </c>
      <c r="C117" s="26" t="inlineStr">
        <is>
          <t>LM Freedom ISEA + GDMS Independence ISEA + avails</t>
        </is>
      </c>
    </row>
    <row r="118" ht="10" customHeight="1">
      <c r="A118" s="30" t="inlineStr">
        <is>
          <t>OMN_Vol2 LCS modernization</t>
        </is>
      </c>
      <c r="B118" s="56" t="n">
        <v>383361</v>
      </c>
      <c r="C118" s="26" t="inlineStr">
        <is>
          <t>LM + GDMS combat system ISEA + ITT-2A</t>
        </is>
      </c>
    </row>
    <row r="119" ht="10" customHeight="1">
      <c r="A119" s="30" t="inlineStr">
        <is>
          <t>OPN BA1 Line 37 LCS In-Service Mod</t>
        </is>
      </c>
      <c r="B119" s="56" t="n">
        <v>189458</v>
      </c>
      <c r="C119" s="26" t="inlineStr">
        <is>
          <t>LM, GDMS, Textron, BAH PEO LCS support</t>
        </is>
      </c>
    </row>
    <row r="120" ht="10" customHeight="1">
      <c r="A120" s="30" t="inlineStr">
        <is>
          <t>OPN BA1 Line 34 LCS MCM Modules</t>
        </is>
      </c>
      <c r="B120" s="56" t="n">
        <v>91372</v>
      </c>
      <c r="C120" s="26" t="inlineStr">
        <is>
          <t>UISS (Textron), Knifefish (GDMS/NG), MCM USV (Bollinger)</t>
        </is>
      </c>
    </row>
    <row r="121" ht="10" customHeight="1">
      <c r="A121" s="30" t="inlineStr">
        <is>
          <t>WPN 2292 Naval Strike Missile</t>
        </is>
      </c>
      <c r="B121" s="56"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6" t="n">
        <v>115501</v>
      </c>
      <c r="C126" s="26" t="inlineStr">
        <is>
          <t>Vigor, BAE Norfolk, NASSCO, HII CG planning</t>
        </is>
      </c>
    </row>
    <row r="127" ht="10" customHeight="1">
      <c r="A127" s="30" t="inlineStr">
        <is>
          <t>OMN_Vol2 CG modernization</t>
        </is>
      </c>
      <c r="B127" s="56"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6"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6"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6"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6"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6"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6" t="inlineStr">
        <is>
          <t>USN — United States Navy</t>
        </is>
      </c>
      <c r="B102" s="39" t="n"/>
      <c r="C102" s="39" t="n"/>
    </row>
    <row r="103" ht="10" customHeight="1">
      <c r="A103" s="26" t="inlineStr">
        <is>
          <t>Commissioned warships and support craft with Navy crews.</t>
        </is>
      </c>
    </row>
    <row r="104" ht="10" customHeight="1"/>
    <row r="105" ht="10" customHeight="1">
      <c r="A105" s="46"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6"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6"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6"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6"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6"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6" t="inlineStr">
        <is>
          <t>USCG — United States Coast Guard</t>
        </is>
      </c>
      <c r="B165" s="39" t="n"/>
      <c r="C165" s="39" t="n"/>
    </row>
    <row r="166" ht="10" customHeight="1">
      <c r="A166" s="26" t="inlineStr">
        <is>
          <t>Cutters and boats. Part of DHS, not DoD.</t>
        </is>
      </c>
    </row>
    <row r="167" ht="10" customHeight="1"/>
    <row r="168" ht="10" customHeight="1">
      <c r="A168" s="46"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6"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6"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6"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6"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6"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6"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6"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6"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6"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6"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6"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6"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6"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6"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6"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6"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t>
        </is>
      </c>
      <c r="B329" s="30" t="inlineStr">
        <is>
          <t>Decomposes new-construction budget authority into P-5c cost categories by SAM vessel type. Gross total-ship-estimate costs — pre-AP/SFF, will NOT match SAM net totals.</t>
        </is>
      </c>
      <c r="C329" s="26" t="inlineStr">
        <is>
          <t>Uses SUMIFS on [ALT_VIEW] rows with JB_EX="P-5c". 6 SAM vessel types.</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c r="A331" s="30" t="inlineStr">
        <is>
          <t>SAM (G): P-8a System Detail by Hull</t>
        </is>
      </c>
      <c r="B331" s="30" t="inlineStr">
        <is>
          <t>Individual GFE systems from Exhibit P-8a (radars, weapons, electronics, propulsion), grouped by cost category within each hull program. Laid out as a 4-across grid of per-hull tables.</t>
        </is>
      </c>
      <c r="C331" s="26" t="inlineStr">
        <is>
          <t>Bold category subtotal rows, italic system rows. Uses JB_EX="P-8a" with JB_CE per system.</t>
        </is>
      </c>
    </row>
    <row r="332" ht="10" customHeight="1"/>
    <row r="333" ht="10" customHeight="1">
      <c r="A333" s="26" t="inlineStr">
        <is>
          <t>FY2027 has no sections (D)/(E)/(G)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2026-04-14T13:08:44Z</dcterms:modified>
  <cp:lastModifiedBy>Brendan Toole</cp:lastModifiedBy>
</cp:coreProperties>
</file>