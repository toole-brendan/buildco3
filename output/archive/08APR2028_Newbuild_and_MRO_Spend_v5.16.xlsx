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22">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rgb="FF000000"/>
      <sz val="8"/>
    </font>
    <font>
      <name val="Arial"/>
      <family val="2"/>
      <color theme="1"/>
      <sz val="8"/>
    </font>
    <font>
      <name val="Arial"/>
      <family val="2"/>
      <b val="1"/>
      <sz val="8"/>
    </font>
    <font>
      <name val="Arial"/>
      <family val="2"/>
      <sz val="8"/>
    </font>
  </fonts>
  <fills count="10">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
      <patternFill patternType="solid">
        <fgColor rgb="FF000000"/>
        <bgColor rgb="FF003300"/>
      </patternFill>
    </fill>
    <fill>
      <patternFill patternType="solid">
        <fgColor rgb="FFFFFFFF"/>
        <bgColor rgb="FFF2F4F7"/>
      </patternFill>
    </fill>
    <fill>
      <patternFill patternType="solid">
        <fgColor rgb="FFF2F4F7"/>
        <bgColor rgb="FFF0F4FA"/>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64">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xf numFmtId="0" fontId="14" fillId="7" borderId="0" applyAlignment="1" pivotButton="0" quotePrefix="0" xfId="0">
      <alignment horizontal="left" vertical="center"/>
    </xf>
    <xf numFmtId="0" fontId="15" fillId="8" borderId="0" applyAlignment="1" pivotButton="0" quotePrefix="0" xfId="0">
      <alignment horizontal="left" vertical="center"/>
    </xf>
    <xf numFmtId="0" fontId="16" fillId="8" borderId="0" applyAlignment="1" pivotButton="0" quotePrefix="0" xfId="0">
      <alignment horizontal="left" vertical="center"/>
    </xf>
    <xf numFmtId="0" fontId="17" fillId="8" borderId="0" pivotButton="0" quotePrefix="0" xfId="0"/>
    <xf numFmtId="0" fontId="18" fillId="0" borderId="1" applyAlignment="1" pivotButton="0" quotePrefix="0" xfId="0">
      <alignment horizontal="left" vertical="center"/>
    </xf>
    <xf numFmtId="0" fontId="18" fillId="9" borderId="0" applyAlignment="1" pivotButton="0" quotePrefix="0" xfId="0">
      <alignment horizontal="left" vertical="center"/>
    </xf>
    <xf numFmtId="0" fontId="17" fillId="9" borderId="0" applyAlignment="1" pivotButton="0" quotePrefix="0" xfId="0">
      <alignment horizontal="left" vertical="center"/>
    </xf>
    <xf numFmtId="0" fontId="17" fillId="8" borderId="0" applyAlignment="1" pivotButton="0" quotePrefix="0" xfId="0">
      <alignment horizontal="left" vertical="center"/>
    </xf>
    <xf numFmtId="0" fontId="19" fillId="0" borderId="0" pivotButton="0" quotePrefix="0" xfId="0"/>
    <xf numFmtId="0" fontId="19" fillId="0" borderId="0" applyAlignment="1" pivotButton="0" quotePrefix="0" xfId="0">
      <alignment vertical="top" wrapText="1"/>
    </xf>
    <xf numFmtId="0" fontId="20" fillId="3" borderId="0" pivotButton="0" quotePrefix="0" xfId="0"/>
    <xf numFmtId="0" fontId="21" fillId="0" borderId="0" pivotButton="0" quotePrefix="0" xfId="0"/>
    <xf numFmtId="0" fontId="2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 / 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 / 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inlineStr">
        <is>
          <t>2|3</t>
        </is>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inlineStr">
        <is>
          <t>2|3</t>
        </is>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 / SSGN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 / SSGN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inlineStr">
        <is>
          <t>2|3</t>
        </is>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inlineStr">
        <is>
          <t>2|3</t>
        </is>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inlineStr">
        <is>
          <t>2|3</t>
        </is>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inlineStr">
        <is>
          <t>2|3</t>
        </is>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inlineStr">
        <is>
          <t>2|3</t>
        </is>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inlineStr">
        <is>
          <t>2|3</t>
        </is>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inlineStr">
        <is>
          <t>2|3</t>
        </is>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inlineStr">
        <is>
          <t>2|3</t>
        </is>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 / SSGN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inlineStr">
        <is>
          <t>2|3</t>
        </is>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 / VSUSV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 / SSGN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 / SSGN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 / SSGN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 / SSGN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 / SSGN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 / SSGN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 / SSGN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 / SSGN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 / SSGN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 / SSGN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 / SSGN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inlineStr">
        <is>
          <t>2/4</t>
        </is>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inlineStr">
        <is>
          <t>2/4</t>
        </is>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inlineStr">
        <is>
          <t>2/4</t>
        </is>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 / SSGN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 / SSGN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 / SSGN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 / SSGN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inlineStr">
        <is>
          <t>4/6</t>
        </is>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inlineStr">
        <is>
          <t>4/6</t>
        </is>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 / SSGN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 / SSGN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 / SSGN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 / SSGN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inlineStr">
        <is>
          <t>1,4,5</t>
        </is>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inlineStr">
        <is>
          <t>2,3</t>
        </is>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inlineStr">
        <is>
          <t>2,3</t>
        </is>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inlineStr">
        <is>
          <t>2,3</t>
        </is>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inlineStr">
        <is>
          <t>2,3</t>
        </is>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inlineStr">
        <is>
          <t>2,3</t>
        </is>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inlineStr">
        <is>
          <t>2,3</t>
        </is>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inlineStr">
        <is>
          <t>2,3</t>
        </is>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C3383">
        <f>IF(OR(E3383="",E3383="[PARENT]"),"ADD",IF(E3383="[ALT_VIEW]","ALT",""))</f>
        <v/>
      </c>
      <c r="AD3383">
        <f>IF(Y3383&lt;&gt;"",Y3383,IF(U3383&lt;&gt;"",U3383,S3383))</f>
        <v/>
      </c>
      <c r="AE3383">
        <f>IF(AB3383&lt;&gt;"",AB3383,Z3383)</f>
        <v/>
      </c>
    </row>
    <row r="3384">
      <c r="AC3384">
        <f>IF(OR(E3384="",E3384="[PARENT]"),"ADD",IF(E3384="[ALT_VIEW]","ALT",""))</f>
        <v/>
      </c>
      <c r="AD3384">
        <f>IF(Y3384&lt;&gt;"",Y3384,IF(U3384&lt;&gt;"",U3384,S3384))</f>
        <v/>
      </c>
      <c r="AE3384">
        <f>IF(AB3384&lt;&gt;"",AB3384,Z3384)</f>
        <v/>
      </c>
    </row>
    <row r="3385">
      <c r="AC3385">
        <f>IF(OR(E3385="",E3385="[PARENT]"),"ADD",IF(E3385="[ALT_VIEW]","ALT",""))</f>
        <v/>
      </c>
      <c r="AD3385">
        <f>IF(Y3385&lt;&gt;"",Y3385,IF(U3385&lt;&gt;"",U3385,S3385))</f>
        <v/>
      </c>
      <c r="AE3385">
        <f>IF(AB3385&lt;&gt;"",AB3385,Z3385)</f>
        <v/>
      </c>
    </row>
    <row r="3386">
      <c r="AC3386">
        <f>IF(OR(E3386="",E3386="[PARENT]"),"ADD",IF(E3386="[ALT_VIEW]","ALT",""))</f>
        <v/>
      </c>
      <c r="AD3386">
        <f>IF(Y3386&lt;&gt;"",Y3386,IF(U3386&lt;&gt;"",U3386,S3386))</f>
        <v/>
      </c>
      <c r="AE3386">
        <f>IF(AB3386&lt;&gt;"",AB3386,Z3386)</f>
        <v/>
      </c>
    </row>
    <row r="3387">
      <c r="AC3387">
        <f>IF(OR(E3387="",E3387="[PARENT]"),"ADD",IF(E3387="[ALT_VIEW]","ALT",""))</f>
        <v/>
      </c>
      <c r="AD3387">
        <f>IF(Y3387&lt;&gt;"",Y3387,IF(U3387&lt;&gt;"",U3387,S3387))</f>
        <v/>
      </c>
      <c r="AE3387">
        <f>IF(AB3387&lt;&gt;"",AB3387,Z3387)</f>
        <v/>
      </c>
    </row>
    <row r="3388">
      <c r="AC3388">
        <f>IF(OR(E3388="",E3388="[PARENT]"),"ADD",IF(E3388="[ALT_VIEW]","ALT",""))</f>
        <v/>
      </c>
      <c r="AD3388">
        <f>IF(Y3388&lt;&gt;"",Y3388,IF(U3388&lt;&gt;"",U3388,S3388))</f>
        <v/>
      </c>
      <c r="AE3388">
        <f>IF(AB3388&lt;&gt;"",AB3388,Z3388)</f>
        <v/>
      </c>
    </row>
    <row r="3389">
      <c r="AC3389">
        <f>IF(OR(E3389="",E3389="[PARENT]"),"ADD",IF(E3389="[ALT_VIEW]","ALT",""))</f>
        <v/>
      </c>
      <c r="AD3389">
        <f>IF(Y3389&lt;&gt;"",Y3389,IF(U3389&lt;&gt;"",U3389,S3389))</f>
        <v/>
      </c>
      <c r="AE3389">
        <f>IF(AB3389&lt;&gt;"",AB3389,Z3389)</f>
        <v/>
      </c>
    </row>
    <row r="3390">
      <c r="AC3390">
        <f>IF(OR(E3390="",E3390="[PARENT]"),"ADD",IF(E3390="[ALT_VIEW]","ALT",""))</f>
        <v/>
      </c>
      <c r="AD3390">
        <f>IF(Y3390&lt;&gt;"",Y3390,IF(U3390&lt;&gt;"",U3390,S3390))</f>
        <v/>
      </c>
      <c r="AE3390">
        <f>IF(AB3390&lt;&gt;"",AB3390,Z3390)</f>
        <v/>
      </c>
    </row>
    <row r="3391">
      <c r="AC3391">
        <f>IF(OR(E3391="",E3391="[PARENT]"),"ADD",IF(E3391="[ALT_VIEW]","ALT",""))</f>
        <v/>
      </c>
      <c r="AD3391">
        <f>IF(Y3391&lt;&gt;"",Y3391,IF(U3391&lt;&gt;"",U3391,S3391))</f>
        <v/>
      </c>
      <c r="AE3391">
        <f>IF(AB3391&lt;&gt;"",AB3391,Z3391)</f>
        <v/>
      </c>
    </row>
    <row r="3392">
      <c r="AC3392">
        <f>IF(OR(E3392="",E3392="[PARENT]"),"ADD",IF(E3392="[ALT_VIEW]","ALT",""))</f>
        <v/>
      </c>
      <c r="AD3392">
        <f>IF(Y3392&lt;&gt;"",Y3392,IF(U3392&lt;&gt;"",U3392,S3392))</f>
        <v/>
      </c>
      <c r="AE3392">
        <f>IF(AB3392&lt;&gt;"",AB3392,Z3392)</f>
        <v/>
      </c>
    </row>
    <row r="3393">
      <c r="AC3393">
        <f>IF(OR(E3393="",E3393="[PARENT]"),"ADD",IF(E3393="[ALT_VIEW]","ALT",""))</f>
        <v/>
      </c>
      <c r="AD3393">
        <f>IF(Y3393&lt;&gt;"",Y3393,IF(U3393&lt;&gt;"",U3393,S3393))</f>
        <v/>
      </c>
      <c r="AE3393">
        <f>IF(AB3393&lt;&gt;"",AB3393,Z3393)</f>
        <v/>
      </c>
    </row>
    <row r="3394">
      <c r="AC3394">
        <f>IF(OR(E3394="",E3394="[PARENT]"),"ADD",IF(E3394="[ALT_VIEW]","ALT",""))</f>
        <v/>
      </c>
      <c r="AD3394">
        <f>IF(Y3394&lt;&gt;"",Y3394,IF(U3394&lt;&gt;"",U3394,S3394))</f>
        <v/>
      </c>
      <c r="AE3394">
        <f>IF(AB3394&lt;&gt;"",AB3394,Z3394)</f>
        <v/>
      </c>
    </row>
    <row r="3395">
      <c r="AC3395">
        <f>IF(OR(E3395="",E3395="[PARENT]"),"ADD",IF(E3395="[ALT_VIEW]","ALT",""))</f>
        <v/>
      </c>
      <c r="AD3395">
        <f>IF(Y3395&lt;&gt;"",Y3395,IF(U3395&lt;&gt;"",U3395,S3395))</f>
        <v/>
      </c>
      <c r="AE3395">
        <f>IF(AB3395&lt;&gt;"",AB3395,Z3395)</f>
        <v/>
      </c>
    </row>
    <row r="3396">
      <c r="AC3396">
        <f>IF(OR(E3396="",E3396="[PARENT]"),"ADD",IF(E3396="[ALT_VIEW]","ALT",""))</f>
        <v/>
      </c>
      <c r="AD3396">
        <f>IF(Y3396&lt;&gt;"",Y3396,IF(U3396&lt;&gt;"",U3396,S3396))</f>
        <v/>
      </c>
      <c r="AE3396">
        <f>IF(AB3396&lt;&gt;"",AB3396,Z3396)</f>
        <v/>
      </c>
    </row>
    <row r="3397">
      <c r="AC3397">
        <f>IF(OR(E3397="",E3397="[PARENT]"),"ADD",IF(E3397="[ALT_VIEW]","ALT",""))</f>
        <v/>
      </c>
      <c r="AD3397">
        <f>IF(Y3397&lt;&gt;"",Y3397,IF(U3397&lt;&gt;"",U3397,S3397))</f>
        <v/>
      </c>
      <c r="AE3397">
        <f>IF(AB3397&lt;&gt;"",AB3397,Z3397)</f>
        <v/>
      </c>
    </row>
    <row r="3398">
      <c r="AC3398">
        <f>IF(OR(E3398="",E3398="[PARENT]"),"ADD",IF(E3398="[ALT_VIEW]","ALT",""))</f>
        <v/>
      </c>
      <c r="AD3398">
        <f>IF(Y3398&lt;&gt;"",Y3398,IF(U3398&lt;&gt;"",U3398,S3398))</f>
        <v/>
      </c>
      <c r="AE3398">
        <f>IF(AB3398&lt;&gt;"",AB3398,Z3398)</f>
        <v/>
      </c>
    </row>
    <row r="3399">
      <c r="AC3399">
        <f>IF(OR(E3399="",E3399="[PARENT]"),"ADD",IF(E3399="[ALT_VIEW]","ALT",""))</f>
        <v/>
      </c>
      <c r="AD3399">
        <f>IF(Y3399&lt;&gt;"",Y3399,IF(U3399&lt;&gt;"",U3399,S3399))</f>
        <v/>
      </c>
      <c r="AE3399">
        <f>IF(AB3399&lt;&gt;"",AB3399,Z3399)</f>
        <v/>
      </c>
    </row>
    <row r="3400">
      <c r="AC3400">
        <f>IF(OR(E3400="",E3400="[PARENT]"),"ADD",IF(E3400="[ALT_VIEW]","ALT",""))</f>
        <v/>
      </c>
      <c r="AD3400">
        <f>IF(Y3400&lt;&gt;"",Y3400,IF(U3400&lt;&gt;"",U3400,S3400))</f>
        <v/>
      </c>
      <c r="AE3400">
        <f>IF(AB3400&lt;&gt;"",AB3400,Z3400)</f>
        <v/>
      </c>
    </row>
    <row r="3401">
      <c r="AC3401">
        <f>IF(OR(E3401="",E3401="[PARENT]"),"ADD",IF(E3401="[ALT_VIEW]","ALT",""))</f>
        <v/>
      </c>
      <c r="AD3401">
        <f>IF(Y3401&lt;&gt;"",Y3401,IF(U3401&lt;&gt;"",U3401,S3401))</f>
        <v/>
      </c>
      <c r="AE3401">
        <f>IF(AB3401&lt;&gt;"",AB3401,Z3401)</f>
        <v/>
      </c>
    </row>
    <row r="3402">
      <c r="AC3402">
        <f>IF(OR(E3402="",E3402="[PARENT]"),"ADD",IF(E3402="[ALT_VIEW]","ALT",""))</f>
        <v/>
      </c>
      <c r="AD3402">
        <f>IF(Y3402&lt;&gt;"",Y3402,IF(U3402&lt;&gt;"",U3402,S3402))</f>
        <v/>
      </c>
      <c r="AE3402">
        <f>IF(AB3402&lt;&gt;"",AB3402,Z3402)</f>
        <v/>
      </c>
    </row>
    <row r="3403">
      <c r="AC3403">
        <f>IF(OR(E3403="",E3403="[PARENT]"),"ADD",IF(E3403="[ALT_VIEW]","ALT",""))</f>
        <v/>
      </c>
      <c r="AD3403">
        <f>IF(Y3403&lt;&gt;"",Y3403,IF(U3403&lt;&gt;"",U3403,S3403))</f>
        <v/>
      </c>
      <c r="AE3403">
        <f>IF(AB3403&lt;&gt;"",AB3403,Z3403)</f>
        <v/>
      </c>
    </row>
    <row r="3404">
      <c r="AC3404">
        <f>IF(OR(E3404="",E3404="[PARENT]"),"ADD",IF(E3404="[ALT_VIEW]","ALT",""))</f>
        <v/>
      </c>
      <c r="AD3404">
        <f>IF(Y3404&lt;&gt;"",Y3404,IF(U3404&lt;&gt;"",U3404,S3404))</f>
        <v/>
      </c>
      <c r="AE3404">
        <f>IF(AB3404&lt;&gt;"",AB3404,Z3404)</f>
        <v/>
      </c>
    </row>
    <row r="3405">
      <c r="AC3405">
        <f>IF(OR(E3405="",E3405="[PARENT]"),"ADD",IF(E3405="[ALT_VIEW]","ALT",""))</f>
        <v/>
      </c>
      <c r="AD3405">
        <f>IF(Y3405&lt;&gt;"",Y3405,IF(U3405&lt;&gt;"",U3405,S3405))</f>
        <v/>
      </c>
      <c r="AE3405">
        <f>IF(AB3405&lt;&gt;"",AB3405,Z3405)</f>
        <v/>
      </c>
    </row>
    <row r="3406">
      <c r="AC3406">
        <f>IF(OR(E3406="",E3406="[PARENT]"),"ADD",IF(E3406="[ALT_VIEW]","ALT",""))</f>
        <v/>
      </c>
      <c r="AD3406">
        <f>IF(Y3406&lt;&gt;"",Y3406,IF(U3406&lt;&gt;"",U3406,S3406))</f>
        <v/>
      </c>
      <c r="AE3406">
        <f>IF(AB3406&lt;&gt;"",AB3406,Z3406)</f>
        <v/>
      </c>
    </row>
    <row r="3407">
      <c r="AC3407">
        <f>IF(OR(E3407="",E3407="[PARENT]"),"ADD",IF(E3407="[ALT_VIEW]","ALT",""))</f>
        <v/>
      </c>
      <c r="AD3407">
        <f>IF(Y3407&lt;&gt;"",Y3407,IF(U3407&lt;&gt;"",U3407,S3407))</f>
        <v/>
      </c>
      <c r="AE3407">
        <f>IF(AB3407&lt;&gt;"",AB3407,Z3407)</f>
        <v/>
      </c>
    </row>
    <row r="3408">
      <c r="AC3408">
        <f>IF(OR(E3408="",E3408="[PARENT]"),"ADD",IF(E3408="[ALT_VIEW]","ALT",""))</f>
        <v/>
      </c>
      <c r="AD3408">
        <f>IF(Y3408&lt;&gt;"",Y3408,IF(U3408&lt;&gt;"",U3408,S3408))</f>
        <v/>
      </c>
      <c r="AE3408">
        <f>IF(AB3408&lt;&gt;"",AB3408,Z3408)</f>
        <v/>
      </c>
    </row>
    <row r="3409">
      <c r="AC3409">
        <f>IF(OR(E3409="",E3409="[PARENT]"),"ADD",IF(E3409="[ALT_VIEW]","ALT",""))</f>
        <v/>
      </c>
      <c r="AD3409">
        <f>IF(Y3409&lt;&gt;"",Y3409,IF(U3409&lt;&gt;"",U3409,S3409))</f>
        <v/>
      </c>
      <c r="AE3409">
        <f>IF(AB3409&lt;&gt;"",AB3409,Z3409)</f>
        <v/>
      </c>
    </row>
    <row r="3410">
      <c r="AC3410">
        <f>IF(OR(E3410="",E3410="[PARENT]"),"ADD",IF(E3410="[ALT_VIEW]","ALT",""))</f>
        <v/>
      </c>
      <c r="AD3410">
        <f>IF(Y3410&lt;&gt;"",Y3410,IF(U3410&lt;&gt;"",U3410,S3410))</f>
        <v/>
      </c>
      <c r="AE3410">
        <f>IF(AB3410&lt;&gt;"",AB3410,Z3410)</f>
        <v/>
      </c>
    </row>
    <row r="3411">
      <c r="AC3411">
        <f>IF(OR(E3411="",E3411="[PARENT]"),"ADD",IF(E3411="[ALT_VIEW]","ALT",""))</f>
        <v/>
      </c>
      <c r="AD3411">
        <f>IF(Y3411&lt;&gt;"",Y3411,IF(U3411&lt;&gt;"",U3411,S3411))</f>
        <v/>
      </c>
      <c r="AE3411">
        <f>IF(AB3411&lt;&gt;"",AB3411,Z3411)</f>
        <v/>
      </c>
    </row>
    <row r="3412">
      <c r="AC3412">
        <f>IF(OR(E3412="",E3412="[PARENT]"),"ADD",IF(E3412="[ALT_VIEW]","ALT",""))</f>
        <v/>
      </c>
      <c r="AD3412">
        <f>IF(Y3412&lt;&gt;"",Y3412,IF(U3412&lt;&gt;"",U3412,S3412))</f>
        <v/>
      </c>
      <c r="AE3412">
        <f>IF(AB3412&lt;&gt;"",AB3412,Z3412)</f>
        <v/>
      </c>
    </row>
    <row r="3413">
      <c r="AC3413">
        <f>IF(OR(E3413="",E3413="[PARENT]"),"ADD",IF(E3413="[ALT_VIEW]","ALT",""))</f>
        <v/>
      </c>
      <c r="AD3413">
        <f>IF(Y3413&lt;&gt;"",Y3413,IF(U3413&lt;&gt;"",U3413,S3413))</f>
        <v/>
      </c>
      <c r="AE3413">
        <f>IF(AB3413&lt;&gt;"",AB3413,Z3413)</f>
        <v/>
      </c>
    </row>
    <row r="3414">
      <c r="AC3414">
        <f>IF(OR(E3414="",E3414="[PARENT]"),"ADD",IF(E3414="[ALT_VIEW]","ALT",""))</f>
        <v/>
      </c>
      <c r="AD3414">
        <f>IF(Y3414&lt;&gt;"",Y3414,IF(U3414&lt;&gt;"",U3414,S3414))</f>
        <v/>
      </c>
      <c r="AE3414">
        <f>IF(AB3414&lt;&gt;"",AB3414,Z3414)</f>
        <v/>
      </c>
    </row>
    <row r="3415">
      <c r="AC3415">
        <f>IF(OR(E3415="",E3415="[PARENT]"),"ADD",IF(E3415="[ALT_VIEW]","ALT",""))</f>
        <v/>
      </c>
      <c r="AD3415">
        <f>IF(Y3415&lt;&gt;"",Y3415,IF(U3415&lt;&gt;"",U3415,S3415))</f>
        <v/>
      </c>
      <c r="AE3415">
        <f>IF(AB3415&lt;&gt;"",AB3415,Z3415)</f>
        <v/>
      </c>
    </row>
    <row r="3416">
      <c r="AC3416">
        <f>IF(OR(E3416="",E3416="[PARENT]"),"ADD",IF(E3416="[ALT_VIEW]","ALT",""))</f>
        <v/>
      </c>
      <c r="AD3416">
        <f>IF(Y3416&lt;&gt;"",Y3416,IF(U3416&lt;&gt;"",U3416,S3416))</f>
        <v/>
      </c>
      <c r="AE3416">
        <f>IF(AB3416&lt;&gt;"",AB3416,Z3416)</f>
        <v/>
      </c>
    </row>
    <row r="3417">
      <c r="AC3417">
        <f>IF(OR(E3417="",E3417="[PARENT]"),"ADD",IF(E3417="[ALT_VIEW]","ALT",""))</f>
        <v/>
      </c>
      <c r="AD3417">
        <f>IF(Y3417&lt;&gt;"",Y3417,IF(U3417&lt;&gt;"",U3417,S3417))</f>
        <v/>
      </c>
      <c r="AE3417">
        <f>IF(AB3417&lt;&gt;"",AB3417,Z3417)</f>
        <v/>
      </c>
    </row>
    <row r="3418">
      <c r="AC3418">
        <f>IF(OR(E3418="",E3418="[PARENT]"),"ADD",IF(E3418="[ALT_VIEW]","ALT",""))</f>
        <v/>
      </c>
      <c r="AD3418">
        <f>IF(Y3418&lt;&gt;"",Y3418,IF(U3418&lt;&gt;"",U3418,S3418))</f>
        <v/>
      </c>
      <c r="AE3418">
        <f>IF(AB3418&lt;&gt;"",AB3418,Z3418)</f>
        <v/>
      </c>
    </row>
    <row r="3419">
      <c r="AC3419">
        <f>IF(OR(E3419="",E3419="[PARENT]"),"ADD",IF(E3419="[ALT_VIEW]","ALT",""))</f>
        <v/>
      </c>
      <c r="AD3419">
        <f>IF(Y3419&lt;&gt;"",Y3419,IF(U3419&lt;&gt;"",U3419,S3419))</f>
        <v/>
      </c>
      <c r="AE3419">
        <f>IF(AB3419&lt;&gt;"",AB3419,Z3419)</f>
        <v/>
      </c>
    </row>
    <row r="3420">
      <c r="AC3420">
        <f>IF(OR(E3420="",E3420="[PARENT]"),"ADD",IF(E3420="[ALT_VIEW]","ALT",""))</f>
        <v/>
      </c>
      <c r="AD3420">
        <f>IF(Y3420&lt;&gt;"",Y3420,IF(U3420&lt;&gt;"",U3420,S3420))</f>
        <v/>
      </c>
      <c r="AE3420">
        <f>IF(AB3420&lt;&gt;"",AB3420,Z3420)</f>
        <v/>
      </c>
    </row>
    <row r="3421">
      <c r="AC3421">
        <f>IF(OR(E3421="",E3421="[PARENT]"),"ADD",IF(E3421="[ALT_VIEW]","ALT",""))</f>
        <v/>
      </c>
      <c r="AD3421">
        <f>IF(Y3421&lt;&gt;"",Y3421,IF(U3421&lt;&gt;"",U3421,S3421))</f>
        <v/>
      </c>
      <c r="AE3421">
        <f>IF(AB3421&lt;&gt;"",AB3421,Z3421)</f>
        <v/>
      </c>
    </row>
    <row r="3422">
      <c r="AC3422">
        <f>IF(OR(E3422="",E3422="[PARENT]"),"ADD",IF(E3422="[ALT_VIEW]","ALT",""))</f>
        <v/>
      </c>
      <c r="AD3422">
        <f>IF(Y3422&lt;&gt;"",Y3422,IF(U3422&lt;&gt;"",U3422,S3422))</f>
        <v/>
      </c>
      <c r="AE3422">
        <f>IF(AB3422&lt;&gt;"",AB3422,Z3422)</f>
        <v/>
      </c>
    </row>
    <row r="3423">
      <c r="AC3423">
        <f>IF(OR(E3423="",E3423="[PARENT]"),"ADD",IF(E3423="[ALT_VIEW]","ALT",""))</f>
        <v/>
      </c>
      <c r="AD3423">
        <f>IF(Y3423&lt;&gt;"",Y3423,IF(U3423&lt;&gt;"",U3423,S3423))</f>
        <v/>
      </c>
      <c r="AE3423">
        <f>IF(AB3423&lt;&gt;"",AB3423,Z3423)</f>
        <v/>
      </c>
    </row>
    <row r="3424">
      <c r="AC3424">
        <f>IF(OR(E3424="",E3424="[PARENT]"),"ADD",IF(E3424="[ALT_VIEW]","ALT",""))</f>
        <v/>
      </c>
      <c r="AD3424">
        <f>IF(Y3424&lt;&gt;"",Y3424,IF(U3424&lt;&gt;"",U3424,S3424))</f>
        <v/>
      </c>
      <c r="AE3424">
        <f>IF(AB3424&lt;&gt;"",AB3424,Z3424)</f>
        <v/>
      </c>
    </row>
    <row r="3425">
      <c r="AC3425">
        <f>IF(OR(E3425="",E3425="[PARENT]"),"ADD",IF(E3425="[ALT_VIEW]","ALT",""))</f>
        <v/>
      </c>
      <c r="AD3425">
        <f>IF(Y3425&lt;&gt;"",Y3425,IF(U3425&lt;&gt;"",U3425,S3425))</f>
        <v/>
      </c>
      <c r="AE3425">
        <f>IF(AB3425&lt;&gt;"",AB3425,Z3425)</f>
        <v/>
      </c>
    </row>
    <row r="3426">
      <c r="AC3426">
        <f>IF(OR(E3426="",E3426="[PARENT]"),"ADD",IF(E3426="[ALT_VIEW]","ALT",""))</f>
        <v/>
      </c>
      <c r="AD3426">
        <f>IF(Y3426&lt;&gt;"",Y3426,IF(U3426&lt;&gt;"",U3426,S3426))</f>
        <v/>
      </c>
      <c r="AE3426">
        <f>IF(AB3426&lt;&gt;"",AB3426,Z3426)</f>
        <v/>
      </c>
    </row>
    <row r="3427">
      <c r="AC3427">
        <f>IF(OR(E3427="",E3427="[PARENT]"),"ADD",IF(E3427="[ALT_VIEW]","ALT",""))</f>
        <v/>
      </c>
      <c r="AD3427">
        <f>IF(Y3427&lt;&gt;"",Y3427,IF(U3427&lt;&gt;"",U3427,S3427))</f>
        <v/>
      </c>
      <c r="AE3427">
        <f>IF(AB3427&lt;&gt;"",AB3427,Z3427)</f>
        <v/>
      </c>
    </row>
    <row r="3428">
      <c r="AC3428">
        <f>IF(OR(E3428="",E3428="[PARENT]"),"ADD",IF(E3428="[ALT_VIEW]","ALT",""))</f>
        <v/>
      </c>
      <c r="AD3428">
        <f>IF(Y3428&lt;&gt;"",Y3428,IF(U3428&lt;&gt;"",U3428,S3428))</f>
        <v/>
      </c>
      <c r="AE3428">
        <f>IF(AB3428&lt;&gt;"",AB3428,Z3428)</f>
        <v/>
      </c>
    </row>
    <row r="3429">
      <c r="AC3429">
        <f>IF(OR(E3429="",E3429="[PARENT]"),"ADD",IF(E3429="[ALT_VIEW]","ALT",""))</f>
        <v/>
      </c>
      <c r="AD3429">
        <f>IF(Y3429&lt;&gt;"",Y3429,IF(U3429&lt;&gt;"",U3429,S3429))</f>
        <v/>
      </c>
      <c r="AE3429">
        <f>IF(AB3429&lt;&gt;"",AB3429,Z3429)</f>
        <v/>
      </c>
    </row>
    <row r="3430">
      <c r="AC3430">
        <f>IF(OR(E3430="",E3430="[PARENT]"),"ADD",IF(E3430="[ALT_VIEW]","ALT",""))</f>
        <v/>
      </c>
      <c r="AD3430">
        <f>IF(Y3430&lt;&gt;"",Y3430,IF(U3430&lt;&gt;"",U3430,S3430))</f>
        <v/>
      </c>
      <c r="AE3430">
        <f>IF(AB3430&lt;&gt;"",AB3430,Z3430)</f>
        <v/>
      </c>
    </row>
    <row r="3431">
      <c r="AC3431">
        <f>IF(OR(E3431="",E3431="[PARENT]"),"ADD",IF(E3431="[ALT_VIEW]","ALT",""))</f>
        <v/>
      </c>
      <c r="AD3431">
        <f>IF(Y3431&lt;&gt;"",Y3431,IF(U3431&lt;&gt;"",U3431,S3431))</f>
        <v/>
      </c>
      <c r="AE3431">
        <f>IF(AB3431&lt;&gt;"",AB3431,Z3431)</f>
        <v/>
      </c>
    </row>
    <row r="3432">
      <c r="AC3432">
        <f>IF(OR(E3432="",E3432="[PARENT]"),"ADD",IF(E3432="[ALT_VIEW]","ALT",""))</f>
        <v/>
      </c>
      <c r="AD3432">
        <f>IF(Y3432&lt;&gt;"",Y3432,IF(U3432&lt;&gt;"",U3432,S3432))</f>
        <v/>
      </c>
      <c r="AE3432">
        <f>IF(AB3432&lt;&gt;"",AB3432,Z3432)</f>
        <v/>
      </c>
    </row>
    <row r="3433">
      <c r="AC3433">
        <f>IF(OR(E3433="",E3433="[PARENT]"),"ADD",IF(E3433="[ALT_VIEW]","ALT",""))</f>
        <v/>
      </c>
      <c r="AD3433">
        <f>IF(Y3433&lt;&gt;"",Y3433,IF(U3433&lt;&gt;"",U3433,S3433))</f>
        <v/>
      </c>
      <c r="AE3433">
        <f>IF(AB3433&lt;&gt;"",AB3433,Z3433)</f>
        <v/>
      </c>
    </row>
    <row r="3434">
      <c r="AC3434">
        <f>IF(OR(E3434="",E3434="[PARENT]"),"ADD",IF(E3434="[ALT_VIEW]","ALT",""))</f>
        <v/>
      </c>
      <c r="AD3434">
        <f>IF(Y3434&lt;&gt;"",Y3434,IF(U3434&lt;&gt;"",U3434,S3434))</f>
        <v/>
      </c>
      <c r="AE3434">
        <f>IF(AB3434&lt;&gt;"",AB3434,Z3434)</f>
        <v/>
      </c>
    </row>
    <row r="3435">
      <c r="AC3435">
        <f>IF(OR(E3435="",E3435="[PARENT]"),"ADD",IF(E3435="[ALT_VIEW]","ALT",""))</f>
        <v/>
      </c>
      <c r="AD3435">
        <f>IF(Y3435&lt;&gt;"",Y3435,IF(U3435&lt;&gt;"",U3435,S3435))</f>
        <v/>
      </c>
      <c r="AE3435">
        <f>IF(AB3435&lt;&gt;"",AB3435,Z3435)</f>
        <v/>
      </c>
    </row>
    <row r="3436">
      <c r="AC3436">
        <f>IF(OR(E3436="",E3436="[PARENT]"),"ADD",IF(E3436="[ALT_VIEW]","ALT",""))</f>
        <v/>
      </c>
      <c r="AD3436">
        <f>IF(Y3436&lt;&gt;"",Y3436,IF(U3436&lt;&gt;"",U3436,S3436))</f>
        <v/>
      </c>
      <c r="AE3436">
        <f>IF(AB3436&lt;&gt;"",AB3436,Z3436)</f>
        <v/>
      </c>
    </row>
    <row r="3437">
      <c r="AC3437">
        <f>IF(OR(E3437="",E3437="[PARENT]"),"ADD",IF(E3437="[ALT_VIEW]","ALT",""))</f>
        <v/>
      </c>
      <c r="AD3437">
        <f>IF(Y3437&lt;&gt;"",Y3437,IF(U3437&lt;&gt;"",U3437,S3437))</f>
        <v/>
      </c>
      <c r="AE3437">
        <f>IF(AB3437&lt;&gt;"",AB3437,Z3437)</f>
        <v/>
      </c>
    </row>
    <row r="3438">
      <c r="AC3438">
        <f>IF(OR(E3438="",E3438="[PARENT]"),"ADD",IF(E3438="[ALT_VIEW]","ALT",""))</f>
        <v/>
      </c>
      <c r="AD3438">
        <f>IF(Y3438&lt;&gt;"",Y3438,IF(U3438&lt;&gt;"",U3438,S3438))</f>
        <v/>
      </c>
      <c r="AE3438">
        <f>IF(AB3438&lt;&gt;"",AB3438,Z3438)</f>
        <v/>
      </c>
    </row>
    <row r="3439">
      <c r="AC3439">
        <f>IF(OR(E3439="",E3439="[PARENT]"),"ADD",IF(E3439="[ALT_VIEW]","ALT",""))</f>
        <v/>
      </c>
      <c r="AD3439">
        <f>IF(Y3439&lt;&gt;"",Y3439,IF(U3439&lt;&gt;"",U3439,S3439))</f>
        <v/>
      </c>
      <c r="AE3439">
        <f>IF(AB3439&lt;&gt;"",AB3439,Z3439)</f>
        <v/>
      </c>
    </row>
    <row r="3440">
      <c r="AC3440">
        <f>IF(OR(E3440="",E3440="[PARENT]"),"ADD",IF(E3440="[ALT_VIEW]","ALT",""))</f>
        <v/>
      </c>
      <c r="AD3440">
        <f>IF(Y3440&lt;&gt;"",Y3440,IF(U3440&lt;&gt;"",U3440,S3440))</f>
        <v/>
      </c>
      <c r="AE3440">
        <f>IF(AB3440&lt;&gt;"",AB3440,Z3440)</f>
        <v/>
      </c>
    </row>
    <row r="3441">
      <c r="AC3441">
        <f>IF(OR(E3441="",E3441="[PARENT]"),"ADD",IF(E3441="[ALT_VIEW]","ALT",""))</f>
        <v/>
      </c>
      <c r="AD3441">
        <f>IF(Y3441&lt;&gt;"",Y3441,IF(U3441&lt;&gt;"",U3441,S3441))</f>
        <v/>
      </c>
      <c r="AE3441">
        <f>IF(AB3441&lt;&gt;"",AB3441,Z3441)</f>
        <v/>
      </c>
    </row>
    <row r="3442">
      <c r="AC3442">
        <f>IF(OR(E3442="",E3442="[PARENT]"),"ADD",IF(E3442="[ALT_VIEW]","ALT",""))</f>
        <v/>
      </c>
      <c r="AD3442">
        <f>IF(Y3442&lt;&gt;"",Y3442,IF(U3442&lt;&gt;"",U3442,S3442))</f>
        <v/>
      </c>
      <c r="AE3442">
        <f>IF(AB3442&lt;&gt;"",AB3442,Z3442)</f>
        <v/>
      </c>
    </row>
    <row r="3443">
      <c r="AC3443">
        <f>IF(OR(E3443="",E3443="[PARENT]"),"ADD",IF(E3443="[ALT_VIEW]","ALT",""))</f>
        <v/>
      </c>
      <c r="AD3443">
        <f>IF(Y3443&lt;&gt;"",Y3443,IF(U3443&lt;&gt;"",U3443,S3443))</f>
        <v/>
      </c>
      <c r="AE3443">
        <f>IF(AB3443&lt;&gt;"",AB3443,Z3443)</f>
        <v/>
      </c>
    </row>
    <row r="3444">
      <c r="AC3444">
        <f>IF(OR(E3444="",E3444="[PARENT]"),"ADD",IF(E3444="[ALT_VIEW]","ALT",""))</f>
        <v/>
      </c>
      <c r="AD3444">
        <f>IF(Y3444&lt;&gt;"",Y3444,IF(U3444&lt;&gt;"",U3444,S3444))</f>
        <v/>
      </c>
      <c r="AE3444">
        <f>IF(AB3444&lt;&gt;"",AB3444,Z3444)</f>
        <v/>
      </c>
    </row>
    <row r="3445">
      <c r="AC3445">
        <f>IF(OR(E3445="",E3445="[PARENT]"),"ADD",IF(E3445="[ALT_VIEW]","ALT",""))</f>
        <v/>
      </c>
      <c r="AD3445">
        <f>IF(Y3445&lt;&gt;"",Y3445,IF(U3445&lt;&gt;"",U3445,S3445))</f>
        <v/>
      </c>
      <c r="AE3445">
        <f>IF(AB3445&lt;&gt;"",AB3445,Z3445)</f>
        <v/>
      </c>
    </row>
    <row r="3446">
      <c r="AC3446">
        <f>IF(OR(E3446="",E3446="[PARENT]"),"ADD",IF(E3446="[ALT_VIEW]","ALT",""))</f>
        <v/>
      </c>
      <c r="AD3446">
        <f>IF(Y3446&lt;&gt;"",Y3446,IF(U3446&lt;&gt;"",U3446,S3446))</f>
        <v/>
      </c>
      <c r="AE3446">
        <f>IF(AB3446&lt;&gt;"",AB3446,Z3446)</f>
        <v/>
      </c>
    </row>
    <row r="3447">
      <c r="AC3447">
        <f>IF(OR(E3447="",E3447="[PARENT]"),"ADD",IF(E3447="[ALT_VIEW]","ALT",""))</f>
        <v/>
      </c>
      <c r="AD3447">
        <f>IF(Y3447&lt;&gt;"",Y3447,IF(U3447&lt;&gt;"",U3447,S3447))</f>
        <v/>
      </c>
      <c r="AE3447">
        <f>IF(AB3447&lt;&gt;"",AB3447,Z3447)</f>
        <v/>
      </c>
    </row>
    <row r="3448">
      <c r="AC3448">
        <f>IF(OR(E3448="",E3448="[PARENT]"),"ADD",IF(E3448="[ALT_VIEW]","ALT",""))</f>
        <v/>
      </c>
      <c r="AD3448">
        <f>IF(Y3448&lt;&gt;"",Y3448,IF(U3448&lt;&gt;"",U3448,S3448))</f>
        <v/>
      </c>
      <c r="AE3448">
        <f>IF(AB3448&lt;&gt;"",AB3448,Z3448)</f>
        <v/>
      </c>
    </row>
    <row r="3449">
      <c r="AC3449">
        <f>IF(OR(E3449="",E3449="[PARENT]"),"ADD",IF(E3449="[ALT_VIEW]","ALT",""))</f>
        <v/>
      </c>
      <c r="AD3449">
        <f>IF(Y3449&lt;&gt;"",Y3449,IF(U3449&lt;&gt;"",U3449,S3449))</f>
        <v/>
      </c>
      <c r="AE3449">
        <f>IF(AB3449&lt;&gt;"",AB3449,Z3449)</f>
        <v/>
      </c>
    </row>
    <row r="3450">
      <c r="AC3450">
        <f>IF(OR(E3450="",E3450="[PARENT]"),"ADD",IF(E3450="[ALT_VIEW]","ALT",""))</f>
        <v/>
      </c>
      <c r="AD3450">
        <f>IF(Y3450&lt;&gt;"",Y3450,IF(U3450&lt;&gt;"",U3450,S3450))</f>
        <v/>
      </c>
      <c r="AE3450">
        <f>IF(AB3450&lt;&gt;"",AB3450,Z3450)</f>
        <v/>
      </c>
    </row>
    <row r="3451">
      <c r="AC3451">
        <f>IF(OR(E3451="",E3451="[PARENT]"),"ADD",IF(E3451="[ALT_VIEW]","ALT",""))</f>
        <v/>
      </c>
      <c r="AD3451">
        <f>IF(Y3451&lt;&gt;"",Y3451,IF(U3451&lt;&gt;"",U3451,S3451))</f>
        <v/>
      </c>
      <c r="AE3451">
        <f>IF(AB3451&lt;&gt;"",AB3451,Z3451)</f>
        <v/>
      </c>
    </row>
    <row r="3452">
      <c r="AC3452">
        <f>IF(OR(E3452="",E3452="[PARENT]"),"ADD",IF(E3452="[ALT_VIEW]","ALT",""))</f>
        <v/>
      </c>
      <c r="AD3452">
        <f>IF(Y3452&lt;&gt;"",Y3452,IF(U3452&lt;&gt;"",U3452,S3452))</f>
        <v/>
      </c>
      <c r="AE3452">
        <f>IF(AB3452&lt;&gt;"",AB3452,Z3452)</f>
        <v/>
      </c>
    </row>
    <row r="3453">
      <c r="AC3453">
        <f>IF(OR(E3453="",E3453="[PARENT]"),"ADD",IF(E3453="[ALT_VIEW]","ALT",""))</f>
        <v/>
      </c>
      <c r="AD3453">
        <f>IF(Y3453&lt;&gt;"",Y3453,IF(U3453&lt;&gt;"",U3453,S3453))</f>
        <v/>
      </c>
      <c r="AE3453">
        <f>IF(AB3453&lt;&gt;"",AB3453,Z3453)</f>
        <v/>
      </c>
    </row>
    <row r="3454">
      <c r="AC3454">
        <f>IF(OR(E3454="",E3454="[PARENT]"),"ADD",IF(E3454="[ALT_VIEW]","ALT",""))</f>
        <v/>
      </c>
      <c r="AD3454">
        <f>IF(Y3454&lt;&gt;"",Y3454,IF(U3454&lt;&gt;"",U3454,S3454))</f>
        <v/>
      </c>
      <c r="AE3454">
        <f>IF(AB3454&lt;&gt;"",AB3454,Z3454)</f>
        <v/>
      </c>
    </row>
    <row r="3455">
      <c r="AC3455">
        <f>IF(OR(E3455="",E3455="[PARENT]"),"ADD",IF(E3455="[ALT_VIEW]","ALT",""))</f>
        <v/>
      </c>
      <c r="AD3455">
        <f>IF(Y3455&lt;&gt;"",Y3455,IF(U3455&lt;&gt;"",U3455,S3455))</f>
        <v/>
      </c>
      <c r="AE3455">
        <f>IF(AB3455&lt;&gt;"",AB3455,Z3455)</f>
        <v/>
      </c>
    </row>
    <row r="3456">
      <c r="AC3456">
        <f>IF(OR(E3456="",E3456="[PARENT]"),"ADD",IF(E3456="[ALT_VIEW]","ALT",""))</f>
        <v/>
      </c>
      <c r="AD3456">
        <f>IF(Y3456&lt;&gt;"",Y3456,IF(U3456&lt;&gt;"",U3456,S3456))</f>
        <v/>
      </c>
      <c r="AE3456">
        <f>IF(AB3456&lt;&gt;"",AB3456,Z3456)</f>
        <v/>
      </c>
    </row>
    <row r="3457">
      <c r="AC3457">
        <f>IF(OR(E3457="",E3457="[PARENT]"),"ADD",IF(E3457="[ALT_VIEW]","ALT",""))</f>
        <v/>
      </c>
      <c r="AD3457">
        <f>IF(Y3457&lt;&gt;"",Y3457,IF(U3457&lt;&gt;"",U3457,S3457))</f>
        <v/>
      </c>
      <c r="AE3457">
        <f>IF(AB3457&lt;&gt;"",AB3457,Z3457)</f>
        <v/>
      </c>
    </row>
    <row r="3458">
      <c r="AC3458">
        <f>IF(OR(E3458="",E3458="[PARENT]"),"ADD",IF(E3458="[ALT_VIEW]","ALT",""))</f>
        <v/>
      </c>
      <c r="AD3458">
        <f>IF(Y3458&lt;&gt;"",Y3458,IF(U3458&lt;&gt;"",U3458,S3458))</f>
        <v/>
      </c>
      <c r="AE3458">
        <f>IF(AB3458&lt;&gt;"",AB3458,Z3458)</f>
        <v/>
      </c>
    </row>
    <row r="3459">
      <c r="AC3459">
        <f>IF(OR(E3459="",E3459="[PARENT]"),"ADD",IF(E3459="[ALT_VIEW]","ALT",""))</f>
        <v/>
      </c>
      <c r="AD3459">
        <f>IF(Y3459&lt;&gt;"",Y3459,IF(U3459&lt;&gt;"",U3459,S3459))</f>
        <v/>
      </c>
      <c r="AE3459">
        <f>IF(AB3459&lt;&gt;"",AB3459,Z3459)</f>
        <v/>
      </c>
    </row>
    <row r="3460">
      <c r="AC3460">
        <f>IF(OR(E3460="",E3460="[PARENT]"),"ADD",IF(E3460="[ALT_VIEW]","ALT",""))</f>
        <v/>
      </c>
      <c r="AD3460">
        <f>IF(Y3460&lt;&gt;"",Y3460,IF(U3460&lt;&gt;"",U3460,S3460))</f>
        <v/>
      </c>
      <c r="AE3460">
        <f>IF(AB3460&lt;&gt;"",AB3460,Z3460)</f>
        <v/>
      </c>
    </row>
    <row r="3461">
      <c r="AC3461">
        <f>IF(OR(E3461="",E3461="[PARENT]"),"ADD",IF(E3461="[ALT_VIEW]","ALT",""))</f>
        <v/>
      </c>
      <c r="AD3461">
        <f>IF(Y3461&lt;&gt;"",Y3461,IF(U3461&lt;&gt;"",U3461,S3461))</f>
        <v/>
      </c>
      <c r="AE3461">
        <f>IF(AB3461&lt;&gt;"",AB3461,Z3461)</f>
        <v/>
      </c>
    </row>
    <row r="3462">
      <c r="AC3462">
        <f>IF(OR(E3462="",E3462="[PARENT]"),"ADD",IF(E3462="[ALT_VIEW]","ALT",""))</f>
        <v/>
      </c>
      <c r="AD3462">
        <f>IF(Y3462&lt;&gt;"",Y3462,IF(U3462&lt;&gt;"",U3462,S3462))</f>
        <v/>
      </c>
      <c r="AE3462">
        <f>IF(AB3462&lt;&gt;"",AB3462,Z3462)</f>
        <v/>
      </c>
    </row>
    <row r="3463">
      <c r="AC3463">
        <f>IF(OR(E3463="",E3463="[PARENT]"),"ADD",IF(E3463="[ALT_VIEW]","ALT",""))</f>
        <v/>
      </c>
      <c r="AD3463">
        <f>IF(Y3463&lt;&gt;"",Y3463,IF(U3463&lt;&gt;"",U3463,S3463))</f>
        <v/>
      </c>
      <c r="AE3463">
        <f>IF(AB3463&lt;&gt;"",AB3463,Z3463)</f>
        <v/>
      </c>
    </row>
    <row r="3464">
      <c r="AC3464">
        <f>IF(OR(E3464="",E3464="[PARENT]"),"ADD",IF(E3464="[ALT_VIEW]","ALT",""))</f>
        <v/>
      </c>
      <c r="AD3464">
        <f>IF(Y3464&lt;&gt;"",Y3464,IF(U3464&lt;&gt;"",U3464,S3464))</f>
        <v/>
      </c>
      <c r="AE3464">
        <f>IF(AB3464&lt;&gt;"",AB3464,Z3464)</f>
        <v/>
      </c>
    </row>
    <row r="3465">
      <c r="AC3465">
        <f>IF(OR(E3465="",E3465="[PARENT]"),"ADD",IF(E3465="[ALT_VIEW]","ALT",""))</f>
        <v/>
      </c>
      <c r="AD3465">
        <f>IF(Y3465&lt;&gt;"",Y3465,IF(U3465&lt;&gt;"",U3465,S3465))</f>
        <v/>
      </c>
      <c r="AE3465">
        <f>IF(AB3465&lt;&gt;"",AB3465,Z3465)</f>
        <v/>
      </c>
    </row>
    <row r="3466">
      <c r="AC3466">
        <f>IF(OR(E3466="",E3466="[PARENT]"),"ADD",IF(E3466="[ALT_VIEW]","ALT",""))</f>
        <v/>
      </c>
      <c r="AD3466">
        <f>IF(Y3466&lt;&gt;"",Y3466,IF(U3466&lt;&gt;"",U3466,S3466))</f>
        <v/>
      </c>
      <c r="AE3466">
        <f>IF(AB3466&lt;&gt;"",AB3466,Z3466)</f>
        <v/>
      </c>
    </row>
    <row r="3467">
      <c r="AC3467">
        <f>IF(OR(E3467="",E3467="[PARENT]"),"ADD",IF(E3467="[ALT_VIEW]","ALT",""))</f>
        <v/>
      </c>
      <c r="AD3467">
        <f>IF(Y3467&lt;&gt;"",Y3467,IF(U3467&lt;&gt;"",U3467,S3467))</f>
        <v/>
      </c>
      <c r="AE3467">
        <f>IF(AB3467&lt;&gt;"",AB3467,Z3467)</f>
        <v/>
      </c>
    </row>
    <row r="3468">
      <c r="AC3468">
        <f>IF(OR(E3468="",E3468="[PARENT]"),"ADD",IF(E3468="[ALT_VIEW]","ALT",""))</f>
        <v/>
      </c>
      <c r="AD3468">
        <f>IF(Y3468&lt;&gt;"",Y3468,IF(U3468&lt;&gt;"",U3468,S3468))</f>
        <v/>
      </c>
      <c r="AE3468">
        <f>IF(AB3468&lt;&gt;"",AB3468,Z3468)</f>
        <v/>
      </c>
    </row>
    <row r="3469">
      <c r="AC3469">
        <f>IF(OR(E3469="",E3469="[PARENT]"),"ADD",IF(E3469="[ALT_VIEW]","ALT",""))</f>
        <v/>
      </c>
      <c r="AD3469">
        <f>IF(Y3469&lt;&gt;"",Y3469,IF(U3469&lt;&gt;"",U3469,S3469))</f>
        <v/>
      </c>
      <c r="AE3469">
        <f>IF(AB3469&lt;&gt;"",AB3469,Z3469)</f>
        <v/>
      </c>
    </row>
    <row r="3470">
      <c r="AC3470">
        <f>IF(OR(E3470="",E3470="[PARENT]"),"ADD",IF(E3470="[ALT_VIEW]","ALT",""))</f>
        <v/>
      </c>
      <c r="AD3470">
        <f>IF(Y3470&lt;&gt;"",Y3470,IF(U3470&lt;&gt;"",U3470,S3470))</f>
        <v/>
      </c>
      <c r="AE3470">
        <f>IF(AB3470&lt;&gt;"",AB3470,Z3470)</f>
        <v/>
      </c>
    </row>
    <row r="3471">
      <c r="AC3471">
        <f>IF(OR(E3471="",E3471="[PARENT]"),"ADD",IF(E3471="[ALT_VIEW]","ALT",""))</f>
        <v/>
      </c>
      <c r="AD3471">
        <f>IF(Y3471&lt;&gt;"",Y3471,IF(U3471&lt;&gt;"",U3471,S3471))</f>
        <v/>
      </c>
      <c r="AE3471">
        <f>IF(AB3471&lt;&gt;"",AB3471,Z3471)</f>
        <v/>
      </c>
    </row>
    <row r="3472">
      <c r="AC3472">
        <f>IF(OR(E3472="",E3472="[PARENT]"),"ADD",IF(E3472="[ALT_VIEW]","ALT",""))</f>
        <v/>
      </c>
      <c r="AD3472">
        <f>IF(Y3472&lt;&gt;"",Y3472,IF(U3472&lt;&gt;"",U3472,S3472))</f>
        <v/>
      </c>
      <c r="AE3472">
        <f>IF(AB3472&lt;&gt;"",AB3472,Z3472)</f>
        <v/>
      </c>
    </row>
    <row r="3473">
      <c r="AC3473">
        <f>IF(OR(E3473="",E3473="[PARENT]"),"ADD",IF(E3473="[ALT_VIEW]","ALT",""))</f>
        <v/>
      </c>
      <c r="AD3473">
        <f>IF(Y3473&lt;&gt;"",Y3473,IF(U3473&lt;&gt;"",U3473,S3473))</f>
        <v/>
      </c>
      <c r="AE3473">
        <f>IF(AB3473&lt;&gt;"",AB3473,Z3473)</f>
        <v/>
      </c>
    </row>
    <row r="3474">
      <c r="AC3474">
        <f>IF(OR(E3474="",E3474="[PARENT]"),"ADD",IF(E3474="[ALT_VIEW]","ALT",""))</f>
        <v/>
      </c>
      <c r="AD3474">
        <f>IF(Y3474&lt;&gt;"",Y3474,IF(U3474&lt;&gt;"",U3474,S3474))</f>
        <v/>
      </c>
      <c r="AE3474">
        <f>IF(AB3474&lt;&gt;"",AB3474,Z3474)</f>
        <v/>
      </c>
    </row>
    <row r="3475">
      <c r="AC3475">
        <f>IF(OR(E3475="",E3475="[PARENT]"),"ADD",IF(E3475="[ALT_VIEW]","ALT",""))</f>
        <v/>
      </c>
      <c r="AD3475">
        <f>IF(Y3475&lt;&gt;"",Y3475,IF(U3475&lt;&gt;"",U3475,S3475))</f>
        <v/>
      </c>
      <c r="AE3475">
        <f>IF(AB3475&lt;&gt;"",AB3475,Z3475)</f>
        <v/>
      </c>
    </row>
    <row r="3476">
      <c r="AC3476">
        <f>IF(OR(E3476="",E3476="[PARENT]"),"ADD",IF(E3476="[ALT_VIEW]","ALT",""))</f>
        <v/>
      </c>
      <c r="AD3476">
        <f>IF(Y3476&lt;&gt;"",Y3476,IF(U3476&lt;&gt;"",U3476,S3476))</f>
        <v/>
      </c>
      <c r="AE3476">
        <f>IF(AB3476&lt;&gt;"",AB3476,Z3476)</f>
        <v/>
      </c>
    </row>
    <row r="3477">
      <c r="AC3477">
        <f>IF(OR(E3477="",E3477="[PARENT]"),"ADD",IF(E3477="[ALT_VIEW]","ALT",""))</f>
        <v/>
      </c>
      <c r="AD3477">
        <f>IF(Y3477&lt;&gt;"",Y3477,IF(U3477&lt;&gt;"",U3477,S3477))</f>
        <v/>
      </c>
      <c r="AE3477">
        <f>IF(AB3477&lt;&gt;"",AB3477,Z3477)</f>
        <v/>
      </c>
    </row>
    <row r="3478">
      <c r="AC3478">
        <f>IF(OR(E3478="",E3478="[PARENT]"),"ADD",IF(E3478="[ALT_VIEW]","ALT",""))</f>
        <v/>
      </c>
      <c r="AD3478">
        <f>IF(Y3478&lt;&gt;"",Y3478,IF(U3478&lt;&gt;"",U3478,S3478))</f>
        <v/>
      </c>
      <c r="AE3478">
        <f>IF(AB3478&lt;&gt;"",AB3478,Z3478)</f>
        <v/>
      </c>
    </row>
    <row r="3479">
      <c r="AC3479">
        <f>IF(OR(E3479="",E3479="[PARENT]"),"ADD",IF(E3479="[ALT_VIEW]","ALT",""))</f>
        <v/>
      </c>
      <c r="AD3479">
        <f>IF(Y3479&lt;&gt;"",Y3479,IF(U3479&lt;&gt;"",U3479,S3479))</f>
        <v/>
      </c>
      <c r="AE3479">
        <f>IF(AB3479&lt;&gt;"",AB3479,Z3479)</f>
        <v/>
      </c>
    </row>
    <row r="3480">
      <c r="AC3480">
        <f>IF(OR(E3480="",E3480="[PARENT]"),"ADD",IF(E3480="[ALT_VIEW]","ALT",""))</f>
        <v/>
      </c>
      <c r="AD3480">
        <f>IF(Y3480&lt;&gt;"",Y3480,IF(U3480&lt;&gt;"",U3480,S3480))</f>
        <v/>
      </c>
      <c r="AE3480">
        <f>IF(AB3480&lt;&gt;"",AB3480,Z3480)</f>
        <v/>
      </c>
    </row>
    <row r="3481">
      <c r="AC3481">
        <f>IF(OR(E3481="",E3481="[PARENT]"),"ADD",IF(E3481="[ALT_VIEW]","ALT",""))</f>
        <v/>
      </c>
      <c r="AD3481">
        <f>IF(Y3481&lt;&gt;"",Y3481,IF(U3481&lt;&gt;"",U3481,S3481))</f>
        <v/>
      </c>
      <c r="AE3481">
        <f>IF(AB3481&lt;&gt;"",AB3481,Z3481)</f>
        <v/>
      </c>
    </row>
    <row r="3482">
      <c r="AC3482">
        <f>IF(OR(E3482="",E3482="[PARENT]"),"ADD",IF(E3482="[ALT_VIEW]","ALT",""))</f>
        <v/>
      </c>
      <c r="AD3482">
        <f>IF(Y3482&lt;&gt;"",Y3482,IF(U3482&lt;&gt;"",U3482,S3482))</f>
        <v/>
      </c>
      <c r="AE3482">
        <f>IF(AB3482&lt;&gt;"",AB3482,Z3482)</f>
        <v/>
      </c>
    </row>
    <row r="3483">
      <c r="AC3483">
        <f>IF(OR(E3483="",E3483="[PARENT]"),"ADD",IF(E3483="[ALT_VIEW]","ALT",""))</f>
        <v/>
      </c>
      <c r="AD3483">
        <f>IF(Y3483&lt;&gt;"",Y3483,IF(U3483&lt;&gt;"",U3483,S3483))</f>
        <v/>
      </c>
      <c r="AE3483">
        <f>IF(AB3483&lt;&gt;"",AB3483,Z3483)</f>
        <v/>
      </c>
    </row>
    <row r="3484">
      <c r="AC3484">
        <f>IF(OR(E3484="",E3484="[PARENT]"),"ADD",IF(E3484="[ALT_VIEW]","ALT",""))</f>
        <v/>
      </c>
      <c r="AD3484">
        <f>IF(Y3484&lt;&gt;"",Y3484,IF(U3484&lt;&gt;"",U3484,S3484))</f>
        <v/>
      </c>
      <c r="AE3484">
        <f>IF(AB3484&lt;&gt;"",AB3484,Z3484)</f>
        <v/>
      </c>
    </row>
    <row r="3485">
      <c r="AC3485">
        <f>IF(OR(E3485="",E3485="[PARENT]"),"ADD",IF(E3485="[ALT_VIEW]","ALT",""))</f>
        <v/>
      </c>
      <c r="AD3485">
        <f>IF(Y3485&lt;&gt;"",Y3485,IF(U3485&lt;&gt;"",U3485,S3485))</f>
        <v/>
      </c>
      <c r="AE3485">
        <f>IF(AB3485&lt;&gt;"",AB3485,Z3485)</f>
        <v/>
      </c>
    </row>
    <row r="3486">
      <c r="AC3486">
        <f>IF(OR(E3486="",E3486="[PARENT]"),"ADD",IF(E3486="[ALT_VIEW]","ALT",""))</f>
        <v/>
      </c>
      <c r="AD3486">
        <f>IF(Y3486&lt;&gt;"",Y3486,IF(U3486&lt;&gt;"",U3486,S3486))</f>
        <v/>
      </c>
      <c r="AE3486">
        <f>IF(AB3486&lt;&gt;"",AB3486,Z3486)</f>
        <v/>
      </c>
    </row>
    <row r="3487">
      <c r="AC3487">
        <f>IF(OR(E3487="",E3487="[PARENT]"),"ADD",IF(E3487="[ALT_VIEW]","ALT",""))</f>
        <v/>
      </c>
      <c r="AD3487">
        <f>IF(Y3487&lt;&gt;"",Y3487,IF(U3487&lt;&gt;"",U3487,S3487))</f>
        <v/>
      </c>
      <c r="AE3487">
        <f>IF(AB3487&lt;&gt;"",AB3487,Z3487)</f>
        <v/>
      </c>
    </row>
    <row r="3488">
      <c r="AC3488">
        <f>IF(OR(E3488="",E3488="[PARENT]"),"ADD",IF(E3488="[ALT_VIEW]","ALT",""))</f>
        <v/>
      </c>
      <c r="AD3488">
        <f>IF(Y3488&lt;&gt;"",Y3488,IF(U3488&lt;&gt;"",U3488,S3488))</f>
        <v/>
      </c>
      <c r="AE3488">
        <f>IF(AB3488&lt;&gt;"",AB3488,Z3488)</f>
        <v/>
      </c>
    </row>
    <row r="3489">
      <c r="AC3489">
        <f>IF(OR(E3489="",E3489="[PARENT]"),"ADD",IF(E3489="[ALT_VIEW]","ALT",""))</f>
        <v/>
      </c>
      <c r="AD3489">
        <f>IF(Y3489&lt;&gt;"",Y3489,IF(U3489&lt;&gt;"",U3489,S3489))</f>
        <v/>
      </c>
      <c r="AE3489">
        <f>IF(AB3489&lt;&gt;"",AB3489,Z3489)</f>
        <v/>
      </c>
    </row>
    <row r="3490">
      <c r="AC3490">
        <f>IF(OR(E3490="",E3490="[PARENT]"),"ADD",IF(E3490="[ALT_VIEW]","ALT",""))</f>
        <v/>
      </c>
      <c r="AD3490">
        <f>IF(Y3490&lt;&gt;"",Y3490,IF(U3490&lt;&gt;"",U3490,S3490))</f>
        <v/>
      </c>
      <c r="AE3490">
        <f>IF(AB3490&lt;&gt;"",AB3490,Z3490)</f>
        <v/>
      </c>
    </row>
    <row r="3491">
      <c r="AC3491">
        <f>IF(OR(E3491="",E3491="[PARENT]"),"ADD",IF(E3491="[ALT_VIEW]","ALT",""))</f>
        <v/>
      </c>
      <c r="AD3491">
        <f>IF(Y3491&lt;&gt;"",Y3491,IF(U3491&lt;&gt;"",U3491,S3491))</f>
        <v/>
      </c>
      <c r="AE3491">
        <f>IF(AB3491&lt;&gt;"",AB3491,Z3491)</f>
        <v/>
      </c>
    </row>
    <row r="3492">
      <c r="AC3492">
        <f>IF(OR(E3492="",E3492="[PARENT]"),"ADD",IF(E3492="[ALT_VIEW]","ALT",""))</f>
        <v/>
      </c>
      <c r="AD3492">
        <f>IF(Y3492&lt;&gt;"",Y3492,IF(U3492&lt;&gt;"",U3492,S3492))</f>
        <v/>
      </c>
      <c r="AE3492">
        <f>IF(AB3492&lt;&gt;"",AB3492,Z3492)</f>
        <v/>
      </c>
    </row>
    <row r="3493">
      <c r="AC3493">
        <f>IF(OR(E3493="",E3493="[PARENT]"),"ADD",IF(E3493="[ALT_VIEW]","ALT",""))</f>
        <v/>
      </c>
      <c r="AD3493">
        <f>IF(Y3493&lt;&gt;"",Y3493,IF(U3493&lt;&gt;"",U3493,S3493))</f>
        <v/>
      </c>
      <c r="AE3493">
        <f>IF(AB3493&lt;&gt;"",AB3493,Z3493)</f>
        <v/>
      </c>
    </row>
    <row r="3494">
      <c r="AC3494">
        <f>IF(OR(E3494="",E3494="[PARENT]"),"ADD",IF(E3494="[ALT_VIEW]","ALT",""))</f>
        <v/>
      </c>
      <c r="AD3494">
        <f>IF(Y3494&lt;&gt;"",Y3494,IF(U3494&lt;&gt;"",U3494,S3494))</f>
        <v/>
      </c>
      <c r="AE3494">
        <f>IF(AB3494&lt;&gt;"",AB3494,Z3494)</f>
        <v/>
      </c>
    </row>
    <row r="3495">
      <c r="AC3495">
        <f>IF(OR(E3495="",E3495="[PARENT]"),"ADD",IF(E3495="[ALT_VIEW]","ALT",""))</f>
        <v/>
      </c>
      <c r="AD3495">
        <f>IF(Y3495&lt;&gt;"",Y3495,IF(U3495&lt;&gt;"",U3495,S3495))</f>
        <v/>
      </c>
      <c r="AE3495">
        <f>IF(AB3495&lt;&gt;"",AB3495,Z3495)</f>
        <v/>
      </c>
    </row>
    <row r="3496">
      <c r="AC3496">
        <f>IF(OR(E3496="",E3496="[PARENT]"),"ADD",IF(E3496="[ALT_VIEW]","ALT",""))</f>
        <v/>
      </c>
      <c r="AD3496">
        <f>IF(Y3496&lt;&gt;"",Y3496,IF(U3496&lt;&gt;"",U3496,S3496))</f>
        <v/>
      </c>
      <c r="AE3496">
        <f>IF(AB3496&lt;&gt;"",AB3496,Z3496)</f>
        <v/>
      </c>
    </row>
    <row r="3497">
      <c r="AC3497">
        <f>IF(OR(E3497="",E3497="[PARENT]"),"ADD",IF(E3497="[ALT_VIEW]","ALT",""))</f>
        <v/>
      </c>
      <c r="AD3497">
        <f>IF(Y3497&lt;&gt;"",Y3497,IF(U3497&lt;&gt;"",U3497,S3497))</f>
        <v/>
      </c>
      <c r="AE3497">
        <f>IF(AB3497&lt;&gt;"",AB3497,Z3497)</f>
        <v/>
      </c>
    </row>
    <row r="3498">
      <c r="AC3498">
        <f>IF(OR(E3498="",E3498="[PARENT]"),"ADD",IF(E3498="[ALT_VIEW]","ALT",""))</f>
        <v/>
      </c>
      <c r="AD3498">
        <f>IF(Y3498&lt;&gt;"",Y3498,IF(U3498&lt;&gt;"",U3498,S3498))</f>
        <v/>
      </c>
      <c r="AE3498">
        <f>IF(AB3498&lt;&gt;"",AB3498,Z3498)</f>
        <v/>
      </c>
    </row>
    <row r="3499">
      <c r="AC3499">
        <f>IF(OR(E3499="",E3499="[PARENT]"),"ADD",IF(E3499="[ALT_VIEW]","ALT",""))</f>
        <v/>
      </c>
      <c r="AD3499">
        <f>IF(Y3499&lt;&gt;"",Y3499,IF(U3499&lt;&gt;"",U3499,S3499))</f>
        <v/>
      </c>
      <c r="AE3499">
        <f>IF(AB3499&lt;&gt;"",AB3499,Z3499)</f>
        <v/>
      </c>
    </row>
    <row r="3500">
      <c r="AC3500">
        <f>IF(OR(E3500="",E3500="[PARENT]"),"ADD",IF(E3500="[ALT_VIEW]","ALT",""))</f>
        <v/>
      </c>
      <c r="AD3500">
        <f>IF(Y3500&lt;&gt;"",Y3500,IF(U3500&lt;&gt;"",U3500,S3500))</f>
        <v/>
      </c>
      <c r="AE3500">
        <f>IF(AB3500&lt;&gt;"",AB3500,Z3500)</f>
        <v/>
      </c>
    </row>
    <row r="3501">
      <c r="AC3501">
        <f>IF(OR(E3501="",E3501="[PARENT]"),"ADD",IF(E3501="[ALT_VIEW]","ALT",""))</f>
        <v/>
      </c>
      <c r="AD3501">
        <f>IF(Y3501&lt;&gt;"",Y3501,IF(U3501&lt;&gt;"",U3501,S3501))</f>
        <v/>
      </c>
      <c r="AE3501">
        <f>IF(AB3501&lt;&gt;"",AB3501,Z3501)</f>
        <v/>
      </c>
    </row>
    <row r="3502">
      <c r="AC3502">
        <f>IF(OR(E3502="",E3502="[PARENT]"),"ADD",IF(E3502="[ALT_VIEW]","ALT",""))</f>
        <v/>
      </c>
      <c r="AD3502">
        <f>IF(Y3502&lt;&gt;"",Y3502,IF(U3502&lt;&gt;"",U3502,S3502))</f>
        <v/>
      </c>
      <c r="AE3502">
        <f>IF(AB3502&lt;&gt;"",AB3502,Z3502)</f>
        <v/>
      </c>
    </row>
    <row r="3503">
      <c r="AC3503">
        <f>IF(OR(E3503="",E3503="[PARENT]"),"ADD",IF(E3503="[ALT_VIEW]","ALT",""))</f>
        <v/>
      </c>
      <c r="AD3503">
        <f>IF(Y3503&lt;&gt;"",Y3503,IF(U3503&lt;&gt;"",U3503,S3503))</f>
        <v/>
      </c>
      <c r="AE3503">
        <f>IF(AB3503&lt;&gt;"",AB3503,Z3503)</f>
        <v/>
      </c>
    </row>
    <row r="3504">
      <c r="AC3504">
        <f>IF(OR(E3504="",E3504="[PARENT]"),"ADD",IF(E3504="[ALT_VIEW]","ALT",""))</f>
        <v/>
      </c>
      <c r="AD3504">
        <f>IF(Y3504&lt;&gt;"",Y3504,IF(U3504&lt;&gt;"",U3504,S3504))</f>
        <v/>
      </c>
      <c r="AE3504">
        <f>IF(AB3504&lt;&gt;"",AB3504,Z3504)</f>
        <v/>
      </c>
    </row>
    <row r="3505">
      <c r="AC3505">
        <f>IF(OR(E3505="",E3505="[PARENT]"),"ADD",IF(E3505="[ALT_VIEW]","ALT",""))</f>
        <v/>
      </c>
      <c r="AD3505">
        <f>IF(Y3505&lt;&gt;"",Y3505,IF(U3505&lt;&gt;"",U3505,S3505))</f>
        <v/>
      </c>
      <c r="AE3505">
        <f>IF(AB3505&lt;&gt;"",AB3505,Z3505)</f>
        <v/>
      </c>
    </row>
    <row r="3506">
      <c r="AC3506">
        <f>IF(OR(E3506="",E3506="[PARENT]"),"ADD",IF(E3506="[ALT_VIEW]","ALT",""))</f>
        <v/>
      </c>
      <c r="AD3506">
        <f>IF(Y3506&lt;&gt;"",Y3506,IF(U3506&lt;&gt;"",U3506,S3506))</f>
        <v/>
      </c>
      <c r="AE3506">
        <f>IF(AB3506&lt;&gt;"",AB3506,Z3506)</f>
        <v/>
      </c>
    </row>
    <row r="3507">
      <c r="AC3507">
        <f>IF(OR(E3507="",E3507="[PARENT]"),"ADD",IF(E3507="[ALT_VIEW]","ALT",""))</f>
        <v/>
      </c>
      <c r="AD3507">
        <f>IF(Y3507&lt;&gt;"",Y3507,IF(U3507&lt;&gt;"",U3507,S3507))</f>
        <v/>
      </c>
      <c r="AE3507">
        <f>IF(AB3507&lt;&gt;"",AB3507,Z3507)</f>
        <v/>
      </c>
    </row>
    <row r="3508">
      <c r="AC3508">
        <f>IF(OR(E3508="",E3508="[PARENT]"),"ADD",IF(E3508="[ALT_VIEW]","ALT",""))</f>
        <v/>
      </c>
      <c r="AD3508">
        <f>IF(Y3508&lt;&gt;"",Y3508,IF(U3508&lt;&gt;"",U3508,S3508))</f>
        <v/>
      </c>
      <c r="AE3508">
        <f>IF(AB3508&lt;&gt;"",AB3508,Z3508)</f>
        <v/>
      </c>
    </row>
    <row r="3509">
      <c r="AC3509">
        <f>IF(OR(E3509="",E3509="[PARENT]"),"ADD",IF(E3509="[ALT_VIEW]","ALT",""))</f>
        <v/>
      </c>
      <c r="AD3509">
        <f>IF(Y3509&lt;&gt;"",Y3509,IF(U3509&lt;&gt;"",U3509,S3509))</f>
        <v/>
      </c>
      <c r="AE3509">
        <f>IF(AB3509&lt;&gt;"",AB3509,Z3509)</f>
        <v/>
      </c>
    </row>
    <row r="3510">
      <c r="AC3510">
        <f>IF(OR(E3510="",E3510="[PARENT]"),"ADD",IF(E3510="[ALT_VIEW]","ALT",""))</f>
        <v/>
      </c>
      <c r="AD3510">
        <f>IF(Y3510&lt;&gt;"",Y3510,IF(U3510&lt;&gt;"",U3510,S3510))</f>
        <v/>
      </c>
      <c r="AE3510">
        <f>IF(AB3510&lt;&gt;"",AB3510,Z3510)</f>
        <v/>
      </c>
    </row>
    <row r="3511">
      <c r="AC3511">
        <f>IF(OR(E3511="",E3511="[PARENT]"),"ADD",IF(E3511="[ALT_VIEW]","ALT",""))</f>
        <v/>
      </c>
      <c r="AD3511">
        <f>IF(Y3511&lt;&gt;"",Y3511,IF(U3511&lt;&gt;"",U3511,S3511))</f>
        <v/>
      </c>
      <c r="AE3511">
        <f>IF(AB3511&lt;&gt;"",AB3511,Z3511)</f>
        <v/>
      </c>
    </row>
    <row r="3512">
      <c r="AC3512">
        <f>IF(OR(E3512="",E3512="[PARENT]"),"ADD",IF(E3512="[ALT_VIEW]","ALT",""))</f>
        <v/>
      </c>
      <c r="AD3512">
        <f>IF(Y3512&lt;&gt;"",Y3512,IF(U3512&lt;&gt;"",U3512,S3512))</f>
        <v/>
      </c>
      <c r="AE3512">
        <f>IF(AB3512&lt;&gt;"",AB3512,Z3512)</f>
        <v/>
      </c>
    </row>
    <row r="3513">
      <c r="AC3513">
        <f>IF(OR(E3513="",E3513="[PARENT]"),"ADD",IF(E3513="[ALT_VIEW]","ALT",""))</f>
        <v/>
      </c>
      <c r="AD3513">
        <f>IF(Y3513&lt;&gt;"",Y3513,IF(U3513&lt;&gt;"",U3513,S3513))</f>
        <v/>
      </c>
      <c r="AE3513">
        <f>IF(AB3513&lt;&gt;"",AB3513,Z3513)</f>
        <v/>
      </c>
    </row>
    <row r="3514">
      <c r="AC3514">
        <f>IF(OR(E3514="",E3514="[PARENT]"),"ADD",IF(E3514="[ALT_VIEW]","ALT",""))</f>
        <v/>
      </c>
      <c r="AD3514">
        <f>IF(Y3514&lt;&gt;"",Y3514,IF(U3514&lt;&gt;"",U3514,S3514))</f>
        <v/>
      </c>
      <c r="AE3514">
        <f>IF(AB3514&lt;&gt;"",AB3514,Z3514)</f>
        <v/>
      </c>
    </row>
    <row r="3515">
      <c r="AC3515">
        <f>IF(OR(E3515="",E3515="[PARENT]"),"ADD",IF(E3515="[ALT_VIEW]","ALT",""))</f>
        <v/>
      </c>
      <c r="AD3515">
        <f>IF(Y3515&lt;&gt;"",Y3515,IF(U3515&lt;&gt;"",U3515,S3515))</f>
        <v/>
      </c>
      <c r="AE3515">
        <f>IF(AB3515&lt;&gt;"",AB3515,Z3515)</f>
        <v/>
      </c>
    </row>
    <row r="3516">
      <c r="AC3516">
        <f>IF(OR(E3516="",E3516="[PARENT]"),"ADD",IF(E3516="[ALT_VIEW]","ALT",""))</f>
        <v/>
      </c>
      <c r="AD3516">
        <f>IF(Y3516&lt;&gt;"",Y3516,IF(U3516&lt;&gt;"",U3516,S3516))</f>
        <v/>
      </c>
      <c r="AE3516">
        <f>IF(AB3516&lt;&gt;"",AB3516,Z3516)</f>
        <v/>
      </c>
    </row>
    <row r="3517">
      <c r="AC3517">
        <f>IF(OR(E3517="",E3517="[PARENT]"),"ADD",IF(E3517="[ALT_VIEW]","ALT",""))</f>
        <v/>
      </c>
      <c r="AD3517">
        <f>IF(Y3517&lt;&gt;"",Y3517,IF(U3517&lt;&gt;"",U3517,S3517))</f>
        <v/>
      </c>
      <c r="AE3517">
        <f>IF(AB3517&lt;&gt;"",AB3517,Z3517)</f>
        <v/>
      </c>
    </row>
    <row r="3518">
      <c r="AC3518">
        <f>IF(OR(E3518="",E3518="[PARENT]"),"ADD",IF(E3518="[ALT_VIEW]","ALT",""))</f>
        <v/>
      </c>
      <c r="AD3518">
        <f>IF(Y3518&lt;&gt;"",Y3518,IF(U3518&lt;&gt;"",U3518,S3518))</f>
        <v/>
      </c>
      <c r="AE3518">
        <f>IF(AB3518&lt;&gt;"",AB3518,Z3518)</f>
        <v/>
      </c>
    </row>
    <row r="3519">
      <c r="AC3519">
        <f>IF(OR(E3519="",E3519="[PARENT]"),"ADD",IF(E3519="[ALT_VIEW]","ALT",""))</f>
        <v/>
      </c>
      <c r="AD3519">
        <f>IF(Y3519&lt;&gt;"",Y3519,IF(U3519&lt;&gt;"",U3519,S3519))</f>
        <v/>
      </c>
      <c r="AE3519">
        <f>IF(AB3519&lt;&gt;"",AB3519,Z3519)</f>
        <v/>
      </c>
    </row>
    <row r="3520">
      <c r="AC3520">
        <f>IF(OR(E3520="",E3520="[PARENT]"),"ADD",IF(E3520="[ALT_VIEW]","ALT",""))</f>
        <v/>
      </c>
      <c r="AD3520">
        <f>IF(Y3520&lt;&gt;"",Y3520,IF(U3520&lt;&gt;"",U3520,S3520))</f>
        <v/>
      </c>
      <c r="AE3520">
        <f>IF(AB3520&lt;&gt;"",AB3520,Z3520)</f>
        <v/>
      </c>
    </row>
    <row r="3521">
      <c r="AC3521">
        <f>IF(OR(E3521="",E3521="[PARENT]"),"ADD",IF(E3521="[ALT_VIEW]","ALT",""))</f>
        <v/>
      </c>
      <c r="AD3521">
        <f>IF(Y3521&lt;&gt;"",Y3521,IF(U3521&lt;&gt;"",U3521,S3521))</f>
        <v/>
      </c>
      <c r="AE3521">
        <f>IF(AB3521&lt;&gt;"",AB3521,Z3521)</f>
        <v/>
      </c>
    </row>
    <row r="3522">
      <c r="AC3522">
        <f>IF(OR(E3522="",E3522="[PARENT]"),"ADD",IF(E3522="[ALT_VIEW]","ALT",""))</f>
        <v/>
      </c>
      <c r="AD3522">
        <f>IF(Y3522&lt;&gt;"",Y3522,IF(U3522&lt;&gt;"",U3522,S3522))</f>
        <v/>
      </c>
      <c r="AE3522">
        <f>IF(AB3522&lt;&gt;"",AB3522,Z3522)</f>
        <v/>
      </c>
    </row>
    <row r="3523">
      <c r="AC3523">
        <f>IF(OR(E3523="",E3523="[PARENT]"),"ADD",IF(E3523="[ALT_VIEW]","ALT",""))</f>
        <v/>
      </c>
      <c r="AD3523">
        <f>IF(Y3523&lt;&gt;"",Y3523,IF(U3523&lt;&gt;"",U3523,S3523))</f>
        <v/>
      </c>
      <c r="AE3523">
        <f>IF(AB3523&lt;&gt;"",AB3523,Z3523)</f>
        <v/>
      </c>
    </row>
    <row r="3524">
      <c r="AC3524">
        <f>IF(OR(E3524="",E3524="[PARENT]"),"ADD",IF(E3524="[ALT_VIEW]","ALT",""))</f>
        <v/>
      </c>
      <c r="AD3524">
        <f>IF(Y3524&lt;&gt;"",Y3524,IF(U3524&lt;&gt;"",U3524,S3524))</f>
        <v/>
      </c>
      <c r="AE3524">
        <f>IF(AB3524&lt;&gt;"",AB3524,Z3524)</f>
        <v/>
      </c>
    </row>
    <row r="3525">
      <c r="AC3525">
        <f>IF(OR(E3525="",E3525="[PARENT]"),"ADD",IF(E3525="[ALT_VIEW]","ALT",""))</f>
        <v/>
      </c>
      <c r="AD3525">
        <f>IF(Y3525&lt;&gt;"",Y3525,IF(U3525&lt;&gt;"",U3525,S3525))</f>
        <v/>
      </c>
      <c r="AE3525">
        <f>IF(AB3525&lt;&gt;"",AB3525,Z3525)</f>
        <v/>
      </c>
    </row>
    <row r="3526">
      <c r="AC3526">
        <f>IF(OR(E3526="",E3526="[PARENT]"),"ADD",IF(E3526="[ALT_VIEW]","ALT",""))</f>
        <v/>
      </c>
      <c r="AD3526">
        <f>IF(Y3526&lt;&gt;"",Y3526,IF(U3526&lt;&gt;"",U3526,S3526))</f>
        <v/>
      </c>
      <c r="AE3526">
        <f>IF(AB3526&lt;&gt;"",AB3526,Z3526)</f>
        <v/>
      </c>
    </row>
    <row r="3527">
      <c r="AC3527">
        <f>IF(OR(E3527="",E3527="[PARENT]"),"ADD",IF(E3527="[ALT_VIEW]","ALT",""))</f>
        <v/>
      </c>
      <c r="AD3527">
        <f>IF(Y3527&lt;&gt;"",Y3527,IF(U3527&lt;&gt;"",U3527,S3527))</f>
        <v/>
      </c>
      <c r="AE3527">
        <f>IF(AB3527&lt;&gt;"",AB3527,Z3527)</f>
        <v/>
      </c>
    </row>
    <row r="3528">
      <c r="AC3528">
        <f>IF(OR(E3528="",E3528="[PARENT]"),"ADD",IF(E3528="[ALT_VIEW]","ALT",""))</f>
        <v/>
      </c>
      <c r="AD3528">
        <f>IF(Y3528&lt;&gt;"",Y3528,IF(U3528&lt;&gt;"",U3528,S3528))</f>
        <v/>
      </c>
      <c r="AE3528">
        <f>IF(AB3528&lt;&gt;"",AB3528,Z3528)</f>
        <v/>
      </c>
    </row>
    <row r="3529">
      <c r="AC3529">
        <f>IF(OR(E3529="",E3529="[PARENT]"),"ADD",IF(E3529="[ALT_VIEW]","ALT",""))</f>
        <v/>
      </c>
      <c r="AD3529">
        <f>IF(Y3529&lt;&gt;"",Y3529,IF(U3529&lt;&gt;"",U3529,S3529))</f>
        <v/>
      </c>
      <c r="AE3529">
        <f>IF(AB3529&lt;&gt;"",AB3529,Z3529)</f>
        <v/>
      </c>
    </row>
    <row r="3530">
      <c r="AC3530">
        <f>IF(OR(E3530="",E3530="[PARENT]"),"ADD",IF(E3530="[ALT_VIEW]","ALT",""))</f>
        <v/>
      </c>
      <c r="AD3530">
        <f>IF(Y3530&lt;&gt;"",Y3530,IF(U3530&lt;&gt;"",U3530,S3530))</f>
        <v/>
      </c>
      <c r="AE3530">
        <f>IF(AB3530&lt;&gt;"",AB3530,Z3530)</f>
        <v/>
      </c>
    </row>
    <row r="3531">
      <c r="AC3531">
        <f>IF(OR(E3531="",E3531="[PARENT]"),"ADD",IF(E3531="[ALT_VIEW]","ALT",""))</f>
        <v/>
      </c>
      <c r="AD3531">
        <f>IF(Y3531&lt;&gt;"",Y3531,IF(U3531&lt;&gt;"",U3531,S3531))</f>
        <v/>
      </c>
      <c r="AE3531">
        <f>IF(AB3531&lt;&gt;"",AB3531,Z3531)</f>
        <v/>
      </c>
    </row>
    <row r="3532">
      <c r="AC3532">
        <f>IF(OR(E3532="",E3532="[PARENT]"),"ADD",IF(E3532="[ALT_VIEW]","ALT",""))</f>
        <v/>
      </c>
      <c r="AD3532">
        <f>IF(Y3532&lt;&gt;"",Y3532,IF(U3532&lt;&gt;"",U3532,S3532))</f>
        <v/>
      </c>
      <c r="AE3532">
        <f>IF(AB3532&lt;&gt;"",AB3532,Z3532)</f>
        <v/>
      </c>
    </row>
    <row r="3533">
      <c r="AC3533">
        <f>IF(OR(E3533="",E3533="[PARENT]"),"ADD",IF(E3533="[ALT_VIEW]","ALT",""))</f>
        <v/>
      </c>
      <c r="AD3533">
        <f>IF(Y3533&lt;&gt;"",Y3533,IF(U3533&lt;&gt;"",U3533,S3533))</f>
        <v/>
      </c>
      <c r="AE3533">
        <f>IF(AB3533&lt;&gt;"",AB3533,Z3533)</f>
        <v/>
      </c>
    </row>
    <row r="3534">
      <c r="AC3534">
        <f>IF(OR(E3534="",E3534="[PARENT]"),"ADD",IF(E3534="[ALT_VIEW]","ALT",""))</f>
        <v/>
      </c>
      <c r="AD3534">
        <f>IF(Y3534&lt;&gt;"",Y3534,IF(U3534&lt;&gt;"",U3534,S3534))</f>
        <v/>
      </c>
      <c r="AE3534">
        <f>IF(AB3534&lt;&gt;"",AB3534,Z3534)</f>
        <v/>
      </c>
    </row>
    <row r="3535">
      <c r="AC3535">
        <f>IF(OR(E3535="",E3535="[PARENT]"),"ADD",IF(E3535="[ALT_VIEW]","ALT",""))</f>
        <v/>
      </c>
      <c r="AD3535">
        <f>IF(Y3535&lt;&gt;"",Y3535,IF(U3535&lt;&gt;"",U3535,S3535))</f>
        <v/>
      </c>
      <c r="AE3535">
        <f>IF(AB3535&lt;&gt;"",AB3535,Z3535)</f>
        <v/>
      </c>
    </row>
    <row r="3536">
      <c r="AC3536">
        <f>IF(OR(E3536="",E3536="[PARENT]"),"ADD",IF(E3536="[ALT_VIEW]","ALT",""))</f>
        <v/>
      </c>
      <c r="AD3536">
        <f>IF(Y3536&lt;&gt;"",Y3536,IF(U3536&lt;&gt;"",U3536,S3536))</f>
        <v/>
      </c>
      <c r="AE3536">
        <f>IF(AB3536&lt;&gt;"",AB3536,Z3536)</f>
        <v/>
      </c>
    </row>
    <row r="3537">
      <c r="AC3537">
        <f>IF(OR(E3537="",E3537="[PARENT]"),"ADD",IF(E3537="[ALT_VIEW]","ALT",""))</f>
        <v/>
      </c>
      <c r="AD3537">
        <f>IF(Y3537&lt;&gt;"",Y3537,IF(U3537&lt;&gt;"",U3537,S3537))</f>
        <v/>
      </c>
      <c r="AE3537">
        <f>IF(AB3537&lt;&gt;"",AB3537,Z3537)</f>
        <v/>
      </c>
    </row>
    <row r="3538">
      <c r="AC3538">
        <f>IF(OR(E3538="",E3538="[PARENT]"),"ADD",IF(E3538="[ALT_VIEW]","ALT",""))</f>
        <v/>
      </c>
      <c r="AD3538">
        <f>IF(Y3538&lt;&gt;"",Y3538,IF(U3538&lt;&gt;"",U3538,S3538))</f>
        <v/>
      </c>
      <c r="AE3538">
        <f>IF(AB3538&lt;&gt;"",AB3538,Z3538)</f>
        <v/>
      </c>
    </row>
    <row r="3539">
      <c r="AC3539">
        <f>IF(OR(E3539="",E3539="[PARENT]"),"ADD",IF(E3539="[ALT_VIEW]","ALT",""))</f>
        <v/>
      </c>
      <c r="AD3539">
        <f>IF(Y3539&lt;&gt;"",Y3539,IF(U3539&lt;&gt;"",U3539,S3539))</f>
        <v/>
      </c>
      <c r="AE3539">
        <f>IF(AB3539&lt;&gt;"",AB3539,Z3539)</f>
        <v/>
      </c>
    </row>
    <row r="3540">
      <c r="AC3540">
        <f>IF(OR(E3540="",E3540="[PARENT]"),"ADD",IF(E3540="[ALT_VIEW]","ALT",""))</f>
        <v/>
      </c>
      <c r="AD3540">
        <f>IF(Y3540&lt;&gt;"",Y3540,IF(U3540&lt;&gt;"",U3540,S3540))</f>
        <v/>
      </c>
      <c r="AE3540">
        <f>IF(AB3540&lt;&gt;"",AB3540,Z3540)</f>
        <v/>
      </c>
    </row>
    <row r="3541">
      <c r="AC3541">
        <f>IF(OR(E3541="",E3541="[PARENT]"),"ADD",IF(E3541="[ALT_VIEW]","ALT",""))</f>
        <v/>
      </c>
      <c r="AD3541">
        <f>IF(Y3541&lt;&gt;"",Y3541,IF(U3541&lt;&gt;"",U3541,S3541))</f>
        <v/>
      </c>
      <c r="AE3541">
        <f>IF(AB3541&lt;&gt;"",AB3541,Z3541)</f>
        <v/>
      </c>
    </row>
    <row r="3542">
      <c r="AC3542">
        <f>IF(OR(E3542="",E3542="[PARENT]"),"ADD",IF(E3542="[ALT_VIEW]","ALT",""))</f>
        <v/>
      </c>
      <c r="AD3542">
        <f>IF(Y3542&lt;&gt;"",Y3542,IF(U3542&lt;&gt;"",U3542,S3542))</f>
        <v/>
      </c>
      <c r="AE3542">
        <f>IF(AB3542&lt;&gt;"",AB3542,Z3542)</f>
        <v/>
      </c>
    </row>
    <row r="3543">
      <c r="AC3543">
        <f>IF(OR(E3543="",E3543="[PARENT]"),"ADD",IF(E3543="[ALT_VIEW]","ALT",""))</f>
        <v/>
      </c>
      <c r="AD3543">
        <f>IF(Y3543&lt;&gt;"",Y3543,IF(U3543&lt;&gt;"",U3543,S3543))</f>
        <v/>
      </c>
      <c r="AE3543">
        <f>IF(AB3543&lt;&gt;"",AB3543,Z3543)</f>
        <v/>
      </c>
    </row>
    <row r="3544">
      <c r="AC3544">
        <f>IF(OR(E3544="",E3544="[PARENT]"),"ADD",IF(E3544="[ALT_VIEW]","ALT",""))</f>
        <v/>
      </c>
      <c r="AD3544">
        <f>IF(Y3544&lt;&gt;"",Y3544,IF(U3544&lt;&gt;"",U3544,S3544))</f>
        <v/>
      </c>
      <c r="AE3544">
        <f>IF(AB3544&lt;&gt;"",AB3544,Z3544)</f>
        <v/>
      </c>
    </row>
    <row r="3545">
      <c r="AC3545">
        <f>IF(OR(E3545="",E3545="[PARENT]"),"ADD",IF(E3545="[ALT_VIEW]","ALT",""))</f>
        <v/>
      </c>
      <c r="AD3545">
        <f>IF(Y3545&lt;&gt;"",Y3545,IF(U3545&lt;&gt;"",U3545,S3545))</f>
        <v/>
      </c>
      <c r="AE3545">
        <f>IF(AB3545&lt;&gt;"",AB3545,Z3545)</f>
        <v/>
      </c>
    </row>
    <row r="3546">
      <c r="AC3546">
        <f>IF(OR(E3546="",E3546="[PARENT]"),"ADD",IF(E3546="[ALT_VIEW]","ALT",""))</f>
        <v/>
      </c>
      <c r="AD3546">
        <f>IF(Y3546&lt;&gt;"",Y3546,IF(U3546&lt;&gt;"",U3546,S3546))</f>
        <v/>
      </c>
      <c r="AE3546">
        <f>IF(AB3546&lt;&gt;"",AB3546,Z3546)</f>
        <v/>
      </c>
    </row>
    <row r="3547">
      <c r="AC3547">
        <f>IF(OR(E3547="",E3547="[PARENT]"),"ADD",IF(E3547="[ALT_VIEW]","ALT",""))</f>
        <v/>
      </c>
      <c r="AD3547">
        <f>IF(Y3547&lt;&gt;"",Y3547,IF(U3547&lt;&gt;"",U3547,S3547))</f>
        <v/>
      </c>
      <c r="AE3547">
        <f>IF(AB3547&lt;&gt;"",AB3547,Z3547)</f>
        <v/>
      </c>
    </row>
    <row r="3548">
      <c r="AC3548">
        <f>IF(OR(E3548="",E3548="[PARENT]"),"ADD",IF(E3548="[ALT_VIEW]","ALT",""))</f>
        <v/>
      </c>
      <c r="AD3548">
        <f>IF(Y3548&lt;&gt;"",Y3548,IF(U3548&lt;&gt;"",U3548,S3548))</f>
        <v/>
      </c>
      <c r="AE3548">
        <f>IF(AB3548&lt;&gt;"",AB3548,Z3548)</f>
        <v/>
      </c>
    </row>
    <row r="3549">
      <c r="AC3549">
        <f>IF(OR(E3549="",E3549="[PARENT]"),"ADD",IF(E3549="[ALT_VIEW]","ALT",""))</f>
        <v/>
      </c>
      <c r="AD3549">
        <f>IF(Y3549&lt;&gt;"",Y3549,IF(U3549&lt;&gt;"",U3549,S3549))</f>
        <v/>
      </c>
      <c r="AE3549">
        <f>IF(AB3549&lt;&gt;"",AB3549,Z3549)</f>
        <v/>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Navy + USCG appropriations for vessel-related activity,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WPN</t>
        </is>
      </c>
      <c r="B36" s="31">
        <f>SUMIFS(JB_26BV,JB_A,"WPN",JB_RC,"ADD")</f>
        <v/>
      </c>
    </row>
    <row r="37" ht="10" customHeight="1">
      <c r="A37" s="30" t="inlineStr">
        <is>
          <t>OPN_BA1</t>
        </is>
      </c>
      <c r="B37" s="31">
        <f>SUMIFS(JB_26BV,JB_A,"OPN_BA1",JB_RC,"ADD")</f>
        <v/>
      </c>
    </row>
    <row r="38" ht="10" customHeight="1">
      <c r="A38" s="30" t="inlineStr">
        <is>
          <t>OPN_BA2</t>
        </is>
      </c>
      <c r="B38" s="31">
        <f>SUMIFS(JB_26BV,JB_A,"OPN_BA2",JB_RC,"ADD")</f>
        <v/>
      </c>
    </row>
    <row r="39" ht="10" customHeight="1">
      <c r="A39" s="30" t="inlineStr">
        <is>
          <t>OPN_BA5-8</t>
        </is>
      </c>
      <c r="B39" s="31">
        <f>SUMIFS(JB_26BV,JB_A,"OPN_BA5-8",JB_RC,"ADD")</f>
        <v/>
      </c>
    </row>
    <row r="40" ht="10" customHeight="1">
      <c r="A40" s="30" t="inlineStr">
        <is>
          <t>OPN_BA4</t>
        </is>
      </c>
      <c r="B40" s="31">
        <f>SUMIFS(JB_26BV,JB_A,"OPN_BA4",JB_RC,"ADD")</f>
        <v/>
      </c>
    </row>
    <row r="41" ht="10" customHeight="1">
      <c r="A41" s="30" t="inlineStr">
        <is>
          <t>USCG</t>
        </is>
      </c>
      <c r="B41" s="31">
        <f>SUMIFS(JB_26BV,JB_A,"USCG",JB_RC,"ADD")</f>
        <v/>
      </c>
    </row>
    <row r="42" ht="10" customHeight="1">
      <c r="A42" s="30" t="inlineStr">
        <is>
          <t>OPN_BA3</t>
        </is>
      </c>
      <c r="B42" s="31">
        <f>SUMIFS(JB_26BV,JB_A,"OPN_BA3",JB_RC,"ADD")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75"/>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New Construction scoped to Combatant Ships, Auxiliary Ships, USCG Cutters &amp; Unmanned Platforms</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2" t="inlineStr">
        <is>
          <t>Newbuild TAM</t>
        </is>
      </c>
      <c r="B9" s="33">
        <f>SUMIFS(JB_26BV,JB_B,1,JB_V,"Auxiliary Ships",JB_RC,"ADD")+SUMIFS(JB_26BV,JB_B,1,JB_V,"Combatant Ships",JB_RC,"ADD")+SUMIFS(JB_26BV,JB_B,1,JB_V,"Cutters",JB_RC,"ADD")+SUMIFS(JB_26BV,JB_B,1,JB_V,"Unmanned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FY2026 ($K)</t>
        </is>
      </c>
      <c r="D13" s="29" t="inlineStr">
        <is>
          <t>% of TAM</t>
        </is>
      </c>
    </row>
    <row r="14" ht="10" customHeight="1">
      <c r="A14" s="30" t="inlineStr">
        <is>
          <t>Submarines</t>
        </is>
      </c>
      <c r="B14" s="30" t="inlineStr">
        <is>
          <t>USN</t>
        </is>
      </c>
      <c r="C14" s="31">
        <f>SUMIFS(JB_26BV,JB_B,1,JB_W,"Submarines",JB_RC,"ADD")</f>
        <v/>
      </c>
      <c r="D14" s="37">
        <f>IFERROR(C14/C$42,0)</f>
        <v/>
      </c>
    </row>
    <row r="15" ht="10" customHeight="1">
      <c r="A15" s="30" t="inlineStr">
        <is>
          <t>Surface Combatants</t>
        </is>
      </c>
      <c r="B15" s="30" t="inlineStr">
        <is>
          <t>USN</t>
        </is>
      </c>
      <c r="C15" s="31">
        <f>SUMIFS(JB_26BV,JB_B,1,JB_W,"Surface Combatants",JB_RC,"ADD")</f>
        <v/>
      </c>
      <c r="D15" s="37">
        <f>IFERROR(C15/C$42,0)</f>
        <v/>
      </c>
    </row>
    <row r="16" ht="10" customHeight="1">
      <c r="A16" s="30" t="inlineStr">
        <is>
          <t>Aircraft Carriers</t>
        </is>
      </c>
      <c r="B16" s="30" t="inlineStr">
        <is>
          <t>USN</t>
        </is>
      </c>
      <c r="C16" s="31">
        <f>SUMIFS(JB_26BV,JB_B,1,JB_W,"Aircraft Carriers",JB_RC,"ADD")</f>
        <v/>
      </c>
      <c r="D16" s="37">
        <f>IFERROR(C16/C$42,0)</f>
        <v/>
      </c>
    </row>
    <row r="17" ht="10" customHeight="1">
      <c r="A17" s="30" t="inlineStr">
        <is>
          <t>Expeditionary &amp; Seabasing Ships</t>
        </is>
      </c>
      <c r="B17" s="30" t="inlineStr">
        <is>
          <t>USN</t>
        </is>
      </c>
      <c r="C17" s="31">
        <f>SUMIFS(JB_26BV,JB_B,1,JB_W,"Expeditionary &amp; Seabasing Ships",JB_RC,"ADD")</f>
        <v/>
      </c>
      <c r="D17" s="37">
        <f>IFERROR(C17/C$42,0)</f>
        <v/>
      </c>
    </row>
    <row r="18" ht="10" customHeight="1">
      <c r="A18" s="30" t="inlineStr">
        <is>
          <t>Combat Logistics Ships</t>
        </is>
      </c>
      <c r="B18" s="30" t="inlineStr">
        <is>
          <t>MSC</t>
        </is>
      </c>
      <c r="C18" s="31">
        <f>SUMIFS(JB_26BV,JB_B,1,JB_W,"Combat Logistics Ships",JB_RC,"ADD")</f>
        <v/>
      </c>
      <c r="D18" s="37">
        <f>IFERROR(C18/C$42,0)</f>
        <v/>
      </c>
    </row>
    <row r="19" ht="10" customHeight="1">
      <c r="A19" s="30" t="inlineStr">
        <is>
          <t>Amphibious Warfare Ships</t>
        </is>
      </c>
      <c r="B19" s="30" t="inlineStr">
        <is>
          <t>USN</t>
        </is>
      </c>
      <c r="C19" s="31">
        <f>SUMIFS(JB_26BV,JB_B,1,JB_W,"Amphibious Warfare Ships",JB_RC,"ADD")</f>
        <v/>
      </c>
      <c r="D19" s="37">
        <f>IFERROR(C19/C$42,0)</f>
        <v/>
      </c>
    </row>
    <row r="20" ht="10" customHeight="1">
      <c r="A20" s="30" t="inlineStr">
        <is>
          <t>Unmanned Surface Vehicles</t>
        </is>
      </c>
      <c r="B20" s="30" t="inlineStr">
        <is>
          <t>USN</t>
        </is>
      </c>
      <c r="C20" s="31">
        <f>SUMIFS(JB_26BV,JB_B,1,JB_W,"Unmanned Surface Vehicles",JB_RC,"ADD")</f>
        <v/>
      </c>
      <c r="D20" s="37">
        <f>IFERROR(C20/C$42,0)</f>
        <v/>
      </c>
    </row>
    <row r="21" ht="10" customHeight="1">
      <c r="A21" s="30" t="inlineStr">
        <is>
          <t>Cargo &amp; Vehicle Cargo Ships</t>
        </is>
      </c>
      <c r="B21" s="30" t="inlineStr">
        <is>
          <t>USN</t>
        </is>
      </c>
      <c r="C21" s="31">
        <f>SUMIFS(JB_26BV,JB_B,1,JB_W,"Cargo &amp; Vehicle Cargo Ships",JB_RC,"ADD")</f>
        <v/>
      </c>
      <c r="D21" s="37">
        <f>IFERROR(C21/C$42,0)</f>
        <v/>
      </c>
    </row>
    <row r="22" ht="10" customHeight="1">
      <c r="A22" s="30" t="inlineStr">
        <is>
          <t>Surveillance Ships</t>
        </is>
      </c>
      <c r="B22" s="30" t="inlineStr">
        <is>
          <t>USN</t>
        </is>
      </c>
      <c r="C22" s="31">
        <f>SUMIFS(JB_26BV,JB_B,1,JB_W,"Surveillance Ships",JB_RC,"ADD")</f>
        <v/>
      </c>
      <c r="D22" s="37">
        <f>IFERROR(C22/C$42,0)</f>
        <v/>
      </c>
    </row>
    <row r="23" ht="10" customHeight="1">
      <c r="A23" s="30" t="inlineStr">
        <is>
          <t>Unmanned Undersea Vehicles</t>
        </is>
      </c>
      <c r="B23" s="30" t="inlineStr">
        <is>
          <t>USN</t>
        </is>
      </c>
      <c r="C23" s="31">
        <f>SUMIFS(JB_26BV,JB_B,1,JB_W,"Unmanned Undersea Vehicles",JB_RC,"ADD")</f>
        <v/>
      </c>
      <c r="D23" s="37">
        <f>IFERROR(C23/C$42,0)</f>
        <v/>
      </c>
    </row>
    <row r="24" ht="10" customHeight="1">
      <c r="A24" s="30" t="inlineStr">
        <is>
          <t>Salvage Ships &amp; Fleet Ocean Tugs</t>
        </is>
      </c>
      <c r="B24" s="30" t="inlineStr">
        <is>
          <t>MSC</t>
        </is>
      </c>
      <c r="C24" s="31">
        <f>SUMIFS(JB_26BV,JB_B,1,JB_W,"Salvage Ships &amp; Fleet Ocean Tugs",JB_RC,"ADD")</f>
        <v/>
      </c>
      <c r="D24" s="37">
        <f>IFERROR(C24/C$42,0)</f>
        <v/>
      </c>
    </row>
    <row r="25" ht="10" customHeight="1">
      <c r="A25" s="30" t="inlineStr">
        <is>
          <t>Research, Survey &amp; Instrumentation Ships</t>
        </is>
      </c>
      <c r="B25" s="30" t="inlineStr">
        <is>
          <t>MSC</t>
        </is>
      </c>
      <c r="C25" s="31">
        <f>SUMIFS(JB_26BV,JB_B,1,JB_W,"Research, Survey &amp; Instrumentation Ships",JB_RC,"ADD")</f>
        <v/>
      </c>
      <c r="D25" s="37">
        <f>IFERROR(C25/C$42,0)</f>
        <v/>
      </c>
    </row>
    <row r="26" ht="10" customHeight="1">
      <c r="A26" s="30" t="inlineStr">
        <is>
          <t>Aviation Logistics Support Ship</t>
        </is>
      </c>
      <c r="B26" s="30" t="inlineStr">
        <is>
          <t>USN</t>
        </is>
      </c>
      <c r="C26" s="31">
        <f>SUMIFS(JB_26BV,JB_B,1,JB_W,"Aviation Logistics Support Ship",JB_RC,"ADD")</f>
        <v/>
      </c>
      <c r="D26" s="37">
        <f>IFERROR(C26/C$42,0)</f>
        <v/>
      </c>
    </row>
    <row r="27" ht="10" customHeight="1">
      <c r="A27" s="30" t="inlineStr">
        <is>
          <t>Hospital Ship</t>
        </is>
      </c>
      <c r="B27" s="30" t="inlineStr">
        <is>
          <t>MSC</t>
        </is>
      </c>
      <c r="C27" s="31">
        <f>SUMIFS(JB_26BV,JB_B,1,JB_W,"Hospital Ship",JB_RC,"ADD")</f>
        <v/>
      </c>
      <c r="D27" s="37">
        <f>IFERROR(C27/C$42,0)</f>
        <v/>
      </c>
    </row>
    <row r="28" ht="10" customHeight="1">
      <c r="A28" s="30" t="inlineStr">
        <is>
          <t>Mine Warfare</t>
        </is>
      </c>
      <c r="B28" s="30" t="inlineStr">
        <is>
          <t>USN</t>
        </is>
      </c>
      <c r="C28" s="31">
        <f>SUMIFS(JB_26BV,JB_B,1,JB_W,"Mine Warfare",JB_RC,"ADD")</f>
        <v/>
      </c>
      <c r="D28" s="37">
        <f>IFERROR(C28/C$42,0)</f>
        <v/>
      </c>
    </row>
    <row r="29" ht="10" customHeight="1">
      <c r="A29" s="30" t="inlineStr">
        <is>
          <t>Submarine Escort Ship</t>
        </is>
      </c>
      <c r="B29" s="30" t="inlineStr">
        <is>
          <t>USN</t>
        </is>
      </c>
      <c r="C29" s="31">
        <f>SUMIFS(JB_26BV,JB_B,1,JB_W,"Submarine Escort Ship",JB_RC,"ADD")</f>
        <v/>
      </c>
      <c r="D29" s="37">
        <f>IFERROR(C29/C$42,0)</f>
        <v/>
      </c>
    </row>
    <row r="30" ht="10" customHeight="1">
      <c r="A30" s="30" t="inlineStr">
        <is>
          <t>General Auxiliary</t>
        </is>
      </c>
      <c r="B30" s="30" t="inlineStr">
        <is>
          <t>USN</t>
        </is>
      </c>
      <c r="C30" s="31">
        <f>SUMIFS(JB_26BV,JB_B,1,JB_W,"General Auxiliary",JB_RC,"ADD")</f>
        <v/>
      </c>
      <c r="D30" s="37">
        <f>IFERROR(C30/C$42,0)</f>
        <v/>
      </c>
    </row>
    <row r="31" ht="10" customHeight="1">
      <c r="A31" s="30" t="inlineStr">
        <is>
          <t>High Speed Transport</t>
        </is>
      </c>
      <c r="B31" s="30" t="inlineStr">
        <is>
          <t>USN</t>
        </is>
      </c>
      <c r="C31" s="31">
        <f>SUMIFS(JB_26BV,JB_B,1,JB_W,"High Speed Transport",JB_RC,"ADD")</f>
        <v/>
      </c>
      <c r="D31" s="37">
        <f>IFERROR(C31/C$42,0)</f>
        <v/>
      </c>
    </row>
    <row r="32" ht="10" customHeight="1">
      <c r="A32" s="30" t="inlineStr">
        <is>
          <t>Material Support Ships</t>
        </is>
      </c>
      <c r="B32" s="30" t="inlineStr">
        <is>
          <t>USN</t>
        </is>
      </c>
      <c r="C32" s="31">
        <f>SUMIFS(JB_26BV,JB_B,1,JB_W,"Material Support Ships",JB_RC,"ADD")</f>
        <v/>
      </c>
      <c r="D32" s="37">
        <f>IFERROR(C32/C$42,0)</f>
        <v/>
      </c>
    </row>
    <row r="33" ht="10" customHeight="1">
      <c r="A33" s="30" t="inlineStr">
        <is>
          <t>Command Ships</t>
        </is>
      </c>
      <c r="B33" s="30" t="inlineStr">
        <is>
          <t>USN</t>
        </is>
      </c>
      <c r="C33" s="31">
        <f>SUMIFS(JB_26BV,JB_B,1,JB_W,"Command Ships",JB_RC,"ADD")</f>
        <v/>
      </c>
      <c r="D33" s="37">
        <f>IFERROR(C33/C$42,0)</f>
        <v/>
      </c>
    </row>
    <row r="34" ht="10" customHeight="1">
      <c r="A34" s="30" t="inlineStr">
        <is>
          <t>Crane Ship</t>
        </is>
      </c>
      <c r="B34" s="30" t="inlineStr">
        <is>
          <t>USN</t>
        </is>
      </c>
      <c r="C34" s="31">
        <f>SUMIFS(JB_26BV,JB_B,1,JB_W,"Crane Ship",JB_RC,"ADD")</f>
        <v/>
      </c>
      <c r="D34" s="37">
        <f>IFERROR(C34/C$42,0)</f>
        <v/>
      </c>
    </row>
    <row r="35" ht="10" customHeight="1">
      <c r="A35" s="30" t="inlineStr">
        <is>
          <t>Offshore Patrol Cutter</t>
        </is>
      </c>
      <c r="B35" s="30" t="inlineStr">
        <is>
          <t>USCG</t>
        </is>
      </c>
      <c r="C35" s="31">
        <f>SUMIFS(JB_26BV,JB_B,1,JB_W,"Offshore Patrol Cutter",JB_RC,"ADD")</f>
        <v/>
      </c>
      <c r="D35" s="37">
        <f>IFERROR(C35/C$42,0)</f>
        <v/>
      </c>
    </row>
    <row r="36" ht="10" customHeight="1">
      <c r="A36" s="30" t="inlineStr">
        <is>
          <t>Fast Response Cutters</t>
        </is>
      </c>
      <c r="B36" s="30" t="inlineStr">
        <is>
          <t>USCG</t>
        </is>
      </c>
      <c r="C36" s="31">
        <f>SUMIFS(JB_26BV,JB_B,1,JB_W,"Fast Response Cutters",JB_RC,"ADD")</f>
        <v/>
      </c>
      <c r="D36" s="37">
        <f>IFERROR(C36/C$42,0)</f>
        <v/>
      </c>
    </row>
    <row r="37" ht="10" customHeight="1">
      <c r="A37" s="30" t="inlineStr">
        <is>
          <t>Icebreakers, Oceangoing</t>
        </is>
      </c>
      <c r="B37" s="30" t="inlineStr">
        <is>
          <t>USCG</t>
        </is>
      </c>
      <c r="C37" s="31">
        <f>SUMIFS(JB_26BV,JB_B,1,JB_W,"Icebreakers, Oceangoing",JB_RC,"ADD")</f>
        <v/>
      </c>
      <c r="D37" s="37">
        <f>IFERROR(C37/C$42,0)</f>
        <v/>
      </c>
    </row>
    <row r="38" ht="10" customHeight="1">
      <c r="A38" s="30" t="inlineStr">
        <is>
          <t>Waterways Commerce Cutters</t>
        </is>
      </c>
      <c r="B38" s="30" t="inlineStr">
        <is>
          <t>USCG</t>
        </is>
      </c>
      <c r="C38" s="31">
        <f>SUMIFS(JB_26BV,JB_B,1,JB_W,"Waterways Commerce Cutters",JB_RC,"ADD")</f>
        <v/>
      </c>
      <c r="D38" s="37">
        <f>IFERROR(C38/C$42,0)</f>
        <v/>
      </c>
    </row>
    <row r="39" ht="10" customHeight="1">
      <c r="A39" s="30" t="inlineStr">
        <is>
          <t>National Security Cutters</t>
        </is>
      </c>
      <c r="B39" s="30" t="inlineStr">
        <is>
          <t>USCG</t>
        </is>
      </c>
      <c r="C39" s="31">
        <f>SUMIFS(JB_26BV,JB_B,1,JB_W,"National Security Cutters",JB_RC,"ADD")</f>
        <v/>
      </c>
      <c r="D39" s="37">
        <f>IFERROR(C39/C$42,0)</f>
        <v/>
      </c>
    </row>
    <row r="40" ht="10" customHeight="1">
      <c r="A40" s="30" t="inlineStr">
        <is>
          <t>Coastal Buoy Tenders</t>
        </is>
      </c>
      <c r="B40" s="30" t="inlineStr">
        <is>
          <t>USCG</t>
        </is>
      </c>
      <c r="C40" s="31">
        <f>SUMIFS(JB_26BV,JB_B,1,JB_W,"Coastal Buoy Tenders",JB_RC,"ADD")</f>
        <v/>
      </c>
      <c r="D40" s="37">
        <f>IFERROR(C40/C$42,0)</f>
        <v/>
      </c>
    </row>
    <row r="41" ht="10" customHeight="1">
      <c r="A41" s="30" t="inlineStr">
        <is>
          <t>Icebreakers, Great Lakes</t>
        </is>
      </c>
      <c r="B41" s="30" t="inlineStr">
        <is>
          <t>USCG</t>
        </is>
      </c>
      <c r="C41" s="31">
        <f>SUMIFS(JB_26BV,JB_B,1,JB_W,"Icebreakers, Great Lakes",JB_RC,"ADD")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c r="O45" s="28" t="n"/>
      <c r="P45" s="28" t="n"/>
      <c r="Q45" s="28" t="n"/>
    </row>
    <row r="46" ht="10" customHeight="1">
      <c r="A46" s="39" t="n"/>
      <c r="B46" s="40" t="inlineStr">
        <is>
          <t>USN</t>
        </is>
      </c>
      <c r="C46" s="39" t="n"/>
      <c r="D46" s="39" t="n"/>
      <c r="E46" s="39" t="n"/>
      <c r="F46" s="39" t="n"/>
      <c r="G46" s="39" t="n"/>
      <c r="H46" s="39" t="n"/>
      <c r="I46" s="39" t="n"/>
      <c r="J46" s="39" t="n"/>
      <c r="K46" s="39" t="n"/>
      <c r="L46" s="39" t="n"/>
      <c r="M46" s="40" t="inlineStr">
        <is>
          <t>USCG</t>
        </is>
      </c>
      <c r="N46" s="39" t="n"/>
      <c r="O46" s="39" t="n"/>
      <c r="P46" s="39" t="n"/>
      <c r="Q46" s="41" t="n"/>
    </row>
    <row r="47" ht="10" customHeight="1">
      <c r="A47" s="29" t="inlineStr">
        <is>
          <t>Sub-Category</t>
        </is>
      </c>
      <c r="B47" s="42" t="inlineStr">
        <is>
          <t>Submarines</t>
        </is>
      </c>
      <c r="C47" s="29" t="inlineStr">
        <is>
          <t>Surface Combatants</t>
        </is>
      </c>
      <c r="D47" s="29" t="inlineStr">
        <is>
          <t>Aircraft Carriers</t>
        </is>
      </c>
      <c r="E47" s="29" t="inlineStr">
        <is>
          <t>Expeditionary &amp; Seabasing Ships</t>
        </is>
      </c>
      <c r="F47" s="29" t="inlineStr">
        <is>
          <t>Combat Logistics Ships</t>
        </is>
      </c>
      <c r="G47" s="29" t="inlineStr">
        <is>
          <t>Amphibious Warfare Ships</t>
        </is>
      </c>
      <c r="H47" s="29" t="inlineStr">
        <is>
          <t>Unmanned Surface Vehicles</t>
        </is>
      </c>
      <c r="I47" s="29" t="inlineStr">
        <is>
          <t>Cargo &amp; Vehicle Cargo Ships</t>
        </is>
      </c>
      <c r="J47" s="29" t="inlineStr">
        <is>
          <t>Surveillance Ships</t>
        </is>
      </c>
      <c r="K47" s="29" t="inlineStr">
        <is>
          <t>Unmanned Undersea Vehicles</t>
        </is>
      </c>
      <c r="L47" s="29" t="inlineStr">
        <is>
          <t>Salvage Ships &amp; Fleet Ocean Tugs</t>
        </is>
      </c>
      <c r="M47" s="42" t="inlineStr">
        <is>
          <t>Offshore Patrol Cutter</t>
        </is>
      </c>
      <c r="N47" s="29" t="inlineStr">
        <is>
          <t>Fast Response Cutters</t>
        </is>
      </c>
      <c r="O47" s="29" t="inlineStr">
        <is>
          <t>Icebreakers, Oceangoing</t>
        </is>
      </c>
      <c r="P47" s="29" t="inlineStr">
        <is>
          <t>Waterways Commerce Cutters</t>
        </is>
      </c>
      <c r="Q47" s="42" t="inlineStr">
        <is>
          <t>Total</t>
        </is>
      </c>
    </row>
    <row r="48" ht="10" customHeight="1">
      <c r="A48" s="30" t="inlineStr">
        <is>
          <t>Full Ship DD&amp;C</t>
        </is>
      </c>
      <c r="B48" s="43">
        <f>IFERROR((SUMIFS(JB_26BV,JB_B,1,JB_W,"Submarines",JB_F,"Full ship DD&amp;C",JB_RC,"ADD")+SUMIFS(JB_26BV,JB_B,1,JB_W,"Submarines",JB_F,"Full ship DD&amp;C / LLTM",JB_RC,"ADD")+SUMIFS(JB_26BV,JB_B,1,JB_W,"Submarines",JB_F,"Full vessel procurement",JB_RC,"ADD"))/B$51,0)</f>
        <v/>
      </c>
      <c r="C48" s="37">
        <f>IFERROR((SUMIFS(JB_26BV,JB_B,1,JB_W,"Surface Combatants",JB_F,"Full ship DD&amp;C",JB_RC,"ADD")+SUMIFS(JB_26BV,JB_B,1,JB_W,"Surface Combatants",JB_F,"Full ship DD&amp;C / LLTM",JB_RC,"ADD")+SUMIFS(JB_26BV,JB_B,1,JB_W,"Surface Combatants",JB_F,"Full vessel procurement",JB_RC,"ADD"))/C$51,0)</f>
        <v/>
      </c>
      <c r="D48" s="37">
        <f>IFERROR((SUMIFS(JB_26BV,JB_B,1,JB_W,"Aircraft Carriers",JB_F,"Full ship DD&amp;C",JB_RC,"ADD")+SUMIFS(JB_26BV,JB_B,1,JB_W,"Aircraft Carriers",JB_F,"Full ship DD&amp;C / LLTM",JB_RC,"ADD")+SUMIFS(JB_26BV,JB_B,1,JB_W,"Aircraft Carriers",JB_F,"Full vessel procurement",JB_RC,"ADD"))/D$51,0)</f>
        <v/>
      </c>
      <c r="E48" s="37">
        <f>IFERROR((SUMIFS(JB_26BV,JB_B,1,JB_W,"Expeditionary &amp; Seabasing Ships",JB_F,"Full ship DD&amp;C",JB_RC,"ADD")+SUMIFS(JB_26BV,JB_B,1,JB_W,"Expeditionary &amp; Seabasing Ships",JB_F,"Full ship DD&amp;C / LLTM",JB_RC,"ADD")+SUMIFS(JB_26BV,JB_B,1,JB_W,"Expeditionary &amp; Seabasing Ships",JB_F,"Full vessel procurement",JB_RC,"ADD"))/E$51,0)</f>
        <v/>
      </c>
      <c r="F48" s="37">
        <f>IFERROR((SUMIFS(JB_26BV,JB_B,1,JB_W,"Combat Logistics Ships",JB_F,"Full ship DD&amp;C",JB_RC,"ADD")+SUMIFS(JB_26BV,JB_B,1,JB_W,"Combat Logistics Ships",JB_F,"Full ship DD&amp;C / LLTM",JB_RC,"ADD")+SUMIFS(JB_26BV,JB_B,1,JB_W,"Combat Logistics Ships",JB_F,"Full vessel procurement",JB_RC,"ADD"))/F$51,0)</f>
        <v/>
      </c>
      <c r="G48" s="37">
        <f>IFERROR((SUMIFS(JB_26BV,JB_B,1,JB_W,"Amphibious Warfare Ships",JB_F,"Full ship DD&amp;C",JB_RC,"ADD")+SUMIFS(JB_26BV,JB_B,1,JB_W,"Amphibious Warfare Ships",JB_F,"Full ship DD&amp;C / LLTM",JB_RC,"ADD")+SUMIFS(JB_26BV,JB_B,1,JB_W,"Amphibious Warfare Ships",JB_F,"Full vessel procurement",JB_RC,"ADD"))/G$51,0)</f>
        <v/>
      </c>
      <c r="H48" s="37">
        <f>IFERROR((SUMIFS(JB_26BV,JB_B,1,JB_W,"Unmanned Surface Vehicles",JB_F,"Full ship DD&amp;C",JB_RC,"ADD")+SUMIFS(JB_26BV,JB_B,1,JB_W,"Unmanned Surface Vehicles",JB_F,"Full ship DD&amp;C / LLTM",JB_RC,"ADD")+SUMIFS(JB_26BV,JB_B,1,JB_W,"Unmanned Surface Vehicles",JB_F,"Full vessel procurement",JB_RC,"ADD"))/H$51,0)</f>
        <v/>
      </c>
      <c r="I48" s="37">
        <f>IFERROR((SUMIFS(JB_26BV,JB_B,1,JB_W,"Cargo &amp; Vehicle Cargo Ships",JB_F,"Full ship DD&amp;C",JB_RC,"ADD")+SUMIFS(JB_26BV,JB_B,1,JB_W,"Cargo &amp; Vehicle Cargo Ships",JB_F,"Full ship DD&amp;C / LLTM",JB_RC,"ADD")+SUMIFS(JB_26BV,JB_B,1,JB_W,"Cargo &amp; Vehicle Cargo Ships",JB_F,"Full vessel procurement",JB_RC,"ADD"))/I$51,0)</f>
        <v/>
      </c>
      <c r="J48" s="37">
        <f>IFERROR((SUMIFS(JB_26BV,JB_B,1,JB_W,"Surveillance Ships",JB_F,"Full ship DD&amp;C",JB_RC,"ADD")+SUMIFS(JB_26BV,JB_B,1,JB_W,"Surveillance Ships",JB_F,"Full ship DD&amp;C / LLTM",JB_RC,"ADD")+SUMIFS(JB_26BV,JB_B,1,JB_W,"Surveillance Ships",JB_F,"Full vessel procurement",JB_RC,"ADD"))/J$51,0)</f>
        <v/>
      </c>
      <c r="K48" s="37">
        <f>IFERROR((SUMIFS(JB_26BV,JB_B,1,JB_W,"Unmanned Undersea Vehicles",JB_F,"Full ship DD&amp;C",JB_RC,"ADD")+SUMIFS(JB_26BV,JB_B,1,JB_W,"Unmanned Undersea Vehicles",JB_F,"Full ship DD&amp;C / LLTM",JB_RC,"ADD")+SUMIFS(JB_26BV,JB_B,1,JB_W,"Unmanned Undersea Vehicles",JB_F,"Full vessel procurement",JB_RC,"ADD"))/K$51,0)</f>
        <v/>
      </c>
      <c r="L48" s="37">
        <f>IFERROR((SUMIFS(JB_26BV,JB_B,1,JB_W,"Salvage Ships &amp; Fleet Ocean Tugs",JB_F,"Full ship DD&amp;C",JB_RC,"ADD")+SUMIFS(JB_26BV,JB_B,1,JB_W,"Salvage Ships &amp; Fleet Ocean Tugs",JB_F,"Full ship DD&amp;C / LLTM",JB_RC,"ADD")+SUMIFS(JB_26BV,JB_B,1,JB_W,"Salvage Ships &amp; Fleet Ocean Tugs",JB_F,"Full vessel procurement",JB_RC,"ADD"))/L$51,0)</f>
        <v/>
      </c>
      <c r="M48" s="43">
        <f>IFERROR((SUMIFS(JB_26BV,JB_B,1,JB_W,"Offshore Patrol Cutter",JB_F,"Full ship DD&amp;C",JB_RC,"ADD")+SUMIFS(JB_26BV,JB_B,1,JB_W,"Offshore Patrol Cutter",JB_F,"Full ship DD&amp;C / LLTM",JB_RC,"ADD")+SUMIFS(JB_26BV,JB_B,1,JB_W,"Offshore Patrol Cutter",JB_F,"Full vessel procurement",JB_RC,"ADD"))/M$51,0)</f>
        <v/>
      </c>
      <c r="N48" s="37">
        <f>IFERROR((SUMIFS(JB_26BV,JB_B,1,JB_W,"Fast Response Cutters",JB_F,"Full ship DD&amp;C",JB_RC,"ADD")+SUMIFS(JB_26BV,JB_B,1,JB_W,"Fast Response Cutters",JB_F,"Full ship DD&amp;C / LLTM",JB_RC,"ADD")+SUMIFS(JB_26BV,JB_B,1,JB_W,"Fast Response Cutters",JB_F,"Full vessel procurement",JB_RC,"ADD"))/N$51,0)</f>
        <v/>
      </c>
      <c r="O48" s="37">
        <f>IFERROR((SUMIFS(JB_26BV,JB_B,1,JB_W,"Icebreakers, Oceangoing",JB_F,"Full ship DD&amp;C",JB_RC,"ADD")+SUMIFS(JB_26BV,JB_B,1,JB_W,"Icebreakers, Oceangoing",JB_F,"Full ship DD&amp;C / LLTM",JB_RC,"ADD")+SUMIFS(JB_26BV,JB_B,1,JB_W,"Icebreakers, Oceangoing",JB_F,"Full vessel procurement",JB_RC,"ADD"))/O$51,0)</f>
        <v/>
      </c>
      <c r="P48" s="37">
        <f>IFERROR((SUMIFS(JB_26BV,JB_B,1,JB_W,"Waterways Commerce Cutters",JB_F,"Full ship DD&amp;C",JB_RC,"ADD")+SUMIFS(JB_26BV,JB_B,1,JB_W,"Waterways Commerce Cutters",JB_F,"Full ship DD&amp;C / LLTM",JB_RC,"ADD")+SUMIFS(JB_26BV,JB_B,1,JB_W,"Waterways Commerce Cutters",JB_F,"Full vessel procurement",JB_RC,"ADD"))/P$51,0)</f>
        <v/>
      </c>
      <c r="Q48" s="43">
        <f>IFERROR(1-Q49,0)</f>
        <v/>
      </c>
    </row>
    <row r="49" ht="10" customHeight="1">
      <c r="A49" s="30" t="inlineStr">
        <is>
          <t>Advance Procurement / LLTM</t>
        </is>
      </c>
      <c r="B49" s="43">
        <f>IFERROR((SUMIFS(JB_26BV,JB_B,1,JB_W,"Submarines",JB_F,"Advance procurement / LLTM",JB_RC,"ADD"))/B$51,0)</f>
        <v/>
      </c>
      <c r="C49" s="37">
        <f>IFERROR((SUMIFS(JB_26BV,JB_B,1,JB_W,"Surface Combatants",JB_F,"Advance procurement / LLTM",JB_RC,"ADD"))/C$51,0)</f>
        <v/>
      </c>
      <c r="D49" s="37">
        <f>IFERROR((SUMIFS(JB_26BV,JB_B,1,JB_W,"Aircraft Carriers",JB_F,"Advance procurement / LLTM",JB_RC,"ADD"))/D$51,0)</f>
        <v/>
      </c>
      <c r="E49" s="37">
        <f>IFERROR((SUMIFS(JB_26BV,JB_B,1,JB_W,"Expeditionary &amp; Seabasing Ships",JB_F,"Advance procurement / LLTM",JB_RC,"ADD"))/E$51,0)</f>
        <v/>
      </c>
      <c r="F49" s="37">
        <f>IFERROR((SUMIFS(JB_26BV,JB_B,1,JB_W,"Combat Logistics Ships",JB_F,"Advance procurement / LLTM",JB_RC,"ADD"))/F$51,0)</f>
        <v/>
      </c>
      <c r="G49" s="37">
        <f>IFERROR((SUMIFS(JB_26BV,JB_B,1,JB_W,"Amphibious Warfare Ships",JB_F,"Advance procurement / LLTM",JB_RC,"ADD"))/G$51,0)</f>
        <v/>
      </c>
      <c r="H49" s="37">
        <f>IFERROR((SUMIFS(JB_26BV,JB_B,1,JB_W,"Unmanned Surface Vehicles",JB_F,"Advance procurement / LLTM",JB_RC,"ADD"))/H$51,0)</f>
        <v/>
      </c>
      <c r="I49" s="37">
        <f>IFERROR((SUMIFS(JB_26BV,JB_B,1,JB_W,"Cargo &amp; Vehicle Cargo Ships",JB_F,"Advance procurement / LLTM",JB_RC,"ADD"))/I$51,0)</f>
        <v/>
      </c>
      <c r="J49" s="37">
        <f>IFERROR((SUMIFS(JB_26BV,JB_B,1,JB_W,"Surveillance Ships",JB_F,"Advance procurement / LLTM",JB_RC,"ADD"))/J$51,0)</f>
        <v/>
      </c>
      <c r="K49" s="37">
        <f>IFERROR((SUMIFS(JB_26BV,JB_B,1,JB_W,"Unmanned Undersea Vehicles",JB_F,"Advance procurement / LLTM",JB_RC,"ADD"))/K$51,0)</f>
        <v/>
      </c>
      <c r="L49" s="37">
        <f>IFERROR((SUMIFS(JB_26BV,JB_B,1,JB_W,"Salvage Ships &amp; Fleet Ocean Tugs",JB_F,"Advance procurement / LLTM",JB_RC,"ADD"))/L$51,0)</f>
        <v/>
      </c>
      <c r="M49" s="43">
        <f>IFERROR((SUMIFS(JB_26BV,JB_B,1,JB_W,"Offshore Patrol Cutter",JB_F,"Advance procurement / LLTM",JB_RC,"ADD"))/M$51,0)</f>
        <v/>
      </c>
      <c r="N49" s="37">
        <f>IFERROR((SUMIFS(JB_26BV,JB_B,1,JB_W,"Fast Response Cutters",JB_F,"Advance procurement / LLTM",JB_RC,"ADD"))/N$51,0)</f>
        <v/>
      </c>
      <c r="O49" s="37">
        <f>IFERROR((SUMIFS(JB_26BV,JB_B,1,JB_W,"Icebreakers, Oceangoing",JB_F,"Advance procurement / LLTM",JB_RC,"ADD"))/O$51,0)</f>
        <v/>
      </c>
      <c r="P49" s="37">
        <f>IFERROR((SUMIFS(JB_26BV,JB_B,1,JB_W,"Waterways Commerce Cutters",JB_F,"Advance procurement / LLTM",JB_RC,"ADD"))/P$51,0)</f>
        <v/>
      </c>
      <c r="Q49"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LLTM",JB_RC,"ADD"))/Q$51,0)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43">
        <f>IFERROR(1-M48-M49,0)</f>
        <v/>
      </c>
      <c r="N50" s="37">
        <f>IFERROR(1-N48-N49,0)</f>
        <v/>
      </c>
      <c r="O50" s="37">
        <f>IFERROR(1-O48-O49,0)</f>
        <v/>
      </c>
      <c r="P50" s="37">
        <f>IFERROR(1-P48-P49,0)</f>
        <v/>
      </c>
      <c r="Q50" s="43">
        <f>IFERROR(1-Q48-Q49,0)</f>
        <v/>
      </c>
    </row>
    <row r="51" ht="10" customHeight="1">
      <c r="A51" s="32" t="inlineStr">
        <is>
          <t>Total ($K)</t>
        </is>
      </c>
      <c r="B51" s="44">
        <f>SUMIFS(JB_26BV,JB_B,1,JB_W,"Submarines",JB_RC,"ADD")</f>
        <v/>
      </c>
      <c r="C51" s="33">
        <f>SUMIFS(JB_26BV,JB_B,1,JB_W,"Surface Combatants",JB_RC,"ADD")</f>
        <v/>
      </c>
      <c r="D51" s="33">
        <f>SUMIFS(JB_26BV,JB_B,1,JB_W,"Aircraft Carriers",JB_RC,"ADD")</f>
        <v/>
      </c>
      <c r="E51" s="33">
        <f>SUMIFS(JB_26BV,JB_B,1,JB_W,"Expeditionary &amp; Seabasing Ships",JB_RC,"ADD")</f>
        <v/>
      </c>
      <c r="F51" s="33">
        <f>SUMIFS(JB_26BV,JB_B,1,JB_W,"Combat Logistics Ships",JB_RC,"ADD")</f>
        <v/>
      </c>
      <c r="G51" s="33">
        <f>SUMIFS(JB_26BV,JB_B,1,JB_W,"Amphibious Warfare Ships",JB_RC,"ADD")</f>
        <v/>
      </c>
      <c r="H51" s="33">
        <f>SUMIFS(JB_26BV,JB_B,1,JB_W,"Unmanned Surface Vehicles",JB_RC,"ADD")</f>
        <v/>
      </c>
      <c r="I51" s="33">
        <f>SUMIFS(JB_26BV,JB_B,1,JB_W,"Cargo &amp; Vehicle Cargo Ships",JB_RC,"ADD")</f>
        <v/>
      </c>
      <c r="J51" s="33">
        <f>SUMIFS(JB_26BV,JB_B,1,JB_W,"Surveillance Ships",JB_RC,"ADD")</f>
        <v/>
      </c>
      <c r="K51" s="33">
        <f>SUMIFS(JB_26BV,JB_B,1,JB_W,"Unmanned Undersea Vehicles",JB_RC,"ADD")</f>
        <v/>
      </c>
      <c r="L51" s="33">
        <f>SUMIFS(JB_26BV,JB_B,1,JB_W,"Salvage Ships &amp; Fleet Ocean Tugs",JB_RC,"ADD")</f>
        <v/>
      </c>
      <c r="M51" s="44">
        <f>SUMIFS(JB_26BV,JB_B,1,JB_W,"Offshore Patrol Cutter",JB_RC,"ADD")</f>
        <v/>
      </c>
      <c r="N51" s="33">
        <f>SUMIFS(JB_26BV,JB_B,1,JB_W,"Fast Response Cutters",JB_RC,"ADD")</f>
        <v/>
      </c>
      <c r="O51" s="33">
        <f>SUMIFS(JB_26BV,JB_B,1,JB_W,"Icebreakers, Oceangoing",JB_RC,"ADD")</f>
        <v/>
      </c>
      <c r="P51" s="33">
        <f>SUMIFS(JB_26BV,JB_B,1,JB_W,"Waterways Commerce Cutters",JB_RC,"ADD")</f>
        <v/>
      </c>
      <c r="Q51" s="44">
        <f>SUM(B51:P51)</f>
        <v/>
      </c>
    </row>
    <row r="52" ht="10" customHeight="1"/>
    <row r="53" ht="10" customHeight="1"/>
    <row r="54" ht="10" customHeight="1">
      <c r="A54" s="27" t="inlineStr">
        <is>
          <t>(D) Newbuild TAM by Hull Program — FY2026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FY2026 ($K)</t>
        </is>
      </c>
      <c r="D56" s="29" t="inlineStr">
        <is>
          <t>% of TAM</t>
        </is>
      </c>
    </row>
    <row r="57" ht="10" customHeight="1">
      <c r="A57" s="30" t="inlineStr">
        <is>
          <t>SSN (Submarines)</t>
        </is>
      </c>
      <c r="B57" s="30" t="inlineStr">
        <is>
          <t>USN</t>
        </is>
      </c>
      <c r="C57" s="31">
        <f>SUMIFS(JB_26BV,JB_B,1,JB_H,"SSN",JB_RC,"ADD")</f>
        <v/>
      </c>
      <c r="D57" s="37">
        <f>IFERROR(C57/C$75,0)</f>
        <v/>
      </c>
    </row>
    <row r="58" ht="10" customHeight="1">
      <c r="A58" s="30" t="inlineStr">
        <is>
          <t>SSBN (Submarines)</t>
        </is>
      </c>
      <c r="B58" s="30" t="inlineStr">
        <is>
          <t>USN</t>
        </is>
      </c>
      <c r="C58" s="31">
        <f>SUMIFS(JB_26BV,JB_B,1,JB_H,"SSBN",JB_RC,"ADD")</f>
        <v/>
      </c>
      <c r="D58" s="37">
        <f>IFERROR(C58/C$75,0)</f>
        <v/>
      </c>
    </row>
    <row r="59" ht="10" customHeight="1">
      <c r="A59" s="30" t="inlineStr">
        <is>
          <t>DDG (Surface Combatants)</t>
        </is>
      </c>
      <c r="B59" s="30" t="inlineStr">
        <is>
          <t>USN</t>
        </is>
      </c>
      <c r="C59" s="31">
        <f>SUMIFS(JB_26BV,JB_B,1,JB_H,"DDG",JB_RC,"ADD")</f>
        <v/>
      </c>
      <c r="D59" s="37">
        <f>IFERROR(C59/C$75,0)</f>
        <v/>
      </c>
    </row>
    <row r="60" ht="10" customHeight="1">
      <c r="A60" s="30" t="inlineStr">
        <is>
          <t>CVN (Aircraft Carriers)</t>
        </is>
      </c>
      <c r="B60" s="30" t="inlineStr">
        <is>
          <t>USN</t>
        </is>
      </c>
      <c r="C60" s="31">
        <f>SUMIFS(JB_26BV,JB_B,1,JB_H,"CVN",JB_RC,"ADD")</f>
        <v/>
      </c>
      <c r="D60" s="37">
        <f>IFERROR(C60/C$75,0)</f>
        <v/>
      </c>
    </row>
    <row r="61" ht="10" customHeight="1">
      <c r="A61" s="30" t="inlineStr">
        <is>
          <t>LSM (Expeditionary &amp; Seabasing Ships)</t>
        </is>
      </c>
      <c r="B61" s="30" t="inlineStr">
        <is>
          <t>USN</t>
        </is>
      </c>
      <c r="C61" s="31">
        <f>SUMIFS(JB_26BV,JB_B,1,JB_H,"LSM",JB_RC,"ADD")</f>
        <v/>
      </c>
      <c r="D61" s="37">
        <f>IFERROR(C61/C$75,0)</f>
        <v/>
      </c>
    </row>
    <row r="62" ht="10" customHeight="1">
      <c r="A62" s="30" t="inlineStr">
        <is>
          <t>T-AO (Combat Logistics Ships)</t>
        </is>
      </c>
      <c r="B62" s="30" t="inlineStr">
        <is>
          <t>MSC</t>
        </is>
      </c>
      <c r="C62" s="31">
        <f>SUMIFS(JB_26BV,JB_B,1,JB_H,"T-AO",JB_RC,"ADD")</f>
        <v/>
      </c>
      <c r="D62" s="37">
        <f>IFERROR(C62/C$75,0)</f>
        <v/>
      </c>
    </row>
    <row r="63" ht="10" customHeight="1">
      <c r="A63" s="30" t="inlineStr">
        <is>
          <t>MUSV (Unmanned Surface Vehicles)</t>
        </is>
      </c>
      <c r="B63" s="30" t="inlineStr">
        <is>
          <t>USN</t>
        </is>
      </c>
      <c r="C63" s="31">
        <f>SUMIFS(JB_26BV,JB_B,1,JB_H,"MUSV",JB_RC,"ADD")</f>
        <v/>
      </c>
      <c r="D63" s="37">
        <f>IFERROR(C63/C$75,0)</f>
        <v/>
      </c>
    </row>
    <row r="64" ht="10" customHeight="1">
      <c r="A64" s="30" t="inlineStr">
        <is>
          <t>LPD (Amphibious Warfare Ships)</t>
        </is>
      </c>
      <c r="B64" s="30" t="inlineStr">
        <is>
          <t>USN</t>
        </is>
      </c>
      <c r="C64" s="31">
        <f>SUMIFS(JB_26BV,JB_B,1,JB_H,"LPD",JB_RC,"ADD")</f>
        <v/>
      </c>
      <c r="D64" s="37">
        <f>IFERROR(C64/C$75,0)</f>
        <v/>
      </c>
    </row>
    <row r="65" ht="10" customHeight="1">
      <c r="A65" s="30" t="inlineStr">
        <is>
          <t>T-AK / T-AKR (Cargo &amp; Vehicle Cargo Ships)</t>
        </is>
      </c>
      <c r="B65" s="30" t="inlineStr">
        <is>
          <t>MSC</t>
        </is>
      </c>
      <c r="C65" s="31">
        <f>SUMIFS(JB_26BV,JB_B,1,JB_H,"T-AK / T-AKR",JB_RC,"ADD")</f>
        <v/>
      </c>
      <c r="D65" s="37">
        <f>IFERROR(C65/C$75,0)</f>
        <v/>
      </c>
    </row>
    <row r="66" ht="10" customHeight="1">
      <c r="A66" s="30" t="inlineStr">
        <is>
          <t>LHA (Amphibious Warfare Ships)</t>
        </is>
      </c>
      <c r="B66" s="30" t="inlineStr">
        <is>
          <t>USN</t>
        </is>
      </c>
      <c r="C66" s="31">
        <f>SUMIFS(JB_26BV,JB_B,1,JB_H,"LHA",JB_RC,"ADD")</f>
        <v/>
      </c>
      <c r="D66" s="37">
        <f>IFERROR(C66/C$75,0)</f>
        <v/>
      </c>
    </row>
    <row r="67" ht="10" customHeight="1">
      <c r="A67" s="30" t="inlineStr">
        <is>
          <t>T-AGOS (Surveillance Ships)</t>
        </is>
      </c>
      <c r="B67" s="30" t="inlineStr">
        <is>
          <t>MSC</t>
        </is>
      </c>
      <c r="C67" s="31">
        <f>SUMIFS(JB_26BV,JB_B,1,JB_H,"T-AGOS",JB_RC,"ADD")</f>
        <v/>
      </c>
      <c r="D67" s="37">
        <f>IFERROR(C67/C$75,0)</f>
        <v/>
      </c>
    </row>
    <row r="68" ht="10" customHeight="1">
      <c r="A68" s="30" t="inlineStr">
        <is>
          <t>FFG (Surface Combatants)</t>
        </is>
      </c>
      <c r="B68" s="30" t="inlineStr">
        <is>
          <t>USN</t>
        </is>
      </c>
      <c r="C68" s="31">
        <f>SUMIFS(JB_26BV,JB_B,1,JB_H,"FFG",JB_RC,"ADD")</f>
        <v/>
      </c>
      <c r="D68" s="37">
        <f>IFERROR(C68/C$75,0)</f>
        <v/>
      </c>
    </row>
    <row r="69" ht="10" customHeight="1">
      <c r="A69" s="30" t="inlineStr">
        <is>
          <t>UUV (Unmanned Undersea Vehicles)</t>
        </is>
      </c>
      <c r="B69" s="30" t="inlineStr">
        <is>
          <t>USN</t>
        </is>
      </c>
      <c r="C69" s="31">
        <f>SUMIFS(JB_26BV,JB_B,1,JB_H,"UUV",JB_RC,"ADD")</f>
        <v/>
      </c>
      <c r="D69" s="37">
        <f>IFERROR(C69/C$75,0)</f>
        <v/>
      </c>
    </row>
    <row r="70" ht="10" customHeight="1">
      <c r="A70" s="30" t="inlineStr">
        <is>
          <t>T-ATS (Salvage Ships &amp; Fleet Ocean Tugs)</t>
        </is>
      </c>
      <c r="B70" s="30" t="inlineStr">
        <is>
          <t>MSC</t>
        </is>
      </c>
      <c r="C70" s="31">
        <f>SUMIFS(JB_26BV,JB_B,1,JB_H,"T-ATS",JB_RC,"ADD")</f>
        <v/>
      </c>
      <c r="D70" s="37">
        <f>IFERROR(C70/C$75,0)</f>
        <v/>
      </c>
    </row>
    <row r="71" ht="10" customHeight="1">
      <c r="A71" s="30" t="inlineStr">
        <is>
          <t>WMSM (Offshore Patrol Cutter)</t>
        </is>
      </c>
      <c r="B71" s="30" t="inlineStr">
        <is>
          <t>USCG</t>
        </is>
      </c>
      <c r="C71" s="31">
        <f>SUMIFS(JB_26BV,JB_B,1,JB_H,"WMSM",JB_RC,"ADD")</f>
        <v/>
      </c>
      <c r="D71" s="37">
        <f>IFERROR(C71/C$75,0)</f>
        <v/>
      </c>
    </row>
    <row r="72" ht="10" customHeight="1">
      <c r="A72" s="30" t="inlineStr">
        <is>
          <t>WPC (Fast Response Cutters)</t>
        </is>
      </c>
      <c r="B72" s="30" t="inlineStr">
        <is>
          <t>USCG</t>
        </is>
      </c>
      <c r="C72" s="31">
        <f>SUMIFS(JB_26BV,JB_B,1,JB_H,"WPC",JB_RC,"ADD")</f>
        <v/>
      </c>
      <c r="D72" s="37">
        <f>IFERROR(C72/C$75,0)</f>
        <v/>
      </c>
    </row>
    <row r="73" ht="10" customHeight="1">
      <c r="A73" s="30" t="inlineStr">
        <is>
          <t>WAGB (Icebreakers, Oceangoing)</t>
        </is>
      </c>
      <c r="B73" s="30" t="inlineStr">
        <is>
          <t>USCG</t>
        </is>
      </c>
      <c r="C73" s="31">
        <f>SUMIFS(JB_26BV,JB_B,1,JB_H,"WAGB",JB_RC,"ADD")</f>
        <v/>
      </c>
      <c r="D73" s="37">
        <f>IFERROR(C73/C$75,0)</f>
        <v/>
      </c>
    </row>
    <row r="74" ht="10" customHeight="1">
      <c r="A74" s="30" t="inlineStr">
        <is>
          <t>WCC (Waterways Commerce Cutters)</t>
        </is>
      </c>
      <c r="B74" s="30" t="inlineStr">
        <is>
          <t>USCG</t>
        </is>
      </c>
      <c r="C74" s="31">
        <f>SUMIFS(JB_26BV,JB_B,1,JB_H,"WCC",JB_RC,"ADD")</f>
        <v/>
      </c>
      <c r="D74" s="37">
        <f>IFERROR(C74/C$75,0)</f>
        <v/>
      </c>
    </row>
    <row r="75" ht="10" customHeight="1">
      <c r="A75" s="32" t="inlineStr">
        <is>
          <t>Newbuild TAM</t>
        </is>
      </c>
      <c r="B75" s="32" t="inlineStr"/>
      <c r="C75" s="33">
        <f>SUM(C57:C74)</f>
        <v/>
      </c>
      <c r="D75" s="38" t="n">
        <v>1</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106"/>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24" t="inlineStr">
        <is>
          <t>Newbuild SAM — FY2026 ($K)</t>
        </is>
      </c>
      <c r="B1" s="25" t="n"/>
      <c r="C1" s="25" t="n"/>
      <c r="D1" s="25" t="n"/>
      <c r="E1" s="25" t="n"/>
      <c r="F1" s="25" t="n"/>
      <c r="G1" s="25" t="n"/>
      <c r="H1" s="25" t="n"/>
      <c r="I1" s="25" t="n"/>
      <c r="J1" s="25" t="n"/>
      <c r="K1" s="25" t="n"/>
      <c r="L1" s="25" t="n"/>
      <c r="M1" s="25" t="n"/>
      <c r="N1" s="25" t="n"/>
      <c r="O1" s="25" t="n"/>
    </row>
    <row r="2" ht="10" customHeight="1">
      <c r="A2" s="26" t="inlineStr">
        <is>
          <t>Newbuild TAM excluding vessel types not addressable by PA</t>
        </is>
      </c>
    </row>
    <row r="3" ht="10" customHeight="1"/>
    <row r="4" ht="10" customHeight="1">
      <c r="A4" s="27" t="inlineStr">
        <is>
          <t>(A) Bridge: Newbuild TAM → Newbuild SAM</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FY2026 ($K)</t>
        </is>
      </c>
      <c r="D13" s="29" t="inlineStr">
        <is>
          <t>% of SAM</t>
        </is>
      </c>
    </row>
    <row r="14" ht="10" customHeight="1">
      <c r="A14" s="30" t="inlineStr">
        <is>
          <t>Surface Combatants</t>
        </is>
      </c>
      <c r="B14" s="30" t="inlineStr">
        <is>
          <t>USN</t>
        </is>
      </c>
      <c r="C14" s="31">
        <f>SUMIFS(JB_26BV,JB_B,1,JB_W,"Surface Combatants",JB_RC,"ADD")</f>
        <v/>
      </c>
      <c r="D14" s="37">
        <f>IFERROR(C14/C$39,0)</f>
        <v/>
      </c>
    </row>
    <row r="15" ht="10" customHeight="1">
      <c r="A15" s="30" t="inlineStr">
        <is>
          <t>Expeditionary &amp; Seabasing Ships</t>
        </is>
      </c>
      <c r="B15" s="30" t="inlineStr">
        <is>
          <t>USN</t>
        </is>
      </c>
      <c r="C15" s="31">
        <f>SUMIFS(JB_26BV,JB_B,1,JB_W,"Expeditionary &amp; Seabasing Ships",JB_RC,"ADD")</f>
        <v/>
      </c>
      <c r="D15" s="37">
        <f>IFERROR(C15/C$39,0)</f>
        <v/>
      </c>
    </row>
    <row r="16" ht="10" customHeight="1">
      <c r="A16" s="30" t="inlineStr">
        <is>
          <t>Combat Logistics Ships</t>
        </is>
      </c>
      <c r="B16" s="30" t="inlineStr">
        <is>
          <t>MSC</t>
        </is>
      </c>
      <c r="C16" s="31">
        <f>SUMIFS(JB_26BV,JB_B,1,JB_W,"Combat Logistics Ships",JB_RC,"ADD")</f>
        <v/>
      </c>
      <c r="D16" s="37">
        <f>IFERROR(C16/C$39,0)</f>
        <v/>
      </c>
    </row>
    <row r="17" ht="10" customHeight="1">
      <c r="A17" s="30" t="inlineStr">
        <is>
          <t>Amphibious Warfare Ships</t>
        </is>
      </c>
      <c r="B17" s="30" t="inlineStr">
        <is>
          <t>USN</t>
        </is>
      </c>
      <c r="C17" s="31">
        <f>SUMIFS(JB_26BV,JB_B,1,JB_W,"Amphibious Warfare Ships",JB_RC,"ADD")</f>
        <v/>
      </c>
      <c r="D17" s="37">
        <f>IFERROR(C17/C$39,0)</f>
        <v/>
      </c>
    </row>
    <row r="18" ht="10" customHeight="1">
      <c r="A18" s="30" t="inlineStr">
        <is>
          <t>Unmanned Surface Vehicles</t>
        </is>
      </c>
      <c r="B18" s="30" t="inlineStr">
        <is>
          <t>USN</t>
        </is>
      </c>
      <c r="C18" s="31">
        <f>SUMIFS(JB_26BV,JB_B,1,JB_W,"Unmanned Surface Vehicles",JB_RC,"ADD")</f>
        <v/>
      </c>
      <c r="D18" s="37">
        <f>IFERROR(C18/C$39,0)</f>
        <v/>
      </c>
    </row>
    <row r="19" ht="10" customHeight="1">
      <c r="A19" s="30" t="inlineStr">
        <is>
          <t>Cargo &amp; Vehicle Cargo Ships</t>
        </is>
      </c>
      <c r="B19" s="30" t="inlineStr">
        <is>
          <t>USN</t>
        </is>
      </c>
      <c r="C19" s="31">
        <f>SUMIFS(JB_26BV,JB_B,1,JB_W,"Cargo &amp; Vehicle Cargo Ships",JB_RC,"ADD")</f>
        <v/>
      </c>
      <c r="D19" s="37">
        <f>IFERROR(C19/C$39,0)</f>
        <v/>
      </c>
    </row>
    <row r="20" ht="10" customHeight="1">
      <c r="A20" s="30" t="inlineStr">
        <is>
          <t>Surveillance Ships</t>
        </is>
      </c>
      <c r="B20" s="30" t="inlineStr">
        <is>
          <t>USN</t>
        </is>
      </c>
      <c r="C20" s="31">
        <f>SUMIFS(JB_26BV,JB_B,1,JB_W,"Surveillance Ships",JB_RC,"ADD")</f>
        <v/>
      </c>
      <c r="D20" s="37">
        <f>IFERROR(C20/C$39,0)</f>
        <v/>
      </c>
    </row>
    <row r="21" ht="10" customHeight="1">
      <c r="A21" s="30" t="inlineStr">
        <is>
          <t>Salvage Ships &amp; Fleet Ocean Tugs</t>
        </is>
      </c>
      <c r="B21" s="30" t="inlineStr">
        <is>
          <t>MSC</t>
        </is>
      </c>
      <c r="C21" s="31">
        <f>SUMIFS(JB_26BV,JB_B,1,JB_W,"Salvage Ships &amp; Fleet Ocean Tugs",JB_RC,"ADD")</f>
        <v/>
      </c>
      <c r="D21" s="37">
        <f>IFERROR(C21/C$39,0)</f>
        <v/>
      </c>
    </row>
    <row r="22" ht="10" customHeight="1">
      <c r="A22" s="30" t="inlineStr">
        <is>
          <t>Research, Survey &amp; Instrumentation Ships</t>
        </is>
      </c>
      <c r="B22" s="30" t="inlineStr">
        <is>
          <t>MSC</t>
        </is>
      </c>
      <c r="C22" s="31">
        <f>SUMIFS(JB_26BV,JB_B,1,JB_W,"Research, Survey &amp; Instrumentation Ships",JB_RC,"ADD")</f>
        <v/>
      </c>
      <c r="D22" s="37">
        <f>IFERROR(C22/C$39,0)</f>
        <v/>
      </c>
    </row>
    <row r="23" ht="10" customHeight="1">
      <c r="A23" s="30" t="inlineStr">
        <is>
          <t>Submarine Escort Ship</t>
        </is>
      </c>
      <c r="B23" s="30" t="inlineStr">
        <is>
          <t>USN</t>
        </is>
      </c>
      <c r="C23" s="31">
        <f>SUMIFS(JB_26BV,JB_B,1,JB_W,"Submarine Escort Ship",JB_RC,"ADD")</f>
        <v/>
      </c>
      <c r="D23" s="37">
        <f>IFERROR(C23/C$39,0)</f>
        <v/>
      </c>
    </row>
    <row r="24" ht="10" customHeight="1">
      <c r="A24" s="30" t="inlineStr">
        <is>
          <t>General Auxiliary</t>
        </is>
      </c>
      <c r="B24" s="30" t="inlineStr">
        <is>
          <t>USN</t>
        </is>
      </c>
      <c r="C24" s="31">
        <f>SUMIFS(JB_26BV,JB_B,1,JB_W,"General Auxiliary",JB_RC,"ADD")</f>
        <v/>
      </c>
      <c r="D24" s="37">
        <f>IFERROR(C24/C$39,0)</f>
        <v/>
      </c>
    </row>
    <row r="25" ht="10" customHeight="1">
      <c r="A25" s="30" t="inlineStr">
        <is>
          <t>High Speed Transport</t>
        </is>
      </c>
      <c r="B25" s="30" t="inlineStr">
        <is>
          <t>USN</t>
        </is>
      </c>
      <c r="C25" s="31">
        <f>SUMIFS(JB_26BV,JB_B,1,JB_W,"High Speed Transport",JB_RC,"ADD")</f>
        <v/>
      </c>
      <c r="D25" s="37">
        <f>IFERROR(C25/C$39,0)</f>
        <v/>
      </c>
    </row>
    <row r="26" ht="10" customHeight="1">
      <c r="A26" s="30" t="inlineStr">
        <is>
          <t>Material Support Ships</t>
        </is>
      </c>
      <c r="B26" s="30" t="inlineStr">
        <is>
          <t>USN</t>
        </is>
      </c>
      <c r="C26" s="31">
        <f>SUMIFS(JB_26BV,JB_B,1,JB_W,"Material Support Ships",JB_RC,"ADD")</f>
        <v/>
      </c>
      <c r="D26" s="37">
        <f>IFERROR(C26/C$39,0)</f>
        <v/>
      </c>
    </row>
    <row r="27" ht="10" customHeight="1">
      <c r="A27" s="30" t="inlineStr">
        <is>
          <t>Aviation Logistics Support Ship</t>
        </is>
      </c>
      <c r="B27" s="30" t="inlineStr">
        <is>
          <t>USN</t>
        </is>
      </c>
      <c r="C27" s="31">
        <f>SUMIFS(JB_26BV,JB_B,1,JB_W,"Aviation Logistics Support Ship",JB_RC,"ADD")</f>
        <v/>
      </c>
      <c r="D27" s="37">
        <f>IFERROR(C27/C$39,0)</f>
        <v/>
      </c>
    </row>
    <row r="28" ht="10" customHeight="1">
      <c r="A28" s="30" t="inlineStr">
        <is>
          <t>Command Ships</t>
        </is>
      </c>
      <c r="B28" s="30" t="inlineStr">
        <is>
          <t>USN</t>
        </is>
      </c>
      <c r="C28" s="31">
        <f>SUMIFS(JB_26BV,JB_B,1,JB_W,"Command Ships",JB_RC,"ADD")</f>
        <v/>
      </c>
      <c r="D28" s="37">
        <f>IFERROR(C28/C$39,0)</f>
        <v/>
      </c>
    </row>
    <row r="29" ht="10" customHeight="1">
      <c r="A29" s="30" t="inlineStr">
        <is>
          <t>Hospital Ship</t>
        </is>
      </c>
      <c r="B29" s="30" t="inlineStr">
        <is>
          <t>MSC</t>
        </is>
      </c>
      <c r="C29" s="31">
        <f>SUMIFS(JB_26BV,JB_B,1,JB_W,"Hospital Ship",JB_RC,"ADD")</f>
        <v/>
      </c>
      <c r="D29" s="37">
        <f>IFERROR(C29/C$39,0)</f>
        <v/>
      </c>
    </row>
    <row r="30" ht="10" customHeight="1">
      <c r="A30" s="30" t="inlineStr">
        <is>
          <t>Mine Warfare</t>
        </is>
      </c>
      <c r="B30" s="30" t="inlineStr">
        <is>
          <t>USN</t>
        </is>
      </c>
      <c r="C30" s="31">
        <f>SUMIFS(JB_26BV,JB_B,1,JB_W,"Mine Warfare",JB_RC,"ADD")</f>
        <v/>
      </c>
      <c r="D30" s="37">
        <f>IFERROR(C30/C$39,0)</f>
        <v/>
      </c>
    </row>
    <row r="31" ht="10" customHeight="1">
      <c r="A31" s="30" t="inlineStr">
        <is>
          <t>Crane Ship</t>
        </is>
      </c>
      <c r="B31" s="30" t="inlineStr">
        <is>
          <t>USN</t>
        </is>
      </c>
      <c r="C31" s="31">
        <f>SUMIFS(JB_26BV,JB_B,1,JB_W,"Crane Ship",JB_RC,"ADD")</f>
        <v/>
      </c>
      <c r="D31" s="37">
        <f>IFERROR(C31/C$39,0)</f>
        <v/>
      </c>
    </row>
    <row r="32" ht="10" customHeight="1">
      <c r="A32" s="30" t="inlineStr">
        <is>
          <t>Offshore Patrol Cutter</t>
        </is>
      </c>
      <c r="B32" s="30" t="inlineStr">
        <is>
          <t>USCG</t>
        </is>
      </c>
      <c r="C32" s="31">
        <f>SUMIFS(JB_26BV,JB_B,1,JB_W,"Offshore Patrol Cutter",JB_RC,"ADD")</f>
        <v/>
      </c>
      <c r="D32" s="37">
        <f>IFERROR(C32/C$39,0)</f>
        <v/>
      </c>
    </row>
    <row r="33" ht="10" customHeight="1">
      <c r="A33" s="30" t="inlineStr">
        <is>
          <t>Fast Response Cutters</t>
        </is>
      </c>
      <c r="B33" s="30" t="inlineStr">
        <is>
          <t>USCG</t>
        </is>
      </c>
      <c r="C33" s="31">
        <f>SUMIFS(JB_26BV,JB_B,1,JB_W,"Fast Response Cutters",JB_RC,"ADD")</f>
        <v/>
      </c>
      <c r="D33" s="37">
        <f>IFERROR(C33/C$39,0)</f>
        <v/>
      </c>
    </row>
    <row r="34" ht="10" customHeight="1">
      <c r="A34" s="30" t="inlineStr">
        <is>
          <t>Icebreakers, Oceangoing</t>
        </is>
      </c>
      <c r="B34" s="30" t="inlineStr">
        <is>
          <t>USCG</t>
        </is>
      </c>
      <c r="C34" s="31">
        <f>SUMIFS(JB_26BV,JB_B,1,JB_W,"Icebreakers, Oceangoing",JB_RC,"ADD")</f>
        <v/>
      </c>
      <c r="D34" s="37">
        <f>IFERROR(C34/C$39,0)</f>
        <v/>
      </c>
    </row>
    <row r="35" ht="10" customHeight="1">
      <c r="A35" s="30" t="inlineStr">
        <is>
          <t>Waterways Commerce Cutters</t>
        </is>
      </c>
      <c r="B35" s="30" t="inlineStr">
        <is>
          <t>USCG</t>
        </is>
      </c>
      <c r="C35" s="31">
        <f>SUMIFS(JB_26BV,JB_B,1,JB_W,"Waterways Commerce Cutters",JB_RC,"ADD")</f>
        <v/>
      </c>
      <c r="D35" s="37">
        <f>IFERROR(C35/C$39,0)</f>
        <v/>
      </c>
    </row>
    <row r="36" ht="10" customHeight="1">
      <c r="A36" s="30" t="inlineStr">
        <is>
          <t>National Security Cutters</t>
        </is>
      </c>
      <c r="B36" s="30" t="inlineStr">
        <is>
          <t>USCG</t>
        </is>
      </c>
      <c r="C36" s="31">
        <f>SUMIFS(JB_26BV,JB_B,1,JB_W,"National Security Cutters",JB_RC,"ADD")</f>
        <v/>
      </c>
      <c r="D36" s="37">
        <f>IFERROR(C36/C$39,0)</f>
        <v/>
      </c>
    </row>
    <row r="37" ht="10" customHeight="1">
      <c r="A37" s="30" t="inlineStr">
        <is>
          <t>Coastal Buoy Tenders</t>
        </is>
      </c>
      <c r="B37" s="30" t="inlineStr">
        <is>
          <t>USCG</t>
        </is>
      </c>
      <c r="C37" s="31">
        <f>SUMIFS(JB_26BV,JB_B,1,JB_W,"Coastal Buoy Tenders",JB_RC,"ADD")</f>
        <v/>
      </c>
      <c r="D37" s="37">
        <f>IFERROR(C37/C$39,0)</f>
        <v/>
      </c>
    </row>
    <row r="38" ht="10" customHeight="1">
      <c r="A38" s="30" t="inlineStr">
        <is>
          <t>Icebreakers, Great Lakes</t>
        </is>
      </c>
      <c r="B38" s="30" t="inlineStr">
        <is>
          <t>USCG</t>
        </is>
      </c>
      <c r="C38" s="31">
        <f>SUMIFS(JB_26BV,JB_B,1,JB_W,"Icebreakers, Great Lakes",JB_RC,"ADD")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c r="L42" s="28" t="n"/>
      <c r="M42" s="28" t="n"/>
      <c r="N42" s="28" t="n"/>
    </row>
    <row r="43" ht="10" customHeight="1">
      <c r="A43" s="39" t="n"/>
      <c r="B43" s="40" t="inlineStr">
        <is>
          <t>USN</t>
        </is>
      </c>
      <c r="C43" s="39" t="n"/>
      <c r="D43" s="39" t="n"/>
      <c r="E43" s="39" t="n"/>
      <c r="F43" s="39" t="n"/>
      <c r="G43" s="39" t="n"/>
      <c r="H43" s="39" t="n"/>
      <c r="I43" s="39" t="n"/>
      <c r="J43" s="40" t="inlineStr">
        <is>
          <t>USCG</t>
        </is>
      </c>
      <c r="K43" s="39" t="n"/>
      <c r="L43" s="39" t="n"/>
      <c r="M43" s="39" t="n"/>
      <c r="N43" s="41" t="n"/>
    </row>
    <row r="44" ht="10" customHeight="1">
      <c r="A44" s="29" t="inlineStr">
        <is>
          <t>Sub-Category</t>
        </is>
      </c>
      <c r="B44" s="42" t="inlineStr">
        <is>
          <t>Surface Combatants</t>
        </is>
      </c>
      <c r="C44" s="29" t="inlineStr">
        <is>
          <t>Expeditionary &amp; Seabasing Ships</t>
        </is>
      </c>
      <c r="D44" s="29" t="inlineStr">
        <is>
          <t>Combat Logistics Ships</t>
        </is>
      </c>
      <c r="E44" s="29" t="inlineStr">
        <is>
          <t>Amphibious Warfare Ships</t>
        </is>
      </c>
      <c r="F44" s="29" t="inlineStr">
        <is>
          <t>Unmanned Surface Vehicles</t>
        </is>
      </c>
      <c r="G44" s="29" t="inlineStr">
        <is>
          <t>Cargo &amp; Vehicle Cargo Ships</t>
        </is>
      </c>
      <c r="H44" s="29" t="inlineStr">
        <is>
          <t>Surveillance Ships</t>
        </is>
      </c>
      <c r="I44" s="29" t="inlineStr">
        <is>
          <t>Salvage Ships &amp; Fleet Ocean Tugs</t>
        </is>
      </c>
      <c r="J44" s="42" t="inlineStr">
        <is>
          <t>Offshore Patrol Cutter</t>
        </is>
      </c>
      <c r="K44" s="29" t="inlineStr">
        <is>
          <t>Fast Response Cutters</t>
        </is>
      </c>
      <c r="L44" s="29" t="inlineStr">
        <is>
          <t>Icebreakers, Oceangoing</t>
        </is>
      </c>
      <c r="M44" s="29" t="inlineStr">
        <is>
          <t>Waterways Commerce Cutters</t>
        </is>
      </c>
      <c r="N44" s="42" t="inlineStr">
        <is>
          <t>Total</t>
        </is>
      </c>
    </row>
    <row r="45" ht="10" customHeight="1">
      <c r="A45" s="30" t="inlineStr">
        <is>
          <t>Full Ship DD&amp;C</t>
        </is>
      </c>
      <c r="B45" s="43">
        <f>IFERROR((SUMIFS(JB_26BV,JB_B,1,JB_W,"Surface Combatants",JB_F,"Full ship DD&amp;C",JB_RC,"ADD")+SUMIFS(JB_26BV,JB_B,1,JB_W,"Surface Combatants",JB_F,"Full ship DD&amp;C / LLTM",JB_RC,"ADD")+SUMIFS(JB_26BV,JB_B,1,JB_W,"Surface Combatants",JB_F,"Full vessel procurement",JB_RC,"ADD"))/B$47,0)</f>
        <v/>
      </c>
      <c r="C45" s="37">
        <f>IFERROR((SUMIFS(JB_26BV,JB_B,1,JB_W,"Expeditionary &amp; Seabasing Ships",JB_F,"Full ship DD&amp;C",JB_RC,"ADD")+SUMIFS(JB_26BV,JB_B,1,JB_W,"Expeditionary &amp; Seabasing Ships",JB_F,"Full ship DD&amp;C / LLTM",JB_RC,"ADD")+SUMIFS(JB_26BV,JB_B,1,JB_W,"Expeditionary &amp; Seabasing Ships",JB_F,"Full vessel procurement",JB_RC,"ADD"))/C$47,0)</f>
        <v/>
      </c>
      <c r="D45" s="37">
        <f>IFERROR((SUMIFS(JB_26BV,JB_B,1,JB_W,"Combat Logistics Ships",JB_F,"Full ship DD&amp;C",JB_RC,"ADD")+SUMIFS(JB_26BV,JB_B,1,JB_W,"Combat Logistics Ships",JB_F,"Full ship DD&amp;C / LLTM",JB_RC,"ADD")+SUMIFS(JB_26BV,JB_B,1,JB_W,"Combat Logistics Ships",JB_F,"Full vessel procurement",JB_RC,"ADD"))/D$47,0)</f>
        <v/>
      </c>
      <c r="E45" s="37">
        <f>IFERROR((SUMIFS(JB_26BV,JB_B,1,JB_W,"Amphibious Warfare Ships",JB_F,"Full ship DD&amp;C",JB_RC,"ADD")+SUMIFS(JB_26BV,JB_B,1,JB_W,"Amphibious Warfare Ships",JB_F,"Full ship DD&amp;C / LLTM",JB_RC,"ADD")+SUMIFS(JB_26BV,JB_B,1,JB_W,"Amphibious Warfare Ships",JB_F,"Full vessel procurement",JB_RC,"ADD"))/E$47,0)</f>
        <v/>
      </c>
      <c r="F45" s="37">
        <f>IFERROR((SUMIFS(JB_26BV,JB_B,1,JB_W,"Unmanned Surface Vehicles",JB_F,"Full ship DD&amp;C",JB_RC,"ADD")+SUMIFS(JB_26BV,JB_B,1,JB_W,"Unmanned Surface Vehicles",JB_F,"Full ship DD&amp;C / LLTM",JB_RC,"ADD")+SUMIFS(JB_26BV,JB_B,1,JB_W,"Unmanned Surface Vehicles",JB_F,"Full vessel procurement",JB_RC,"ADD"))/F$47,0)</f>
        <v/>
      </c>
      <c r="G45" s="37">
        <f>IFERROR((SUMIFS(JB_26BV,JB_B,1,JB_W,"Cargo &amp; Vehicle Cargo Ships",JB_F,"Full ship DD&amp;C",JB_RC,"ADD")+SUMIFS(JB_26BV,JB_B,1,JB_W,"Cargo &amp; Vehicle Cargo Ships",JB_F,"Full ship DD&amp;C / LLTM",JB_RC,"ADD")+SUMIFS(JB_26BV,JB_B,1,JB_W,"Cargo &amp; Vehicle Cargo Ships",JB_F,"Full vessel procurement",JB_RC,"ADD"))/G$47,0)</f>
        <v/>
      </c>
      <c r="H45" s="37">
        <f>IFERROR((SUMIFS(JB_26BV,JB_B,1,JB_W,"Surveillance Ships",JB_F,"Full ship DD&amp;C",JB_RC,"ADD")+SUMIFS(JB_26BV,JB_B,1,JB_W,"Surveillance Ships",JB_F,"Full ship DD&amp;C / LLTM",JB_RC,"ADD")+SUMIFS(JB_26BV,JB_B,1,JB_W,"Surveillance Ships",JB_F,"Full vessel procurement",JB_RC,"ADD"))/H$47,0)</f>
        <v/>
      </c>
      <c r="I45" s="37">
        <f>IFERROR((SUMIFS(JB_26BV,JB_B,1,JB_W,"Salvage Ships &amp; Fleet Ocean Tugs",JB_F,"Full ship DD&amp;C",JB_RC,"ADD")+SUMIFS(JB_26BV,JB_B,1,JB_W,"Salvage Ships &amp; Fleet Ocean Tugs",JB_F,"Full ship DD&amp;C / LLTM",JB_RC,"ADD")+SUMIFS(JB_26BV,JB_B,1,JB_W,"Salvage Ships &amp; Fleet Ocean Tugs",JB_F,"Full vessel procurement",JB_RC,"ADD"))/I$47,0)</f>
        <v/>
      </c>
      <c r="J45" s="43">
        <f>IFERROR((SUMIFS(JB_26BV,JB_B,1,JB_W,"Offshore Patrol Cutter",JB_F,"Full ship DD&amp;C",JB_RC,"ADD")+SUMIFS(JB_26BV,JB_B,1,JB_W,"Offshore Patrol Cutter",JB_F,"Full ship DD&amp;C / LLTM",JB_RC,"ADD")+SUMIFS(JB_26BV,JB_B,1,JB_W,"Offshore Patrol Cutter",JB_F,"Full vessel procurement",JB_RC,"ADD"))/J$47,0)</f>
        <v/>
      </c>
      <c r="K45" s="37">
        <f>IFERROR((SUMIFS(JB_26BV,JB_B,1,JB_W,"Fast Response Cutters",JB_F,"Full ship DD&amp;C",JB_RC,"ADD")+SUMIFS(JB_26BV,JB_B,1,JB_W,"Fast Response Cutters",JB_F,"Full ship DD&amp;C / LLTM",JB_RC,"ADD")+SUMIFS(JB_26BV,JB_B,1,JB_W,"Fast Response Cutters",JB_F,"Full vessel procurement",JB_RC,"ADD"))/K$47,0)</f>
        <v/>
      </c>
      <c r="L45" s="37">
        <f>IFERROR((SUMIFS(JB_26BV,JB_B,1,JB_W,"Icebreakers, Oceangoing",JB_F,"Full ship DD&amp;C",JB_RC,"ADD")+SUMIFS(JB_26BV,JB_B,1,JB_W,"Icebreakers, Oceangoing",JB_F,"Full ship DD&amp;C / LLTM",JB_RC,"ADD")+SUMIFS(JB_26BV,JB_B,1,JB_W,"Icebreakers, Oceangoing",JB_F,"Full vessel procurement",JB_RC,"ADD"))/L$47,0)</f>
        <v/>
      </c>
      <c r="M45" s="37">
        <f>IFERROR((SUMIFS(JB_26BV,JB_B,1,JB_W,"Waterways Commerce Cutters",JB_F,"Full ship DD&amp;C",JB_RC,"ADD")+SUMIFS(JB_26BV,JB_B,1,JB_W,"Waterways Commerce Cutters",JB_F,"Full ship DD&amp;C / LLTM",JB_RC,"ADD")+SUMIFS(JB_26BV,JB_B,1,JB_W,"Waterways Commerce Cutters",JB_F,"Full vessel procurement",JB_RC,"ADD"))/M$47,0)</f>
        <v/>
      </c>
      <c r="N45" s="43">
        <f>IFERROR(1-N46,0)</f>
        <v/>
      </c>
    </row>
    <row r="46" ht="10" customHeight="1">
      <c r="A46" s="30" t="inlineStr">
        <is>
          <t>Advance Procurement / LLTM</t>
        </is>
      </c>
      <c r="B46" s="43">
        <f>IFERROR((SUMIFS(JB_26BV,JB_B,1,JB_W,"Surface Combatants",JB_F,"Advance procurement / LLTM",JB_RC,"ADD"))/B$47,0)</f>
        <v/>
      </c>
      <c r="C46" s="37">
        <f>IFERROR((SUMIFS(JB_26BV,JB_B,1,JB_W,"Expeditionary &amp; Seabasing Ships",JB_F,"Advance procurement / LLTM",JB_RC,"ADD"))/C$47,0)</f>
        <v/>
      </c>
      <c r="D46" s="37">
        <f>IFERROR((SUMIFS(JB_26BV,JB_B,1,JB_W,"Combat Logistics Ships",JB_F,"Advance procurement / LLTM",JB_RC,"ADD"))/D$47,0)</f>
        <v/>
      </c>
      <c r="E46" s="37">
        <f>IFERROR((SUMIFS(JB_26BV,JB_B,1,JB_W,"Amphibious Warfare Ships",JB_F,"Advance procurement / LLTM",JB_RC,"ADD"))/E$47,0)</f>
        <v/>
      </c>
      <c r="F46" s="37">
        <f>IFERROR((SUMIFS(JB_26BV,JB_B,1,JB_W,"Unmanned Surface Vehicles",JB_F,"Advance procurement / LLTM",JB_RC,"ADD"))/F$47,0)</f>
        <v/>
      </c>
      <c r="G46" s="37">
        <f>IFERROR((SUMIFS(JB_26BV,JB_B,1,JB_W,"Cargo &amp; Vehicle Cargo Ships",JB_F,"Advance procurement / LLTM",JB_RC,"ADD"))/G$47,0)</f>
        <v/>
      </c>
      <c r="H46" s="37">
        <f>IFERROR((SUMIFS(JB_26BV,JB_B,1,JB_W,"Surveillance Ships",JB_F,"Advance procurement / LLTM",JB_RC,"ADD"))/H$47,0)</f>
        <v/>
      </c>
      <c r="I46" s="37">
        <f>IFERROR((SUMIFS(JB_26BV,JB_B,1,JB_W,"Salvage Ships &amp; Fleet Ocean Tugs",JB_F,"Advance procurement / LLTM",JB_RC,"ADD"))/I$47,0)</f>
        <v/>
      </c>
      <c r="J46" s="43">
        <f>IFERROR((SUMIFS(JB_26BV,JB_B,1,JB_W,"Offshore Patrol Cutter",JB_F,"Advance procurement / LLTM",JB_RC,"ADD"))/J$47,0)</f>
        <v/>
      </c>
      <c r="K46" s="37">
        <f>IFERROR((SUMIFS(JB_26BV,JB_B,1,JB_W,"Fast Response Cutters",JB_F,"Advance procurement / LLTM",JB_RC,"ADD"))/K$47,0)</f>
        <v/>
      </c>
      <c r="L46" s="37">
        <f>IFERROR((SUMIFS(JB_26BV,JB_B,1,JB_W,"Icebreakers, Oceangoing",JB_F,"Advance procurement / LLTM",JB_RC,"ADD"))/L$47,0)</f>
        <v/>
      </c>
      <c r="M46" s="37">
        <f>IFERROR((SUMIFS(JB_26BV,JB_B,1,JB_W,"Waterways Commerce Cutters",JB_F,"Advance procurement / LLTM",JB_RC,"ADD"))/M$47,0)</f>
        <v/>
      </c>
      <c r="N46"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LLTM",JB_RC,"ADD"))/N$47,0)</f>
        <v/>
      </c>
    </row>
    <row r="47" ht="10" customHeight="1">
      <c r="A47" s="32" t="inlineStr">
        <is>
          <t>Total ($K)</t>
        </is>
      </c>
      <c r="B47" s="44">
        <f>SUMIFS(JB_26BV,JB_B,1,JB_W,"Surface Combatants",JB_RC,"ADD")</f>
        <v/>
      </c>
      <c r="C47" s="33">
        <f>SUMIFS(JB_26BV,JB_B,1,JB_W,"Expeditionary &amp; Seabasing Ships",JB_RC,"ADD")</f>
        <v/>
      </c>
      <c r="D47" s="33">
        <f>SUMIFS(JB_26BV,JB_B,1,JB_W,"Combat Logistics Ships",JB_RC,"ADD")</f>
        <v/>
      </c>
      <c r="E47" s="33">
        <f>SUMIFS(JB_26BV,JB_B,1,JB_W,"Amphibious Warfare Ships",JB_RC,"ADD")</f>
        <v/>
      </c>
      <c r="F47" s="33">
        <f>SUMIFS(JB_26BV,JB_B,1,JB_W,"Unmanned Surface Vehicles",JB_RC,"ADD")</f>
        <v/>
      </c>
      <c r="G47" s="33">
        <f>SUMIFS(JB_26BV,JB_B,1,JB_W,"Cargo &amp; Vehicle Cargo Ships",JB_RC,"ADD")</f>
        <v/>
      </c>
      <c r="H47" s="33">
        <f>SUMIFS(JB_26BV,JB_B,1,JB_W,"Surveillance Ships",JB_RC,"ADD")</f>
        <v/>
      </c>
      <c r="I47" s="33">
        <f>SUMIFS(JB_26BV,JB_B,1,JB_W,"Salvage Ships &amp; Fleet Ocean Tugs",JB_RC,"ADD")</f>
        <v/>
      </c>
      <c r="J47" s="44">
        <f>SUMIFS(JB_26BV,JB_B,1,JB_W,"Offshore Patrol Cutter",JB_RC,"ADD")</f>
        <v/>
      </c>
      <c r="K47" s="33">
        <f>SUMIFS(JB_26BV,JB_B,1,JB_W,"Fast Response Cutters",JB_RC,"ADD")</f>
        <v/>
      </c>
      <c r="L47" s="33">
        <f>SUMIFS(JB_26BV,JB_B,1,JB_W,"Icebreakers, Oceangoing",JB_RC,"ADD")</f>
        <v/>
      </c>
      <c r="M47" s="33">
        <f>SUMIFS(JB_26BV,JB_B,1,JB_W,"Waterways Commerce Cutters",JB_RC,"ADD")</f>
        <v/>
      </c>
      <c r="N47" s="44">
        <f>SUM(B47:M47)</f>
        <v/>
      </c>
    </row>
    <row r="48" ht="10" customHeight="1"/>
    <row r="49" ht="10" customHeight="1"/>
    <row r="50" ht="10" customHeight="1">
      <c r="A50" s="27" t="inlineStr">
        <is>
          <t>(D) Newbuild SAM by Hull Program — FY2026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FY2026 ($K)</t>
        </is>
      </c>
      <c r="D52" s="29" t="inlineStr">
        <is>
          <t>% of SAM</t>
        </is>
      </c>
    </row>
    <row r="53" ht="10" customHeight="1">
      <c r="A53" s="30" t="inlineStr">
        <is>
          <t>DDG (Surface Combatants)</t>
        </is>
      </c>
      <c r="B53" s="30" t="inlineStr">
        <is>
          <t>USN</t>
        </is>
      </c>
      <c r="C53" s="31">
        <f>SUMIFS(JB_26BV,JB_B,1,JB_H,"DDG",JB_RC,"ADD")</f>
        <v/>
      </c>
      <c r="D53" s="37">
        <f>IFERROR(C53/C$67,0)</f>
        <v/>
      </c>
    </row>
    <row r="54" ht="10" customHeight="1">
      <c r="A54" s="30" t="inlineStr">
        <is>
          <t>LSM (Expeditionary &amp; Seabasing Ships)</t>
        </is>
      </c>
      <c r="B54" s="30" t="inlineStr">
        <is>
          <t>USN</t>
        </is>
      </c>
      <c r="C54" s="31">
        <f>SUMIFS(JB_26BV,JB_B,1,JB_H,"LSM",JB_RC,"ADD")</f>
        <v/>
      </c>
      <c r="D54" s="37">
        <f>IFERROR(C54/C$67,0)</f>
        <v/>
      </c>
    </row>
    <row r="55" ht="10" customHeight="1">
      <c r="A55" s="30" t="inlineStr">
        <is>
          <t>T-AO (Combat Logistics Ships)</t>
        </is>
      </c>
      <c r="B55" s="30" t="inlineStr">
        <is>
          <t>MSC</t>
        </is>
      </c>
      <c r="C55" s="31">
        <f>SUMIFS(JB_26BV,JB_B,1,JB_H,"T-AO",JB_RC,"ADD")</f>
        <v/>
      </c>
      <c r="D55" s="37">
        <f>IFERROR(C55/C$67,0)</f>
        <v/>
      </c>
    </row>
    <row r="56" ht="10" customHeight="1">
      <c r="A56" s="30" t="inlineStr">
        <is>
          <t>MUSV (Unmanned Surface Vehicles)</t>
        </is>
      </c>
      <c r="B56" s="30" t="inlineStr">
        <is>
          <t>USN</t>
        </is>
      </c>
      <c r="C56" s="31">
        <f>SUMIFS(JB_26BV,JB_B,1,JB_H,"MUSV",JB_RC,"ADD")</f>
        <v/>
      </c>
      <c r="D56" s="37">
        <f>IFERROR(C56/C$67,0)</f>
        <v/>
      </c>
    </row>
    <row r="57" ht="10" customHeight="1">
      <c r="A57" s="30" t="inlineStr">
        <is>
          <t>LPD (Amphibious Warfare Ships)</t>
        </is>
      </c>
      <c r="B57" s="30" t="inlineStr">
        <is>
          <t>USN</t>
        </is>
      </c>
      <c r="C57" s="31">
        <f>SUMIFS(JB_26BV,JB_B,1,JB_H,"LPD",JB_RC,"ADD")</f>
        <v/>
      </c>
      <c r="D57" s="37">
        <f>IFERROR(C57/C$67,0)</f>
        <v/>
      </c>
    </row>
    <row r="58" ht="10" customHeight="1">
      <c r="A58" s="30" t="inlineStr">
        <is>
          <t>T-AK / T-AKR (Cargo &amp; Vehicle Cargo Ships)</t>
        </is>
      </c>
      <c r="B58" s="30" t="inlineStr">
        <is>
          <t>MSC</t>
        </is>
      </c>
      <c r="C58" s="31">
        <f>SUMIFS(JB_26BV,JB_B,1,JB_H,"T-AK / T-AKR",JB_RC,"ADD")</f>
        <v/>
      </c>
      <c r="D58" s="37">
        <f>IFERROR(C58/C$67,0)</f>
        <v/>
      </c>
    </row>
    <row r="59" ht="10" customHeight="1">
      <c r="A59" s="30" t="inlineStr">
        <is>
          <t>LHA (Amphibious Warfare Ships)</t>
        </is>
      </c>
      <c r="B59" s="30" t="inlineStr">
        <is>
          <t>USN</t>
        </is>
      </c>
      <c r="C59" s="31">
        <f>SUMIFS(JB_26BV,JB_B,1,JB_H,"LHA",JB_RC,"ADD")</f>
        <v/>
      </c>
      <c r="D59" s="37">
        <f>IFERROR(C59/C$67,0)</f>
        <v/>
      </c>
    </row>
    <row r="60" ht="10" customHeight="1">
      <c r="A60" s="30" t="inlineStr">
        <is>
          <t>T-AGOS (Surveillance Ships)</t>
        </is>
      </c>
      <c r="B60" s="30" t="inlineStr">
        <is>
          <t>MSC</t>
        </is>
      </c>
      <c r="C60" s="31">
        <f>SUMIFS(JB_26BV,JB_B,1,JB_H,"T-AGOS",JB_RC,"ADD")</f>
        <v/>
      </c>
      <c r="D60" s="37">
        <f>IFERROR(C60/C$67,0)</f>
        <v/>
      </c>
    </row>
    <row r="61" ht="10" customHeight="1">
      <c r="A61" s="30" t="inlineStr">
        <is>
          <t>FFG (Surface Combatants)</t>
        </is>
      </c>
      <c r="B61" s="30" t="inlineStr">
        <is>
          <t>USN</t>
        </is>
      </c>
      <c r="C61" s="31">
        <f>SUMIFS(JB_26BV,JB_B,1,JB_H,"FFG",JB_RC,"ADD")</f>
        <v/>
      </c>
      <c r="D61" s="37">
        <f>IFERROR(C61/C$67,0)</f>
        <v/>
      </c>
    </row>
    <row r="62" ht="10" customHeight="1">
      <c r="A62" s="30" t="inlineStr">
        <is>
          <t>T-ATS (Salvage Ships &amp; Fleet Ocean Tugs)</t>
        </is>
      </c>
      <c r="B62" s="30" t="inlineStr">
        <is>
          <t>MSC</t>
        </is>
      </c>
      <c r="C62" s="31">
        <f>SUMIFS(JB_26BV,JB_B,1,JB_H,"T-ATS",JB_RC,"ADD")</f>
        <v/>
      </c>
      <c r="D62" s="37">
        <f>IFERROR(C62/C$67,0)</f>
        <v/>
      </c>
    </row>
    <row r="63" ht="10" customHeight="1">
      <c r="A63" s="30" t="inlineStr">
        <is>
          <t>WMSM (Offshore Patrol Cutter)</t>
        </is>
      </c>
      <c r="B63" s="30" t="inlineStr">
        <is>
          <t>USCG</t>
        </is>
      </c>
      <c r="C63" s="31">
        <f>SUMIFS(JB_26BV,JB_B,1,JB_H,"WMSM",JB_RC,"ADD")</f>
        <v/>
      </c>
      <c r="D63" s="37">
        <f>IFERROR(C63/C$67,0)</f>
        <v/>
      </c>
    </row>
    <row r="64" ht="10" customHeight="1">
      <c r="A64" s="30" t="inlineStr">
        <is>
          <t>WPC (Fast Response Cutters)</t>
        </is>
      </c>
      <c r="B64" s="30" t="inlineStr">
        <is>
          <t>USCG</t>
        </is>
      </c>
      <c r="C64" s="31">
        <f>SUMIFS(JB_26BV,JB_B,1,JB_H,"WPC",JB_RC,"ADD")</f>
        <v/>
      </c>
      <c r="D64" s="37">
        <f>IFERROR(C64/C$67,0)</f>
        <v/>
      </c>
    </row>
    <row r="65" ht="10" customHeight="1">
      <c r="A65" s="30" t="inlineStr">
        <is>
          <t>WAGB (Icebreakers, Oceangoing)</t>
        </is>
      </c>
      <c r="B65" s="30" t="inlineStr">
        <is>
          <t>USCG</t>
        </is>
      </c>
      <c r="C65" s="31">
        <f>SUMIFS(JB_26BV,JB_B,1,JB_H,"WAGB",JB_RC,"ADD")</f>
        <v/>
      </c>
      <c r="D65" s="37">
        <f>IFERROR(C65/C$67,0)</f>
        <v/>
      </c>
    </row>
    <row r="66" ht="10" customHeight="1">
      <c r="A66" s="30" t="inlineStr">
        <is>
          <t>WCC (Waterways Commerce Cutters)</t>
        </is>
      </c>
      <c r="B66" s="30" t="inlineStr">
        <is>
          <t>USCG</t>
        </is>
      </c>
      <c r="C66" s="31">
        <f>SUMIFS(JB_26BV,JB_B,1,JB_H,"WCC",JB_RC,"ADD")</f>
        <v/>
      </c>
      <c r="D66" s="37">
        <f>IFERROR(C66/C$67,0)</f>
        <v/>
      </c>
    </row>
    <row r="67" ht="10" customHeight="1">
      <c r="A67" s="32" t="inlineStr">
        <is>
          <t>Newbuild SAM</t>
        </is>
      </c>
      <c r="B67" s="32" t="inlineStr"/>
      <c r="C67" s="33">
        <f>SUM(C53:C66)</f>
        <v/>
      </c>
      <c r="D67" s="38" t="n">
        <v>1</v>
      </c>
    </row>
    <row r="68" ht="10" customHeight="1"/>
    <row r="69" ht="10" customHeight="1"/>
    <row r="70" ht="10" customHeight="1">
      <c r="A70" s="27" t="inlineStr">
        <is>
          <t>(E) P-5c Gross Cost Category Breakdown by Hull — FY2026 ($K)</t>
        </is>
      </c>
      <c r="B70" s="28" t="n"/>
      <c r="C70" s="28" t="n"/>
      <c r="D70" s="28" t="n"/>
      <c r="E70" s="28" t="n"/>
      <c r="F70" s="28" t="n"/>
      <c r="G70" s="28" t="n"/>
      <c r="H70" s="28" t="n"/>
      <c r="I70" s="28" t="n"/>
      <c r="J70" s="28" t="n"/>
    </row>
    <row r="71" ht="10" customHeight="1">
      <c r="A71" s="26" t="inlineStr">
        <is>
          <t>Gross total-ship-estimate costs from Exhibit P-5c. These are pre-AP/SFF and will NOT match SAM net totals.</t>
        </is>
      </c>
    </row>
    <row r="72" ht="10" customHeight="1">
      <c r="A72" s="39" t="n"/>
      <c r="B72" s="40" t="inlineStr">
        <is>
          <t>USN</t>
        </is>
      </c>
      <c r="C72" s="39" t="n"/>
      <c r="D72" s="39" t="n"/>
      <c r="E72" s="39" t="n"/>
      <c r="F72" s="39" t="n"/>
      <c r="G72" s="39" t="n"/>
      <c r="H72" s="39" t="n"/>
      <c r="I72" s="39" t="n"/>
      <c r="J72" s="41" t="n"/>
    </row>
    <row r="73" ht="10" customHeight="1">
      <c r="A73" s="29" t="inlineStr">
        <is>
          <t>Cost Category</t>
        </is>
      </c>
      <c r="B73" s="42" t="inlineStr">
        <is>
          <t>DDG</t>
        </is>
      </c>
      <c r="C73" s="29" t="inlineStr">
        <is>
          <t>FFG</t>
        </is>
      </c>
      <c r="D73" s="29" t="inlineStr">
        <is>
          <t>LPD</t>
        </is>
      </c>
      <c r="E73" s="29" t="inlineStr">
        <is>
          <t>LHA</t>
        </is>
      </c>
      <c r="F73" s="29" t="inlineStr">
        <is>
          <t>T-AGOS</t>
        </is>
      </c>
      <c r="G73" s="29" t="inlineStr">
        <is>
          <t>T-EPF</t>
        </is>
      </c>
      <c r="H73" s="29" t="inlineStr">
        <is>
          <t>T-AO</t>
        </is>
      </c>
      <c r="I73" s="29" t="inlineStr">
        <is>
          <t>T-ATS</t>
        </is>
      </c>
      <c r="J73" s="42" t="inlineStr">
        <is>
          <t>Total</t>
        </is>
      </c>
    </row>
    <row r="74" ht="10" customHeight="1">
      <c r="A74" s="30" t="inlineStr">
        <is>
          <t>Plan Costs</t>
        </is>
      </c>
      <c r="B74" s="45">
        <f>SUMIFS(JB_26BV,JB_B,1,JB_EX,"P-5c",JB_CC,"Plan Costs",JB_H,"DDG",JB_RC,"ALT")</f>
        <v/>
      </c>
      <c r="C74" s="31">
        <f>SUMIFS(JB_26BV,JB_B,1,JB_EX,"P-5c",JB_CC,"Plan Costs",JB_H,"FFG",JB_RC,"ALT")</f>
        <v/>
      </c>
      <c r="D74" s="31">
        <f>SUMIFS(JB_26BV,JB_B,1,JB_EX,"P-5c",JB_CC,"Plan Costs",JB_H,"LPD",JB_RC,"ALT")</f>
        <v/>
      </c>
      <c r="E74" s="31">
        <f>SUMIFS(JB_26BV,JB_B,1,JB_EX,"P-5c",JB_CC,"Plan Costs",JB_H,"LHA",JB_RC,"ALT")</f>
        <v/>
      </c>
      <c r="F74" s="31">
        <f>SUMIFS(JB_26BV,JB_B,1,JB_EX,"P-5c",JB_CC,"Plan Costs",JB_H,"T-AGOS",JB_RC,"ALT")</f>
        <v/>
      </c>
      <c r="G74" s="31">
        <f>SUMIFS(JB_26BV,JB_B,1,JB_EX,"P-5c",JB_CC,"Plan Costs",JB_H,"T-EPF",JB_RC,"ALT")</f>
        <v/>
      </c>
      <c r="H74" s="31">
        <f>SUMIFS(JB_26BV,JB_B,1,JB_EX,"P-5c",JB_CC,"Plan Costs",JB_H,"T-AO",JB_RC,"ALT")</f>
        <v/>
      </c>
      <c r="I74" s="31">
        <f>SUMIFS(JB_26BV,JB_B,1,JB_EX,"P-5c",JB_CC,"Plan Costs",JB_H,"T-ATS",JB_RC,"ALT")</f>
        <v/>
      </c>
      <c r="J74" s="45">
        <f>SUM(B74:I74)</f>
        <v/>
      </c>
    </row>
    <row r="75" ht="10" customHeight="1">
      <c r="A75" s="30" t="inlineStr">
        <is>
          <t>Basic Construction</t>
        </is>
      </c>
      <c r="B75" s="45">
        <f>SUMIFS(JB_26BV,JB_B,1,JB_EX,"P-5c",JB_CC,"Basic Construction",JB_H,"DDG",JB_RC,"ALT")</f>
        <v/>
      </c>
      <c r="C75" s="31">
        <f>SUMIFS(JB_26BV,JB_B,1,JB_EX,"P-5c",JB_CC,"Basic Construction",JB_H,"FFG",JB_RC,"ALT")</f>
        <v/>
      </c>
      <c r="D75" s="31">
        <f>SUMIFS(JB_26BV,JB_B,1,JB_EX,"P-5c",JB_CC,"Basic Construction",JB_H,"LPD",JB_RC,"ALT")</f>
        <v/>
      </c>
      <c r="E75" s="31">
        <f>SUMIFS(JB_26BV,JB_B,1,JB_EX,"P-5c",JB_CC,"Basic Construction",JB_H,"LHA",JB_RC,"ALT")</f>
        <v/>
      </c>
      <c r="F75" s="31">
        <f>SUMIFS(JB_26BV,JB_B,1,JB_EX,"P-5c",JB_CC,"Basic Construction",JB_H,"T-AGOS",JB_RC,"ALT")</f>
        <v/>
      </c>
      <c r="G75" s="31">
        <f>SUMIFS(JB_26BV,JB_B,1,JB_EX,"P-5c",JB_CC,"Basic Construction",JB_H,"T-EPF",JB_RC,"ALT")</f>
        <v/>
      </c>
      <c r="H75" s="31">
        <f>SUMIFS(JB_26BV,JB_B,1,JB_EX,"P-5c",JB_CC,"Basic Construction",JB_H,"T-AO",JB_RC,"ALT")</f>
        <v/>
      </c>
      <c r="I75" s="31">
        <f>SUMIFS(JB_26BV,JB_B,1,JB_EX,"P-5c",JB_CC,"Basic Construction",JB_H,"T-ATS",JB_RC,"ALT")</f>
        <v/>
      </c>
      <c r="J75" s="45">
        <f>SUM(B75:I75)</f>
        <v/>
      </c>
    </row>
    <row r="76" ht="10" customHeight="1">
      <c r="A76" s="30" t="inlineStr">
        <is>
          <t>Change Orders</t>
        </is>
      </c>
      <c r="B76" s="45">
        <f>SUMIFS(JB_26BV,JB_B,1,JB_EX,"P-5c",JB_CC,"Change Orders",JB_H,"DDG",JB_RC,"ALT")</f>
        <v/>
      </c>
      <c r="C76" s="31">
        <f>SUMIFS(JB_26BV,JB_B,1,JB_EX,"P-5c",JB_CC,"Change Orders",JB_H,"FFG",JB_RC,"ALT")</f>
        <v/>
      </c>
      <c r="D76" s="31">
        <f>SUMIFS(JB_26BV,JB_B,1,JB_EX,"P-5c",JB_CC,"Change Orders",JB_H,"LPD",JB_RC,"ALT")</f>
        <v/>
      </c>
      <c r="E76" s="31">
        <f>SUMIFS(JB_26BV,JB_B,1,JB_EX,"P-5c",JB_CC,"Change Orders",JB_H,"LHA",JB_RC,"ALT")</f>
        <v/>
      </c>
      <c r="F76" s="31">
        <f>SUMIFS(JB_26BV,JB_B,1,JB_EX,"P-5c",JB_CC,"Change Orders",JB_H,"T-AGOS",JB_RC,"ALT")</f>
        <v/>
      </c>
      <c r="G76" s="31">
        <f>SUMIFS(JB_26BV,JB_B,1,JB_EX,"P-5c",JB_CC,"Change Orders",JB_H,"T-EPF",JB_RC,"ALT")</f>
        <v/>
      </c>
      <c r="H76" s="31">
        <f>SUMIFS(JB_26BV,JB_B,1,JB_EX,"P-5c",JB_CC,"Change Orders",JB_H,"T-AO",JB_RC,"ALT")</f>
        <v/>
      </c>
      <c r="I76" s="31">
        <f>SUMIFS(JB_26BV,JB_B,1,JB_EX,"P-5c",JB_CC,"Change Orders",JB_H,"T-ATS",JB_RC,"ALT")</f>
        <v/>
      </c>
      <c r="J76" s="45">
        <f>SUM(B76:I76)</f>
        <v/>
      </c>
    </row>
    <row r="77" ht="10" customHeight="1">
      <c r="A77" s="30" t="inlineStr">
        <is>
          <t>Electronics</t>
        </is>
      </c>
      <c r="B77" s="45">
        <f>SUMIFS(JB_26BV,JB_B,1,JB_EX,"P-5c",JB_CC,"Electronics",JB_H,"DDG",JB_RC,"ALT")</f>
        <v/>
      </c>
      <c r="C77" s="31">
        <f>SUMIFS(JB_26BV,JB_B,1,JB_EX,"P-5c",JB_CC,"Electronics",JB_H,"FFG",JB_RC,"ALT")</f>
        <v/>
      </c>
      <c r="D77" s="31">
        <f>SUMIFS(JB_26BV,JB_B,1,JB_EX,"P-5c",JB_CC,"Electronics",JB_H,"LPD",JB_RC,"ALT")</f>
        <v/>
      </c>
      <c r="E77" s="31">
        <f>SUMIFS(JB_26BV,JB_B,1,JB_EX,"P-5c",JB_CC,"Electronics",JB_H,"LHA",JB_RC,"ALT")</f>
        <v/>
      </c>
      <c r="F77" s="31">
        <f>SUMIFS(JB_26BV,JB_B,1,JB_EX,"P-5c",JB_CC,"Electronics",JB_H,"T-AGOS",JB_RC,"ALT")</f>
        <v/>
      </c>
      <c r="G77" s="31">
        <f>SUMIFS(JB_26BV,JB_B,1,JB_EX,"P-5c",JB_CC,"Electronics",JB_H,"T-EPF",JB_RC,"ALT")</f>
        <v/>
      </c>
      <c r="H77" s="31">
        <f>SUMIFS(JB_26BV,JB_B,1,JB_EX,"P-5c",JB_CC,"Electronics",JB_H,"T-AO",JB_RC,"ALT")</f>
        <v/>
      </c>
      <c r="I77" s="31">
        <f>SUMIFS(JB_26BV,JB_B,1,JB_EX,"P-5c",JB_CC,"Electronics",JB_H,"T-ATS",JB_RC,"ALT")</f>
        <v/>
      </c>
      <c r="J77" s="45">
        <f>SUM(B77:I77)</f>
        <v/>
      </c>
    </row>
    <row r="78" ht="10" customHeight="1">
      <c r="A78" s="30" t="inlineStr">
        <is>
          <t>Hull, Mechanical, and Electrical</t>
        </is>
      </c>
      <c r="B78" s="45">
        <f>SUMIFS(JB_26BV,JB_B,1,JB_EX,"P-5c",JB_CC,"Hull, Mechanical, and Electrical",JB_H,"DDG",JB_RC,"ALT")</f>
        <v/>
      </c>
      <c r="C78" s="31">
        <f>SUMIFS(JB_26BV,JB_B,1,JB_EX,"P-5c",JB_CC,"Hull, Mechanical, and Electrical",JB_H,"FFG",JB_RC,"ALT")</f>
        <v/>
      </c>
      <c r="D78" s="31">
        <f>SUMIFS(JB_26BV,JB_B,1,JB_EX,"P-5c",JB_CC,"Hull, Mechanical, and Electrical",JB_H,"LPD",JB_RC,"ALT")</f>
        <v/>
      </c>
      <c r="E78" s="31">
        <f>SUMIFS(JB_26BV,JB_B,1,JB_EX,"P-5c",JB_CC,"Hull, Mechanical, and Electrical",JB_H,"LHA",JB_RC,"ALT")</f>
        <v/>
      </c>
      <c r="F78" s="31">
        <f>SUMIFS(JB_26BV,JB_B,1,JB_EX,"P-5c",JB_CC,"Hull, Mechanical, and Electrical",JB_H,"T-AGOS",JB_RC,"ALT")</f>
        <v/>
      </c>
      <c r="G78" s="31">
        <f>SUMIFS(JB_26BV,JB_B,1,JB_EX,"P-5c",JB_CC,"Hull, Mechanical, and Electrical",JB_H,"T-EPF",JB_RC,"ALT")</f>
        <v/>
      </c>
      <c r="H78" s="31">
        <f>SUMIFS(JB_26BV,JB_B,1,JB_EX,"P-5c",JB_CC,"Hull, Mechanical, and Electrical",JB_H,"T-AO",JB_RC,"ALT")</f>
        <v/>
      </c>
      <c r="I78" s="31">
        <f>SUMIFS(JB_26BV,JB_B,1,JB_EX,"P-5c",JB_CC,"Hull, Mechanical, and Electrical",JB_H,"T-ATS",JB_RC,"ALT")</f>
        <v/>
      </c>
      <c r="J78" s="45">
        <f>SUM(B78:I78)</f>
        <v/>
      </c>
    </row>
    <row r="79" ht="10" customHeight="1">
      <c r="A79" s="30" t="inlineStr">
        <is>
          <t>Ordnance</t>
        </is>
      </c>
      <c r="B79" s="45">
        <f>SUMIFS(JB_26BV,JB_B,1,JB_EX,"P-5c",JB_CC,"Ordnance",JB_H,"DDG",JB_RC,"ALT")</f>
        <v/>
      </c>
      <c r="C79" s="31">
        <f>SUMIFS(JB_26BV,JB_B,1,JB_EX,"P-5c",JB_CC,"Ordnance",JB_H,"FFG",JB_RC,"ALT")</f>
        <v/>
      </c>
      <c r="D79" s="31">
        <f>SUMIFS(JB_26BV,JB_B,1,JB_EX,"P-5c",JB_CC,"Ordnance",JB_H,"LPD",JB_RC,"ALT")</f>
        <v/>
      </c>
      <c r="E79" s="31">
        <f>SUMIFS(JB_26BV,JB_B,1,JB_EX,"P-5c",JB_CC,"Ordnance",JB_H,"LHA",JB_RC,"ALT")</f>
        <v/>
      </c>
      <c r="F79" s="31">
        <f>SUMIFS(JB_26BV,JB_B,1,JB_EX,"P-5c",JB_CC,"Ordnance",JB_H,"T-AGOS",JB_RC,"ALT")</f>
        <v/>
      </c>
      <c r="G79" s="31">
        <f>SUMIFS(JB_26BV,JB_B,1,JB_EX,"P-5c",JB_CC,"Ordnance",JB_H,"T-EPF",JB_RC,"ALT")</f>
        <v/>
      </c>
      <c r="H79" s="31">
        <f>SUMIFS(JB_26BV,JB_B,1,JB_EX,"P-5c",JB_CC,"Ordnance",JB_H,"T-AO",JB_RC,"ALT")</f>
        <v/>
      </c>
      <c r="I79" s="31">
        <f>SUMIFS(JB_26BV,JB_B,1,JB_EX,"P-5c",JB_CC,"Ordnance",JB_H,"T-ATS",JB_RC,"ALT")</f>
        <v/>
      </c>
      <c r="J79" s="45">
        <f>SUM(B79:I79)</f>
        <v/>
      </c>
    </row>
    <row r="80" ht="10" customHeight="1">
      <c r="A80" s="30" t="inlineStr">
        <is>
          <t>Other Cost</t>
        </is>
      </c>
      <c r="B80" s="45">
        <f>SUMIFS(JB_26BV,JB_B,1,JB_EX,"P-5c",JB_CC,"Other Cost",JB_H,"DDG",JB_RC,"ALT")</f>
        <v/>
      </c>
      <c r="C80" s="31">
        <f>SUMIFS(JB_26BV,JB_B,1,JB_EX,"P-5c",JB_CC,"Other Cost",JB_H,"FFG",JB_RC,"ALT")</f>
        <v/>
      </c>
      <c r="D80" s="31">
        <f>SUMIFS(JB_26BV,JB_B,1,JB_EX,"P-5c",JB_CC,"Other Cost",JB_H,"LPD",JB_RC,"ALT")</f>
        <v/>
      </c>
      <c r="E80" s="31">
        <f>SUMIFS(JB_26BV,JB_B,1,JB_EX,"P-5c",JB_CC,"Other Cost",JB_H,"LHA",JB_RC,"ALT")</f>
        <v/>
      </c>
      <c r="F80" s="31">
        <f>SUMIFS(JB_26BV,JB_B,1,JB_EX,"P-5c",JB_CC,"Other Cost",JB_H,"T-AGOS",JB_RC,"ALT")</f>
        <v/>
      </c>
      <c r="G80" s="31">
        <f>SUMIFS(JB_26BV,JB_B,1,JB_EX,"P-5c",JB_CC,"Other Cost",JB_H,"T-EPF",JB_RC,"ALT")</f>
        <v/>
      </c>
      <c r="H80" s="31">
        <f>SUMIFS(JB_26BV,JB_B,1,JB_EX,"P-5c",JB_CC,"Other Cost",JB_H,"T-AO",JB_RC,"ALT")</f>
        <v/>
      </c>
      <c r="I80" s="31">
        <f>SUMIFS(JB_26BV,JB_B,1,JB_EX,"P-5c",JB_CC,"Other Cost",JB_H,"T-ATS",JB_RC,"ALT")</f>
        <v/>
      </c>
      <c r="J80" s="45">
        <f>SUM(B80:I80)</f>
        <v/>
      </c>
    </row>
    <row r="81" ht="10" customHeight="1">
      <c r="A81" s="32" t="inlineStr">
        <is>
          <t>Gross Total ($K)</t>
        </is>
      </c>
      <c r="B81" s="44">
        <f>SUM(B74:B80)</f>
        <v/>
      </c>
      <c r="C81" s="33">
        <f>SUM(C74:C80)</f>
        <v/>
      </c>
      <c r="D81" s="33">
        <f>SUM(D74:D80)</f>
        <v/>
      </c>
      <c r="E81" s="33">
        <f>SUM(E74:E80)</f>
        <v/>
      </c>
      <c r="F81" s="33">
        <f>SUM(F74:F80)</f>
        <v/>
      </c>
      <c r="G81" s="33">
        <f>SUM(G74:G80)</f>
        <v/>
      </c>
      <c r="H81" s="33">
        <f>SUM(H74:H80)</f>
        <v/>
      </c>
      <c r="I81" s="33">
        <f>SUM(I74:I80)</f>
        <v/>
      </c>
      <c r="J81" s="44">
        <f>SUM(J74:J80)</f>
        <v/>
      </c>
    </row>
    <row r="82" ht="10" customHeight="1"/>
    <row r="83" ht="10" customHeight="1">
      <c r="A83" s="46" t="inlineStr">
        <is>
          <t>Cost category mix (% of gross total per hull program)</t>
        </is>
      </c>
      <c r="B83" s="41" t="n"/>
      <c r="C83" s="39" t="n"/>
      <c r="D83" s="39" t="n"/>
      <c r="E83" s="39" t="n"/>
      <c r="F83" s="39" t="n"/>
      <c r="G83" s="39" t="n"/>
      <c r="H83" s="39" t="n"/>
      <c r="I83" s="39" t="n"/>
      <c r="J83" s="41" t="n"/>
    </row>
    <row r="84" ht="10" customHeight="1">
      <c r="A84" s="29" t="inlineStr">
        <is>
          <t>Cost Category</t>
        </is>
      </c>
      <c r="B84" s="42" t="inlineStr">
        <is>
          <t>DDG</t>
        </is>
      </c>
      <c r="C84" s="29" t="inlineStr">
        <is>
          <t>FFG</t>
        </is>
      </c>
      <c r="D84" s="29" t="inlineStr">
        <is>
          <t>LPD</t>
        </is>
      </c>
      <c r="E84" s="29" t="inlineStr">
        <is>
          <t>LHA</t>
        </is>
      </c>
      <c r="F84" s="29" t="inlineStr">
        <is>
          <t>T-AGOS</t>
        </is>
      </c>
      <c r="G84" s="29" t="inlineStr">
        <is>
          <t>T-EPF</t>
        </is>
      </c>
      <c r="H84" s="29" t="inlineStr">
        <is>
          <t>T-AO</t>
        </is>
      </c>
      <c r="I84" s="29" t="inlineStr">
        <is>
          <t>T-ATS</t>
        </is>
      </c>
      <c r="J84" s="42" t="inlineStr">
        <is>
          <t>Total</t>
        </is>
      </c>
    </row>
    <row r="85" ht="10" customHeight="1">
      <c r="A85" s="30" t="inlineStr">
        <is>
          <t>Plan Costs</t>
        </is>
      </c>
      <c r="B85" s="43">
        <f>IFERROR(B74/B$81,0)</f>
        <v/>
      </c>
      <c r="C85" s="37">
        <f>IFERROR(C74/C$81,0)</f>
        <v/>
      </c>
      <c r="D85" s="37">
        <f>IFERROR(D74/D$81,0)</f>
        <v/>
      </c>
      <c r="E85" s="37">
        <f>IFERROR(E74/E$81,0)</f>
        <v/>
      </c>
      <c r="F85" s="37">
        <f>IFERROR(F74/F$81,0)</f>
        <v/>
      </c>
      <c r="G85" s="37">
        <f>IFERROR(G74/G$81,0)</f>
        <v/>
      </c>
      <c r="H85" s="37">
        <f>IFERROR(H74/H$81,0)</f>
        <v/>
      </c>
      <c r="I85" s="37">
        <f>IFERROR(I74/I$81,0)</f>
        <v/>
      </c>
      <c r="J85" s="43">
        <f>IFERROR(J74/J$81,0)</f>
        <v/>
      </c>
    </row>
    <row r="86" ht="10" customHeight="1">
      <c r="A86" s="30" t="inlineStr">
        <is>
          <t>Basic Construction</t>
        </is>
      </c>
      <c r="B86" s="43">
        <f>IFERROR(B75/B$81,0)</f>
        <v/>
      </c>
      <c r="C86" s="37">
        <f>IFERROR(C75/C$81,0)</f>
        <v/>
      </c>
      <c r="D86" s="37">
        <f>IFERROR(D75/D$81,0)</f>
        <v/>
      </c>
      <c r="E86" s="37">
        <f>IFERROR(E75/E$81,0)</f>
        <v/>
      </c>
      <c r="F86" s="37">
        <f>IFERROR(F75/F$81,0)</f>
        <v/>
      </c>
      <c r="G86" s="37">
        <f>IFERROR(G75/G$81,0)</f>
        <v/>
      </c>
      <c r="H86" s="37">
        <f>IFERROR(H75/H$81,0)</f>
        <v/>
      </c>
      <c r="I86" s="37">
        <f>IFERROR(I75/I$81,0)</f>
        <v/>
      </c>
      <c r="J86" s="43">
        <f>IFERROR(J75/J$81,0)</f>
        <v/>
      </c>
    </row>
    <row r="87" ht="10" customHeight="1">
      <c r="A87" s="30" t="inlineStr">
        <is>
          <t>Change Orders</t>
        </is>
      </c>
      <c r="B87" s="43">
        <f>IFERROR(B76/B$81,0)</f>
        <v/>
      </c>
      <c r="C87" s="37">
        <f>IFERROR(C76/C$81,0)</f>
        <v/>
      </c>
      <c r="D87" s="37">
        <f>IFERROR(D76/D$81,0)</f>
        <v/>
      </c>
      <c r="E87" s="37">
        <f>IFERROR(E76/E$81,0)</f>
        <v/>
      </c>
      <c r="F87" s="37">
        <f>IFERROR(F76/F$81,0)</f>
        <v/>
      </c>
      <c r="G87" s="37">
        <f>IFERROR(G76/G$81,0)</f>
        <v/>
      </c>
      <c r="H87" s="37">
        <f>IFERROR(H76/H$81,0)</f>
        <v/>
      </c>
      <c r="I87" s="37">
        <f>IFERROR(I76/I$81,0)</f>
        <v/>
      </c>
      <c r="J87" s="43">
        <f>IFERROR(J76/J$81,0)</f>
        <v/>
      </c>
    </row>
    <row r="88" ht="10" customHeight="1">
      <c r="A88" s="30" t="inlineStr">
        <is>
          <t>Electronics</t>
        </is>
      </c>
      <c r="B88" s="43">
        <f>IFERROR(B77/B$81,0)</f>
        <v/>
      </c>
      <c r="C88" s="37">
        <f>IFERROR(C77/C$81,0)</f>
        <v/>
      </c>
      <c r="D88" s="37">
        <f>IFERROR(D77/D$81,0)</f>
        <v/>
      </c>
      <c r="E88" s="37">
        <f>IFERROR(E77/E$81,0)</f>
        <v/>
      </c>
      <c r="F88" s="37">
        <f>IFERROR(F77/F$81,0)</f>
        <v/>
      </c>
      <c r="G88" s="37">
        <f>IFERROR(G77/G$81,0)</f>
        <v/>
      </c>
      <c r="H88" s="37">
        <f>IFERROR(H77/H$81,0)</f>
        <v/>
      </c>
      <c r="I88" s="37">
        <f>IFERROR(I77/I$81,0)</f>
        <v/>
      </c>
      <c r="J88" s="43">
        <f>IFERROR(J77/J$81,0)</f>
        <v/>
      </c>
    </row>
    <row r="89" ht="10" customHeight="1">
      <c r="A89" s="30" t="inlineStr">
        <is>
          <t>Hull, Mechanical, and Electrical</t>
        </is>
      </c>
      <c r="B89" s="43">
        <f>IFERROR(B78/B$81,0)</f>
        <v/>
      </c>
      <c r="C89" s="37">
        <f>IFERROR(C78/C$81,0)</f>
        <v/>
      </c>
      <c r="D89" s="37">
        <f>IFERROR(D78/D$81,0)</f>
        <v/>
      </c>
      <c r="E89" s="37">
        <f>IFERROR(E78/E$81,0)</f>
        <v/>
      </c>
      <c r="F89" s="37">
        <f>IFERROR(F78/F$81,0)</f>
        <v/>
      </c>
      <c r="G89" s="37">
        <f>IFERROR(G78/G$81,0)</f>
        <v/>
      </c>
      <c r="H89" s="37">
        <f>IFERROR(H78/H$81,0)</f>
        <v/>
      </c>
      <c r="I89" s="37">
        <f>IFERROR(I78/I$81,0)</f>
        <v/>
      </c>
      <c r="J89" s="43">
        <f>IFERROR(J78/J$81,0)</f>
        <v/>
      </c>
    </row>
    <row r="90" ht="10" customHeight="1">
      <c r="A90" s="30" t="inlineStr">
        <is>
          <t>Ordnance</t>
        </is>
      </c>
      <c r="B90" s="43">
        <f>IFERROR(B79/B$81,0)</f>
        <v/>
      </c>
      <c r="C90" s="37">
        <f>IFERROR(C79/C$81,0)</f>
        <v/>
      </c>
      <c r="D90" s="37">
        <f>IFERROR(D79/D$81,0)</f>
        <v/>
      </c>
      <c r="E90" s="37">
        <f>IFERROR(E79/E$81,0)</f>
        <v/>
      </c>
      <c r="F90" s="37">
        <f>IFERROR(F79/F$81,0)</f>
        <v/>
      </c>
      <c r="G90" s="37">
        <f>IFERROR(G79/G$81,0)</f>
        <v/>
      </c>
      <c r="H90" s="37">
        <f>IFERROR(H79/H$81,0)</f>
        <v/>
      </c>
      <c r="I90" s="37">
        <f>IFERROR(I79/I$81,0)</f>
        <v/>
      </c>
      <c r="J90" s="43">
        <f>IFERROR(J79/J$81,0)</f>
        <v/>
      </c>
    </row>
    <row r="91" ht="10" customHeight="1">
      <c r="A91" s="30" t="inlineStr">
        <is>
          <t>Other Cost</t>
        </is>
      </c>
      <c r="B91" s="43">
        <f>IFERROR(B80/B$81,0)</f>
        <v/>
      </c>
      <c r="C91" s="37">
        <f>IFERROR(C80/C$81,0)</f>
        <v/>
      </c>
      <c r="D91" s="37">
        <f>IFERROR(D80/D$81,0)</f>
        <v/>
      </c>
      <c r="E91" s="37">
        <f>IFERROR(E80/E$81,0)</f>
        <v/>
      </c>
      <c r="F91" s="37">
        <f>IFERROR(F80/F$81,0)</f>
        <v/>
      </c>
      <c r="G91" s="37">
        <f>IFERROR(G80/G$81,0)</f>
        <v/>
      </c>
      <c r="H91" s="37">
        <f>IFERROR(H80/H$81,0)</f>
        <v/>
      </c>
      <c r="I91" s="37">
        <f>IFERROR(I80/I$81,0)</f>
        <v/>
      </c>
      <c r="J91" s="43">
        <f>IFERROR(J80/J$81,0)</f>
        <v/>
      </c>
    </row>
    <row r="92" ht="10" customHeight="1">
      <c r="A92" s="32" t="inlineStr">
        <is>
          <t>Total</t>
        </is>
      </c>
      <c r="B92" s="47" t="n">
        <v>1</v>
      </c>
      <c r="C92" s="38" t="n">
        <v>1</v>
      </c>
      <c r="D92" s="38" t="n">
        <v>1</v>
      </c>
      <c r="E92" s="38" t="n">
        <v>1</v>
      </c>
      <c r="F92" s="38" t="n">
        <v>1</v>
      </c>
      <c r="G92" s="38" t="n">
        <v>1</v>
      </c>
      <c r="H92" s="38" t="n">
        <v>1</v>
      </c>
      <c r="I92" s="38" t="n">
        <v>1</v>
      </c>
      <c r="J92" s="47" t="n">
        <v>1</v>
      </c>
    </row>
    <row r="93" ht="10" customHeight="1"/>
    <row r="94" ht="10" customHeight="1"/>
    <row r="95" ht="10" customHeight="1">
      <c r="A95" s="27" t="inlineStr">
        <is>
          <t>(F) Proportional Cost Category Allocation to SAM Net Totals — FY2026 ($K)</t>
        </is>
      </c>
      <c r="B95" s="28" t="n"/>
      <c r="C95" s="28" t="n"/>
      <c r="D95" s="28" t="n"/>
      <c r="E95" s="28" t="n"/>
      <c r="F95" s="28" t="n"/>
      <c r="G95" s="28" t="n"/>
      <c r="H95" s="28" t="n"/>
      <c r="I95" s="28" t="n"/>
      <c r="J95" s="28" t="n"/>
    </row>
    <row r="96" ht="10" customHeight="1">
      <c r="A96" s="26" t="inlineStr">
        <is>
          <t>P-5c percentage mix from (E) applied to SAM net budget-authority totals from (D). Totals reconcile to SAM.</t>
        </is>
      </c>
    </row>
    <row r="97" ht="10" customHeight="1">
      <c r="A97" s="39" t="n"/>
      <c r="B97" s="40" t="inlineStr">
        <is>
          <t>USN</t>
        </is>
      </c>
      <c r="C97" s="39" t="n"/>
      <c r="D97" s="39" t="n"/>
      <c r="E97" s="39" t="n"/>
      <c r="F97" s="39" t="n"/>
      <c r="G97" s="39" t="n"/>
      <c r="H97" s="39" t="n"/>
      <c r="I97" s="39" t="n"/>
      <c r="J97" s="41" t="n"/>
    </row>
    <row r="98" ht="10" customHeight="1">
      <c r="A98" s="29" t="inlineStr">
        <is>
          <t>Cost Category</t>
        </is>
      </c>
      <c r="B98" s="42" t="inlineStr">
        <is>
          <t>DDG</t>
        </is>
      </c>
      <c r="C98" s="29" t="inlineStr">
        <is>
          <t>FFG</t>
        </is>
      </c>
      <c r="D98" s="29" t="inlineStr">
        <is>
          <t>LPD</t>
        </is>
      </c>
      <c r="E98" s="29" t="inlineStr">
        <is>
          <t>LHA</t>
        </is>
      </c>
      <c r="F98" s="29" t="inlineStr">
        <is>
          <t>T-AGOS</t>
        </is>
      </c>
      <c r="G98" s="29" t="inlineStr">
        <is>
          <t>T-EPF</t>
        </is>
      </c>
      <c r="H98" s="29" t="inlineStr">
        <is>
          <t>T-AO</t>
        </is>
      </c>
      <c r="I98" s="29" t="inlineStr">
        <is>
          <t>T-ATS</t>
        </is>
      </c>
      <c r="J98" s="42" t="inlineStr">
        <is>
          <t>Total</t>
        </is>
      </c>
    </row>
    <row r="99" ht="10" customHeight="1">
      <c r="A99" s="35" t="inlineStr">
        <is>
          <t>SAM Net Total ($K)</t>
        </is>
      </c>
      <c r="B99" s="48">
        <f>SUMIFS(JB_26BV,JB_B,1,JB_H,"DDG",JB_RC,"ADD")</f>
        <v/>
      </c>
      <c r="C99" s="36">
        <f>SUMIFS(JB_26BV,JB_B,1,JB_H,"FFG",JB_RC,"ADD")</f>
        <v/>
      </c>
      <c r="D99" s="36">
        <f>SUMIFS(JB_26BV,JB_B,1,JB_H,"LPD",JB_RC,"ADD")</f>
        <v/>
      </c>
      <c r="E99" s="36">
        <f>SUMIFS(JB_26BV,JB_B,1,JB_H,"LHA",JB_RC,"ADD")</f>
        <v/>
      </c>
      <c r="F99" s="36">
        <f>SUMIFS(JB_26BV,JB_B,1,JB_H,"T-AGOS",JB_RC,"ADD")</f>
        <v/>
      </c>
      <c r="G99" s="36">
        <f>SUMIFS(JB_26BV,JB_B,1,JB_H,"T-EPF",JB_RC,"ADD")</f>
        <v/>
      </c>
      <c r="H99" s="36">
        <f>SUMIFS(JB_26BV,JB_B,1,JB_H,"T-AO",JB_RC,"ADD")</f>
        <v/>
      </c>
      <c r="I99" s="36">
        <f>SUMIFS(JB_26BV,JB_B,1,JB_H,"T-ATS",JB_RC,"ADD")</f>
        <v/>
      </c>
      <c r="J99" s="48">
        <f>SUM(B99:I99)</f>
        <v/>
      </c>
    </row>
    <row r="100" ht="10" customHeight="1">
      <c r="A100" s="30" t="inlineStr">
        <is>
          <t>Plan Costs</t>
        </is>
      </c>
      <c r="B100" s="45">
        <f>IFERROR(B$99*B85,0)</f>
        <v/>
      </c>
      <c r="C100" s="31">
        <f>IFERROR(C$99*C85,0)</f>
        <v/>
      </c>
      <c r="D100" s="31">
        <f>IFERROR(D$99*D85,0)</f>
        <v/>
      </c>
      <c r="E100" s="31">
        <f>IFERROR(E$99*E85,0)</f>
        <v/>
      </c>
      <c r="F100" s="31">
        <f>IFERROR(F$99*F85,0)</f>
        <v/>
      </c>
      <c r="G100" s="31">
        <f>IFERROR(G$99*G85,0)</f>
        <v/>
      </c>
      <c r="H100" s="31">
        <f>IFERROR(H$99*H85,0)</f>
        <v/>
      </c>
      <c r="I100" s="31">
        <f>IFERROR(I$99*I85,0)</f>
        <v/>
      </c>
      <c r="J100" s="45">
        <f>IFERROR(J$99*J85,0)</f>
        <v/>
      </c>
    </row>
    <row r="101" ht="10" customHeight="1">
      <c r="A101" s="30" t="inlineStr">
        <is>
          <t>Basic Construction</t>
        </is>
      </c>
      <c r="B101" s="45">
        <f>IFERROR(B$99*B86,0)</f>
        <v/>
      </c>
      <c r="C101" s="31">
        <f>IFERROR(C$99*C86,0)</f>
        <v/>
      </c>
      <c r="D101" s="31">
        <f>IFERROR(D$99*D86,0)</f>
        <v/>
      </c>
      <c r="E101" s="31">
        <f>IFERROR(E$99*E86,0)</f>
        <v/>
      </c>
      <c r="F101" s="31">
        <f>IFERROR(F$99*F86,0)</f>
        <v/>
      </c>
      <c r="G101" s="31">
        <f>IFERROR(G$99*G86,0)</f>
        <v/>
      </c>
      <c r="H101" s="31">
        <f>IFERROR(H$99*H86,0)</f>
        <v/>
      </c>
      <c r="I101" s="31">
        <f>IFERROR(I$99*I86,0)</f>
        <v/>
      </c>
      <c r="J101" s="45">
        <f>IFERROR(J$99*J86,0)</f>
        <v/>
      </c>
    </row>
    <row r="102" ht="10" customHeight="1">
      <c r="A102" s="30" t="inlineStr">
        <is>
          <t>Change Orders</t>
        </is>
      </c>
      <c r="B102" s="45">
        <f>IFERROR(B$99*B87,0)</f>
        <v/>
      </c>
      <c r="C102" s="31">
        <f>IFERROR(C$99*C87,0)</f>
        <v/>
      </c>
      <c r="D102" s="31">
        <f>IFERROR(D$99*D87,0)</f>
        <v/>
      </c>
      <c r="E102" s="31">
        <f>IFERROR(E$99*E87,0)</f>
        <v/>
      </c>
      <c r="F102" s="31">
        <f>IFERROR(F$99*F87,0)</f>
        <v/>
      </c>
      <c r="G102" s="31">
        <f>IFERROR(G$99*G87,0)</f>
        <v/>
      </c>
      <c r="H102" s="31">
        <f>IFERROR(H$99*H87,0)</f>
        <v/>
      </c>
      <c r="I102" s="31">
        <f>IFERROR(I$99*I87,0)</f>
        <v/>
      </c>
      <c r="J102" s="45">
        <f>IFERROR(J$99*J87,0)</f>
        <v/>
      </c>
    </row>
    <row r="103" ht="10" customHeight="1">
      <c r="A103" s="30" t="inlineStr">
        <is>
          <t>Electronics</t>
        </is>
      </c>
      <c r="B103" s="45">
        <f>IFERROR(B$99*B88,0)</f>
        <v/>
      </c>
      <c r="C103" s="31">
        <f>IFERROR(C$99*C88,0)</f>
        <v/>
      </c>
      <c r="D103" s="31">
        <f>IFERROR(D$99*D88,0)</f>
        <v/>
      </c>
      <c r="E103" s="31">
        <f>IFERROR(E$99*E88,0)</f>
        <v/>
      </c>
      <c r="F103" s="31">
        <f>IFERROR(F$99*F88,0)</f>
        <v/>
      </c>
      <c r="G103" s="31">
        <f>IFERROR(G$99*G88,0)</f>
        <v/>
      </c>
      <c r="H103" s="31">
        <f>IFERROR(H$99*H88,0)</f>
        <v/>
      </c>
      <c r="I103" s="31">
        <f>IFERROR(I$99*I88,0)</f>
        <v/>
      </c>
      <c r="J103" s="45">
        <f>IFERROR(J$99*J88,0)</f>
        <v/>
      </c>
    </row>
    <row r="104" ht="10" customHeight="1">
      <c r="A104" s="30" t="inlineStr">
        <is>
          <t>Hull, Mechanical, and Electrical</t>
        </is>
      </c>
      <c r="B104" s="45">
        <f>IFERROR(B$99*B89,0)</f>
        <v/>
      </c>
      <c r="C104" s="31">
        <f>IFERROR(C$99*C89,0)</f>
        <v/>
      </c>
      <c r="D104" s="31">
        <f>IFERROR(D$99*D89,0)</f>
        <v/>
      </c>
      <c r="E104" s="31">
        <f>IFERROR(E$99*E89,0)</f>
        <v/>
      </c>
      <c r="F104" s="31">
        <f>IFERROR(F$99*F89,0)</f>
        <v/>
      </c>
      <c r="G104" s="31">
        <f>IFERROR(G$99*G89,0)</f>
        <v/>
      </c>
      <c r="H104" s="31">
        <f>IFERROR(H$99*H89,0)</f>
        <v/>
      </c>
      <c r="I104" s="31">
        <f>IFERROR(I$99*I89,0)</f>
        <v/>
      </c>
      <c r="J104" s="45">
        <f>IFERROR(J$99*J89,0)</f>
        <v/>
      </c>
    </row>
    <row r="105" ht="10" customHeight="1">
      <c r="A105" s="30" t="inlineStr">
        <is>
          <t>Ordnance</t>
        </is>
      </c>
      <c r="B105" s="45">
        <f>IFERROR(B$99*B90,0)</f>
        <v/>
      </c>
      <c r="C105" s="31">
        <f>IFERROR(C$99*C90,0)</f>
        <v/>
      </c>
      <c r="D105" s="31">
        <f>IFERROR(D$99*D90,0)</f>
        <v/>
      </c>
      <c r="E105" s="31">
        <f>IFERROR(E$99*E90,0)</f>
        <v/>
      </c>
      <c r="F105" s="31">
        <f>IFERROR(F$99*F90,0)</f>
        <v/>
      </c>
      <c r="G105" s="31">
        <f>IFERROR(G$99*G90,0)</f>
        <v/>
      </c>
      <c r="H105" s="31">
        <f>IFERROR(H$99*H90,0)</f>
        <v/>
      </c>
      <c r="I105" s="31">
        <f>IFERROR(I$99*I90,0)</f>
        <v/>
      </c>
      <c r="J105" s="45">
        <f>IFERROR(J$99*J90,0)</f>
        <v/>
      </c>
    </row>
    <row r="106" ht="10" customHeight="1">
      <c r="A106" s="30" t="inlineStr">
        <is>
          <t>Other Cost</t>
        </is>
      </c>
      <c r="B106" s="45">
        <f>IFERROR(B$99*B91,0)</f>
        <v/>
      </c>
      <c r="C106" s="31">
        <f>IFERROR(C$99*C91,0)</f>
        <v/>
      </c>
      <c r="D106" s="31">
        <f>IFERROR(D$99*D91,0)</f>
        <v/>
      </c>
      <c r="E106" s="31">
        <f>IFERROR(E$99*E91,0)</f>
        <v/>
      </c>
      <c r="F106" s="31">
        <f>IFERROR(F$99*F91,0)</f>
        <v/>
      </c>
      <c r="G106" s="31">
        <f>IFERROR(G$99*G91,0)</f>
        <v/>
      </c>
      <c r="H106" s="31">
        <f>IFERROR(H$99*H91,0)</f>
        <v/>
      </c>
      <c r="I106" s="31">
        <f>IFERROR(I$99*I91,0)</f>
        <v/>
      </c>
      <c r="J106" s="45">
        <f>IFERROR(J$99*J91,0)</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AN/SPY-6(V)1 (AMDR)</t>
        </is>
      </c>
      <c r="B22" s="26" t="inlineStr">
        <is>
          <t>Ordnance</t>
        </is>
      </c>
      <c r="C22" s="49">
        <f>SUMIFS(JB_26BV,JB_B,1,JB_EX,"P-8a",JB_CC,"Ordnance",JB_H,"DDG",JB_CE,"AN/SPY-6(V)1 (AMDR)",JB_RC,"ALT")</f>
        <v/>
      </c>
      <c r="D22" s="37">
        <f>IFERROR(C22/C$80,0)</f>
        <v/>
      </c>
    </row>
    <row r="23" ht="10" customHeight="1">
      <c r="A23" s="30" t="inlineStr">
        <is>
          <t>AEGIS WEAPON SYSTEM (MK-7)</t>
        </is>
      </c>
      <c r="B23" s="26" t="inlineStr">
        <is>
          <t>Ordnance</t>
        </is>
      </c>
      <c r="C23" s="49">
        <f>SUMIFS(JB_26BV,JB_B,1,JB_EX,"P-8a",JB_CC,"Ordnance",JB_H,"DDG",JB_CE,"AEGIS WEAPON SYSTEM (MK-7)",JB_RC,"ALT")</f>
        <v/>
      </c>
      <c r="D23" s="37">
        <f>IFERROR(C23/C$80,0)</f>
        <v/>
      </c>
    </row>
    <row r="24" ht="10" customHeight="1">
      <c r="A24" s="30" t="inlineStr">
        <is>
          <t>ADVANCED GUN SYSTEM (AGS)</t>
        </is>
      </c>
      <c r="B24" s="26" t="inlineStr">
        <is>
          <t>Ordnance</t>
        </is>
      </c>
      <c r="C24" s="49">
        <f>SUMIFS(JB_26BV,JB_B,1,JB_EX,"P-8a",JB_CC,"Ordnance",JB_H,"DDG",JB_CE,"ADVANCED GUN SYSTEM (AGS)",JB_RC,"ALT")</f>
        <v/>
      </c>
      <c r="D24" s="37">
        <f>IFERROR(C24/C$80,0)</f>
        <v/>
      </c>
    </row>
    <row r="25" ht="10" customHeight="1">
      <c r="A25" s="30" t="inlineStr">
        <is>
          <t>VLS MK 41</t>
        </is>
      </c>
      <c r="B25" s="26" t="inlineStr">
        <is>
          <t>Ordnance</t>
        </is>
      </c>
      <c r="C25" s="49">
        <f>SUMIFS(JB_26BV,JB_B,1,JB_EX,"P-8a",JB_CC,"Ordnance",JB_H,"DDG",JB_CE,"VLS MK 41",JB_RC,"ALT")</f>
        <v/>
      </c>
      <c r="D25" s="37">
        <f>IFERROR(C25/C$80,0)</f>
        <v/>
      </c>
    </row>
    <row r="26" ht="10" customHeight="1">
      <c r="A26" s="30" t="inlineStr">
        <is>
          <t>MISC. ORDNANCE</t>
        </is>
      </c>
      <c r="B26" s="26" t="inlineStr">
        <is>
          <t>Ordnance</t>
        </is>
      </c>
      <c r="C26" s="49">
        <f>SUMIFS(JB_26BV,JB_B,1,JB_EX,"P-8a",JB_CC,"Ordnance",JB_H,"DDG",JB_CE,"MISC. ORDNANCE",JB_RC,"ALT")</f>
        <v/>
      </c>
      <c r="D26" s="37">
        <f>IFERROR(C26/C$80,0)</f>
        <v/>
      </c>
    </row>
    <row r="27" ht="10" customHeight="1">
      <c r="A27" s="30" t="inlineStr">
        <is>
          <t>MK 45 Light Weight Gun (LWG)</t>
        </is>
      </c>
      <c r="B27" s="26" t="inlineStr">
        <is>
          <t>Ordnance</t>
        </is>
      </c>
      <c r="C27" s="49">
        <f>SUMIFS(JB_26BV,JB_B,1,JB_EX,"P-8a",JB_CC,"Ordnance",JB_H,"DDG",JB_CE,"MK 45 Light Weight Gun (LWG)",JB_RC,"ALT")</f>
        <v/>
      </c>
      <c r="D27" s="37">
        <f>IFERROR(C27/C$80,0)</f>
        <v/>
      </c>
    </row>
    <row r="28" ht="10" customHeight="1">
      <c r="A28" s="30" t="inlineStr">
        <is>
          <t>MK 37 TOMAHAWK</t>
        </is>
      </c>
      <c r="B28" s="26" t="inlineStr">
        <is>
          <t>Ordnance</t>
        </is>
      </c>
      <c r="C28" s="49">
        <f>SUMIFS(JB_26BV,JB_B,1,JB_EX,"P-8a",JB_CC,"Ordnance",JB_H,"DDG",JB_CE,"MK 37 TOMAHAWK",JB_RC,"ALT")</f>
        <v/>
      </c>
      <c r="D28" s="37">
        <f>IFERROR(C28/C$80,0)</f>
        <v/>
      </c>
    </row>
    <row r="29" ht="10" customHeight="1">
      <c r="A29" s="30" t="inlineStr">
        <is>
          <t>SPQ-9B Radar</t>
        </is>
      </c>
      <c r="B29" s="26" t="inlineStr">
        <is>
          <t>Ordnance</t>
        </is>
      </c>
      <c r="C29" s="49">
        <f>SUMIFS(JB_26BV,JB_B,1,JB_EX,"P-8a",JB_CC,"Ordnance",JB_H,"DDG",JB_CE,"SPQ-9B Radar",JB_RC,"ALT")</f>
        <v/>
      </c>
      <c r="D29" s="37">
        <f>IFERROR(C29/C$80,0)</f>
        <v/>
      </c>
    </row>
    <row r="30" ht="10" customHeight="1">
      <c r="A30" s="30" t="inlineStr">
        <is>
          <t>PHALANX (CIWS)</t>
        </is>
      </c>
      <c r="B30" s="26" t="inlineStr">
        <is>
          <t>Ordnance</t>
        </is>
      </c>
      <c r="C30" s="49">
        <f>SUMIFS(JB_26BV,JB_B,1,JB_EX,"P-8a",JB_CC,"Ordnance",JB_H,"DDG",JB_CE,"PHALANX (CIWS)",JB_RC,"ALT")</f>
        <v/>
      </c>
      <c r="D30" s="37">
        <f>IFERROR(C30/C$80,0)</f>
        <v/>
      </c>
    </row>
    <row r="31" ht="10" customHeight="1">
      <c r="A31" s="30" t="inlineStr">
        <is>
          <t>DDG 1002 Missile Tubes (CPS)</t>
        </is>
      </c>
      <c r="B31" s="26" t="inlineStr">
        <is>
          <t>Ordnance</t>
        </is>
      </c>
      <c r="C31" s="49">
        <f>SUMIFS(JB_26BV,JB_B,1,JB_EX,"P-8a",JB_CC,"Ordnance",JB_H,"DDG",JB_CE,"DDG 1002 Missile Tubes (CPS)",JB_RC,"ALT")</f>
        <v/>
      </c>
      <c r="D31" s="37">
        <f>IFERROR(C31/C$80,0)</f>
        <v/>
      </c>
    </row>
    <row r="32" ht="10" customHeight="1">
      <c r="A32" s="30" t="inlineStr">
        <is>
          <t>MK-38 Gun Weapon System (GWS)</t>
        </is>
      </c>
      <c r="B32" s="26" t="inlineStr">
        <is>
          <t>Ordnance</t>
        </is>
      </c>
      <c r="C32" s="49">
        <f>SUMIFS(JB_26BV,JB_B,1,JB_EX,"P-8a",JB_CC,"Ordnance",JB_H,"DDG",JB_CE,"MK-38 Gun Weapon System (GWS)",JB_RC,"ALT")</f>
        <v/>
      </c>
      <c r="D32" s="37">
        <f>IFERROR(C32/C$80,0)</f>
        <v/>
      </c>
    </row>
    <row r="33" ht="10" customHeight="1">
      <c r="A33" s="30" t="inlineStr">
        <is>
          <t>DDG 1002 Rubber Boots, Hatches, Shock Isolation (CPS)</t>
        </is>
      </c>
      <c r="B33" s="26" t="inlineStr">
        <is>
          <t>Ordnance</t>
        </is>
      </c>
      <c r="C33" s="49">
        <f>SUMIFS(JB_26BV,JB_B,1,JB_EX,"P-8a",JB_CC,"Ordnance",JB_H,"DDG",JB_CE,"DDG 1002 Rubber Boots, Hatches, Shock Isolation (CPS)",JB_RC,"ALT")</f>
        <v/>
      </c>
      <c r="D33" s="37">
        <f>IFERROR(C33/C$80,0)</f>
        <v/>
      </c>
    </row>
    <row r="34" ht="10" customHeight="1">
      <c r="A34" s="30" t="inlineStr">
        <is>
          <t>CLOSE-IN GUN SYSTEM (CIGS)</t>
        </is>
      </c>
      <c r="B34" s="26" t="inlineStr">
        <is>
          <t>Ordnance</t>
        </is>
      </c>
      <c r="C34" s="49">
        <f>SUMIFS(JB_26BV,JB_B,1,JB_EX,"P-8a",JB_CC,"Ordnance",JB_H,"DDG",JB_CE,"CLOSE-IN GUN SYSTEM (CIGS)",JB_RC,"ALT")</f>
        <v/>
      </c>
      <c r="D34" s="37">
        <f>IFERROR(C34/C$80,0)</f>
        <v/>
      </c>
    </row>
    <row r="35" ht="10" customHeight="1">
      <c r="A35" s="30" t="inlineStr">
        <is>
          <t>MK 160 Gun Fire Control System (GFCS)</t>
        </is>
      </c>
      <c r="B35" s="26" t="inlineStr">
        <is>
          <t>Ordnance</t>
        </is>
      </c>
      <c r="C35" s="49">
        <f>SUMIFS(JB_26BV,JB_B,1,JB_EX,"P-8a",JB_CC,"Ordnance",JB_H,"DDG",JB_CE,"MK 160 Gun Fire Control System (GFCS)",JB_RC,"ALT")</f>
        <v/>
      </c>
      <c r="D35" s="37">
        <f>IFERROR(C35/C$80,0)</f>
        <v/>
      </c>
    </row>
    <row r="36" ht="10" customHeight="1">
      <c r="A36" s="30" t="inlineStr">
        <is>
          <t>ELECTRO-OPTICAL SYSTEM</t>
        </is>
      </c>
      <c r="B36" s="26" t="inlineStr">
        <is>
          <t>Ordnance</t>
        </is>
      </c>
      <c r="C36" s="49">
        <f>SUMIFS(JB_26BV,JB_B,1,JB_EX,"P-8a",JB_CC,"Ordnance",JB_H,"DDG",JB_CE,"ELECTRO-OPTICAL SYSTEM",JB_RC,"ALT")</f>
        <v/>
      </c>
      <c r="D36" s="37">
        <f>IFERROR(C36/C$80,0)</f>
        <v/>
      </c>
    </row>
    <row r="37" ht="10" customHeight="1">
      <c r="A37" s="30" t="inlineStr">
        <is>
          <t>MK 32 Surface Vessel Torpedo Tubes (SVTT)</t>
        </is>
      </c>
      <c r="B37" s="26" t="inlineStr">
        <is>
          <t>Ordnance</t>
        </is>
      </c>
      <c r="C37" s="49">
        <f>SUMIFS(JB_26BV,JB_B,1,JB_EX,"P-8a",JB_CC,"Ordnance",JB_H,"DDG",JB_CE,"MK 32 Surface Vessel Torpedo Tubes (SVTT)",JB_RC,"ALT")</f>
        <v/>
      </c>
      <c r="D37" s="37">
        <f>IFERROR(C37/C$80,0)</f>
        <v/>
      </c>
    </row>
    <row r="38" ht="10" customHeight="1">
      <c r="A38" s="30" t="inlineStr">
        <is>
          <t>MISC. HM&amp;E</t>
        </is>
      </c>
      <c r="B38" s="26" t="inlineStr">
        <is>
          <t>Hull, Mechanical, and Electrical</t>
        </is>
      </c>
      <c r="C38" s="49">
        <f>SUMIFS(JB_26BV,JB_B,1,JB_EX,"P-8a",JB_CC,"Hull, Mechanical, and Electrical",JB_H,"DDG",JB_CE,"MISC. HM&amp;E",JB_RC,"ALT")</f>
        <v/>
      </c>
      <c r="D38" s="37">
        <f>IFERROR(C38/C$80,0)</f>
        <v/>
      </c>
    </row>
    <row r="39" ht="10" customHeight="1">
      <c r="A39" s="30" t="inlineStr">
        <is>
          <t>MAIN TURBINE GENERATOR (MTG)</t>
        </is>
      </c>
      <c r="B39" s="26" t="inlineStr">
        <is>
          <t>Hull, Mechanical, and Electrical</t>
        </is>
      </c>
      <c r="C39" s="49">
        <f>SUMIFS(JB_26BV,JB_B,1,JB_EX,"P-8a",JB_CC,"Hull, Mechanical, and Electrical",JB_H,"DDG",JB_CE,"MAIN TURBINE GENERATOR (MTG)",JB_RC,"ALT")</f>
        <v/>
      </c>
      <c r="D39" s="37">
        <f>IFERROR(C39/C$80,0)</f>
        <v/>
      </c>
    </row>
    <row r="40" ht="10" customHeight="1">
      <c r="A40" s="30" t="inlineStr">
        <is>
          <t>Integrated Bridge Navigation System</t>
        </is>
      </c>
      <c r="B40" s="26" t="inlineStr">
        <is>
          <t>Hull, Mechanical, and Electrical</t>
        </is>
      </c>
      <c r="C40" s="49">
        <f>SUMIFS(JB_26BV,JB_B,1,JB_EX,"P-8a",JB_CC,"Hull, Mechanical, and Electrical",JB_H,"DDG",JB_CE,"Integrated Bridge Navigation System",JB_RC,"ALT")</f>
        <v/>
      </c>
      <c r="D40" s="37">
        <f>IFERROR(C40/C$80,0)</f>
        <v/>
      </c>
    </row>
    <row r="41" ht="10" customHeight="1">
      <c r="A41" s="30" t="inlineStr">
        <is>
          <t>STC 3 IVCS</t>
        </is>
      </c>
      <c r="B41" s="26" t="inlineStr">
        <is>
          <t>Hull, Mechanical, and Electrical</t>
        </is>
      </c>
      <c r="C41" s="49">
        <f>SUMIFS(JB_26BV,JB_B,1,JB_EX,"P-8a",JB_CC,"Hull, Mechanical, and Electrical",JB_H,"DDG",JB_CE,"STC 3 IVCS",JB_RC,"ALT")</f>
        <v/>
      </c>
      <c r="D41" s="37">
        <f>IFERROR(C41/C$80,0)</f>
        <v/>
      </c>
    </row>
    <row r="42" ht="10" customHeight="1">
      <c r="A42" s="30" t="inlineStr">
        <is>
          <t>Machinery Control System</t>
        </is>
      </c>
      <c r="B42" s="26" t="inlineStr">
        <is>
          <t>Hull, Mechanical, and Electrical</t>
        </is>
      </c>
      <c r="C42" s="49">
        <f>SUMIFS(JB_26BV,JB_B,1,JB_EX,"P-8a",JB_CC,"Hull, Mechanical, and Electrical",JB_H,"DDG",JB_CE,"Machinery Control System",JB_RC,"ALT")</f>
        <v/>
      </c>
      <c r="D42" s="37">
        <f>IFERROR(C42/C$80,0)</f>
        <v/>
      </c>
    </row>
    <row r="43" ht="10" customHeight="1">
      <c r="A43" s="30" t="inlineStr">
        <is>
          <t>CYBER BDC</t>
        </is>
      </c>
      <c r="B43" s="26" t="inlineStr">
        <is>
          <t>Hull, Mechanical, and Electrical</t>
        </is>
      </c>
      <c r="C43" s="49">
        <f>SUMIFS(JB_26BV,JB_B,1,JB_EX,"P-8a",JB_CC,"Hull, Mechanical, and Electrical",JB_H,"DDG",JB_CE,"CYBER BDC",JB_RC,"ALT")</f>
        <v/>
      </c>
      <c r="D43" s="37">
        <f>IFERROR(C43/C$80,0)</f>
        <v/>
      </c>
    </row>
    <row r="44" ht="10" customHeight="1">
      <c r="A44" s="30" t="inlineStr">
        <is>
          <t>WSN 12</t>
        </is>
      </c>
      <c r="B44" s="26" t="inlineStr">
        <is>
          <t>Hull, Mechanical, and Electrical</t>
        </is>
      </c>
      <c r="C44" s="49">
        <f>SUMIFS(JB_26BV,JB_B,1,JB_EX,"P-8a",JB_CC,"Hull, Mechanical, and Electrical",JB_H,"DDG",JB_CE,"WSN 12",JB_RC,"ALT")</f>
        <v/>
      </c>
      <c r="D44" s="37">
        <f>IFERROR(C44/C$80,0)</f>
        <v/>
      </c>
    </row>
    <row r="45" ht="10" customHeight="1">
      <c r="A45" s="30" t="inlineStr">
        <is>
          <t>HM&amp;E (NGVLA, Moriah Wind Measurement System (WMS), Aviation Integration)</t>
        </is>
      </c>
      <c r="B45" s="26" t="inlineStr">
        <is>
          <t>Hull, Mechanical, and Electrical</t>
        </is>
      </c>
      <c r="C45" s="49">
        <f>SUMIFS(JB_26BV,JB_B,1,JB_EX,"P-8a",JB_CC,"Hull, Mechanical, and Electrical",JB_H,"DDG",JB_CE,"HM&amp;E (NGVLA, Moriah Wind Measurement System (WMS), Aviation Integration)",JB_RC,"ALT")</f>
        <v/>
      </c>
      <c r="D45" s="37">
        <f>IFERROR(C45/C$80,0)</f>
        <v/>
      </c>
    </row>
    <row r="46" ht="10" customHeight="1">
      <c r="A46" s="30" t="inlineStr">
        <is>
          <t>INTERIM SPARES</t>
        </is>
      </c>
      <c r="B46" s="26" t="inlineStr">
        <is>
          <t>Hull, Mechanical, and Electrical</t>
        </is>
      </c>
      <c r="C46" s="49">
        <f>SUMIFS(JB_26BV,JB_B,1,JB_EX,"P-8a",JB_CC,"Hull, Mechanical, and Electrical",JB_H,"DDG",JB_CE,"INTERIM SPARES",JB_RC,"ALT")</f>
        <v/>
      </c>
      <c r="D46" s="37">
        <f>IFERROR(C46/C$80,0)</f>
        <v/>
      </c>
    </row>
    <row r="47" ht="10" customHeight="1">
      <c r="A47" s="30" t="inlineStr">
        <is>
          <t>RIGID HULL INFLATABLE BOAT (RHIB)</t>
        </is>
      </c>
      <c r="B47" s="26" t="inlineStr">
        <is>
          <t>Hull, Mechanical, and Electrical</t>
        </is>
      </c>
      <c r="C47" s="49">
        <f>SUMIFS(JB_26BV,JB_B,1,JB_EX,"P-8a",JB_CC,"Hull, Mechanical, and Electrical",JB_H,"DDG",JB_CE,"RIGID HULL INFLATABLE BOAT (RHIB)",JB_RC,"ALT")</f>
        <v/>
      </c>
      <c r="D47" s="37">
        <f>IFERROR(C47/C$80,0)</f>
        <v/>
      </c>
    </row>
    <row r="48" ht="10" customHeight="1">
      <c r="A48" s="30" t="inlineStr">
        <is>
          <t>VERTICAL LAUNCHING SYSTEM (VLS) MK 57 4-CELL MODULES</t>
        </is>
      </c>
      <c r="B48" s="26" t="inlineStr">
        <is>
          <t>Electronics</t>
        </is>
      </c>
      <c r="C48" s="49">
        <f>SUMIFS(JB_26BV,JB_B,1,JB_EX,"P-8a",JB_CC,"Electronics",JB_H,"DDG",JB_CE,"VERTICAL LAUNCHING SYSTEM (VLS) MK 57 4-CELL MODULES",JB_RC,"ALT")</f>
        <v/>
      </c>
      <c r="D48" s="37">
        <f>IFERROR(C48/C$80,0)</f>
        <v/>
      </c>
    </row>
    <row r="49" ht="10" customHeight="1">
      <c r="A49" s="30" t="inlineStr">
        <is>
          <t>MULTI FUNCTION RADAR (MFR)</t>
        </is>
      </c>
      <c r="B49" s="26" t="inlineStr">
        <is>
          <t>Electronics</t>
        </is>
      </c>
      <c r="C49" s="49">
        <f>SUMIFS(JB_26BV,JB_B,1,JB_EX,"P-8a",JB_CC,"Electronics",JB_H,"DDG",JB_CE,"MULTI FUNCTION RADAR (MFR)",JB_RC,"ALT")</f>
        <v/>
      </c>
      <c r="D49" s="37">
        <f>IFERROR(C49/C$80,0)</f>
        <v/>
      </c>
    </row>
    <row r="50" ht="10" customHeight="1">
      <c r="A50" s="30" t="inlineStr">
        <is>
          <t>TOTAL SHIP COMPUTING ENVIRONMENT (TSCE)</t>
        </is>
      </c>
      <c r="B50" s="26" t="inlineStr">
        <is>
          <t>Electronics</t>
        </is>
      </c>
      <c r="C50" s="49">
        <f>SUMIFS(JB_26BV,JB_B,1,JB_EX,"P-8a",JB_CC,"Electronics",JB_H,"DDG",JB_CE,"TOTAL SHIP COMPUTING ENVIRONMENT (TSCE)",JB_RC,"ALT")</f>
        <v/>
      </c>
      <c r="D50" s="37">
        <f>IFERROR(C50/C$80,0)</f>
        <v/>
      </c>
    </row>
    <row r="51" ht="10" customHeight="1">
      <c r="A51" s="30" t="inlineStr">
        <is>
          <t>AN/SLQ-32 SEWIP V(7)</t>
        </is>
      </c>
      <c r="B51" s="26" t="inlineStr">
        <is>
          <t>Electronics</t>
        </is>
      </c>
      <c r="C51" s="49">
        <f>SUMIFS(JB_26BV,JB_B,1,JB_EX,"P-8a",JB_CC,"Electronics",JB_H,"DDG",JB_CE,"AN/SLQ-32 SEWIP V(7)",JB_RC,"ALT")</f>
        <v/>
      </c>
      <c r="D51" s="37">
        <f>IFERROR(C51/C$80,0)</f>
        <v/>
      </c>
    </row>
    <row r="52" ht="10" customHeight="1">
      <c r="A52" s="30" t="inlineStr">
        <is>
          <t>EXCOMM</t>
        </is>
      </c>
      <c r="B52" s="26" t="inlineStr">
        <is>
          <t>Electronics</t>
        </is>
      </c>
      <c r="C52" s="49">
        <f>SUMIFS(JB_26BV,JB_B,1,JB_EX,"P-8a",JB_CC,"Electronics",JB_H,"DDG",JB_CE,"EXCOMM",JB_RC,"ALT")</f>
        <v/>
      </c>
      <c r="D52" s="37">
        <f>IFERROR(C52/C$80,0)</f>
        <v/>
      </c>
    </row>
    <row r="53" ht="10" customHeight="1">
      <c r="A53" s="30" t="inlineStr">
        <is>
          <t>SQQ 89 ASW</t>
        </is>
      </c>
      <c r="B53" s="26" t="inlineStr">
        <is>
          <t>Electronics</t>
        </is>
      </c>
      <c r="C53" s="49">
        <f>SUMIFS(JB_26BV,JB_B,1,JB_EX,"P-8a",JB_CC,"Electronics",JB_H,"DDG",JB_CE,"SQQ 89 ASW",JB_RC,"ALT")</f>
        <v/>
      </c>
      <c r="D53" s="37">
        <f>IFERROR(C53/C$80,0)</f>
        <v/>
      </c>
    </row>
    <row r="54" ht="10" customHeight="1">
      <c r="A54" s="30" t="inlineStr">
        <is>
          <t>MISSION SYSTEM ENGR INTEGR &amp; TEST (MSEIT)</t>
        </is>
      </c>
      <c r="B54" s="26" t="inlineStr">
        <is>
          <t>Electronics</t>
        </is>
      </c>
      <c r="C54" s="49">
        <f>SUMIFS(JB_26BV,JB_B,1,JB_EX,"P-8a",JB_CC,"Electronics",JB_H,"DDG",JB_CE,"MISSION SYSTEM ENGR INTEGR &amp; TEST (MSEIT)",JB_RC,"ALT")</f>
        <v/>
      </c>
      <c r="D54" s="37">
        <f>IFERROR(C54/C$80,0)</f>
        <v/>
      </c>
    </row>
    <row r="55" ht="10" customHeight="1">
      <c r="A55" s="30" t="inlineStr">
        <is>
          <t>MISSION SYSTEM ACTIVATION</t>
        </is>
      </c>
      <c r="B55" s="26" t="inlineStr">
        <is>
          <t>Electronics</t>
        </is>
      </c>
      <c r="C55" s="49">
        <f>SUMIFS(JB_26BV,JB_B,1,JB_EX,"P-8a",JB_CC,"Electronics",JB_H,"DDG",JB_CE,"MISSION SYSTEM ACTIVATION",JB_RC,"ALT")</f>
        <v/>
      </c>
      <c r="D55" s="37">
        <f>IFERROR(C55/C$80,0)</f>
        <v/>
      </c>
    </row>
    <row r="56" ht="10" customHeight="1">
      <c r="A56" s="30" t="inlineStr">
        <is>
          <t>SHIP CONTROL SYSTEM (SCS)</t>
        </is>
      </c>
      <c r="B56" s="26" t="inlineStr">
        <is>
          <t>Electronics</t>
        </is>
      </c>
      <c r="C56" s="49">
        <f>SUMIFS(JB_26BV,JB_B,1,JB_EX,"P-8a",JB_CC,"Electronics",JB_H,"DDG",JB_CE,"SHIP CONTROL SYSTEM (SCS)",JB_RC,"ALT")</f>
        <v/>
      </c>
      <c r="D56" s="37">
        <f>IFERROR(C56/C$80,0)</f>
        <v/>
      </c>
    </row>
    <row r="57" ht="10" customHeight="1">
      <c r="A57" s="30" t="inlineStr">
        <is>
          <t>INTEGRATED UNDERSEA WARFARE (IUSW) SYSTEM</t>
        </is>
      </c>
      <c r="B57" s="26" t="inlineStr">
        <is>
          <t>Electronics</t>
        </is>
      </c>
      <c r="C57" s="49">
        <f>SUMIFS(JB_26BV,JB_B,1,JB_EX,"P-8a",JB_CC,"Electronics",JB_H,"DDG",JB_CE,"INTEGRATED UNDERSEA WARFARE (IUSW) SYSTEM",JB_RC,"ALT")</f>
        <v/>
      </c>
      <c r="D57" s="37">
        <f>IFERROR(C57/C$80,0)</f>
        <v/>
      </c>
    </row>
    <row r="58" ht="10" customHeight="1">
      <c r="A58" s="30" t="inlineStr">
        <is>
          <t>MISC. ELECTRONICS</t>
        </is>
      </c>
      <c r="B58" s="26" t="inlineStr">
        <is>
          <t>Electronics</t>
        </is>
      </c>
      <c r="C58" s="49">
        <f>SUMIFS(JB_26BV,JB_B,1,JB_EX,"P-8a",JB_CC,"Electronics",JB_H,"DDG",JB_CE,"MISC. ELECTRONICS",JB_RC,"ALT")</f>
        <v/>
      </c>
      <c r="D58" s="37">
        <f>IFERROR(C58/C$80,0)</f>
        <v/>
      </c>
    </row>
    <row r="59" ht="10" customHeight="1">
      <c r="A59" s="30" t="inlineStr">
        <is>
          <t>EXTERIOR COMMUNICATIONS (EXCOMMS)</t>
        </is>
      </c>
      <c r="B59" s="26" t="inlineStr">
        <is>
          <t>Electronics</t>
        </is>
      </c>
      <c r="C59" s="49">
        <f>SUMIFS(JB_26BV,JB_B,1,JB_EX,"P-8a",JB_CC,"Electronics",JB_H,"DDG",JB_CE,"EXTERIOR COMMUNICATIONS (EXCOMMS)",JB_RC,"ALT")</f>
        <v/>
      </c>
      <c r="D59" s="37">
        <f>IFERROR(C59/C$80,0)</f>
        <v/>
      </c>
    </row>
    <row r="60" ht="10" customHeight="1">
      <c r="A60" s="30" t="inlineStr">
        <is>
          <t>SPECTRAL</t>
        </is>
      </c>
      <c r="B60" s="26" t="inlineStr">
        <is>
          <t>Electronics</t>
        </is>
      </c>
      <c r="C60" s="49">
        <f>SUMIFS(JB_26BV,JB_B,1,JB_EX,"P-8a",JB_CC,"Electronics",JB_H,"DDG",JB_CE,"SPECTRAL",JB_RC,"ALT")</f>
        <v/>
      </c>
      <c r="D60" s="37">
        <f>IFERROR(C60/C$80,0)</f>
        <v/>
      </c>
    </row>
    <row r="61" ht="10" customHeight="1">
      <c r="A61" s="30" t="inlineStr">
        <is>
          <t>DDG 1002 TSCE MODERNIZATION</t>
        </is>
      </c>
      <c r="B61" s="26" t="inlineStr">
        <is>
          <t>Electronics</t>
        </is>
      </c>
      <c r="C61" s="49">
        <f>SUMIFS(JB_26BV,JB_B,1,JB_EX,"P-8a",JB_CC,"Electronics",JB_H,"DDG",JB_CE,"DDG 1002 TSCE MODERNIZATION",JB_RC,"ALT")</f>
        <v/>
      </c>
      <c r="D61" s="37">
        <f>IFERROR(C61/C$80,0)</f>
        <v/>
      </c>
    </row>
    <row r="62" ht="10" customHeight="1">
      <c r="A62" s="30" t="inlineStr">
        <is>
          <t>USQ 82(V) GEDMS</t>
        </is>
      </c>
      <c r="B62" s="26" t="inlineStr">
        <is>
          <t>Electronics</t>
        </is>
      </c>
      <c r="C62" s="49">
        <f>SUMIFS(JB_26BV,JB_B,1,JB_EX,"P-8a",JB_CC,"Electronics",JB_H,"DDG",JB_CE,"USQ 82(V) GEDMS",JB_RC,"ALT")</f>
        <v/>
      </c>
      <c r="D62" s="37">
        <f>IFERROR(C62/C$80,0)</f>
        <v/>
      </c>
    </row>
    <row r="63" ht="10" customHeight="1">
      <c r="A63" s="30" t="inlineStr">
        <is>
          <t>ELECTRO-OPTICAL / INFRARED (EO/IR)</t>
        </is>
      </c>
      <c r="B63" s="26" t="inlineStr">
        <is>
          <t>Electronics</t>
        </is>
      </c>
      <c r="C63" s="49">
        <f>SUMIFS(JB_26BV,JB_B,1,JB_EX,"P-8a",JB_CC,"Electronics",JB_H,"DDG",JB_CE,"ELECTRO-OPTICAL / INFRARED (EO/IR)",JB_RC,"ALT")</f>
        <v/>
      </c>
      <c r="D63" s="37">
        <f>IFERROR(C63/C$80,0)</f>
        <v/>
      </c>
    </row>
    <row r="64" ht="10" customHeight="1">
      <c r="A64" s="30" t="inlineStr">
        <is>
          <t>IDENTIFICATION FRIEND OR FOE (IFF)</t>
        </is>
      </c>
      <c r="B64" s="26" t="inlineStr">
        <is>
          <t>Electronics</t>
        </is>
      </c>
      <c r="C64" s="49">
        <f>SUMIFS(JB_26BV,JB_B,1,JB_EX,"P-8a",JB_CC,"Electronics",JB_H,"DDG",JB_CE,"IDENTIFICATION FRIEND OR FOE (IFF)",JB_RC,"ALT")</f>
        <v/>
      </c>
      <c r="D64" s="37">
        <f>IFERROR(C64/C$80,0)</f>
        <v/>
      </c>
    </row>
    <row r="65" ht="10" customHeight="1">
      <c r="A65" s="30" t="inlineStr">
        <is>
          <t>DDG 1002 UNIVERSAL CANISTER ELECTRICAL UNITS (UCEU)</t>
        </is>
      </c>
      <c r="B65" s="26" t="inlineStr">
        <is>
          <t>Electronics</t>
        </is>
      </c>
      <c r="C65" s="49">
        <f>SUMIFS(JB_26BV,JB_B,1,JB_EX,"P-8a",JB_CC,"Electronics",JB_H,"DDG",JB_CE,"DDG 1002 UNIVERSAL CANISTER ELECTRICAL UNITS (UCEU)",JB_RC,"ALT")</f>
        <v/>
      </c>
      <c r="D65" s="37">
        <f>IFERROR(C65/C$80,0)</f>
        <v/>
      </c>
    </row>
    <row r="66" ht="10" customHeight="1">
      <c r="A66" s="30" t="inlineStr">
        <is>
          <t>AN/UPX 29(V) IFF and TACAN</t>
        </is>
      </c>
      <c r="B66" s="26" t="inlineStr">
        <is>
          <t>Electronics</t>
        </is>
      </c>
      <c r="C66" s="49">
        <f>SUMIFS(JB_26BV,JB_B,1,JB_EX,"P-8a",JB_CC,"Electronics",JB_H,"DDG",JB_CE,"AN/UPX 29(V) IFF and TACAN",JB_RC,"ALT")</f>
        <v/>
      </c>
      <c r="D66" s="37">
        <f>IFERROR(C66/C$80,0)</f>
        <v/>
      </c>
    </row>
    <row r="67" ht="10" customHeight="1">
      <c r="A67" s="30" t="inlineStr">
        <is>
          <t>SRQ 4 LAMPS III</t>
        </is>
      </c>
      <c r="B67" s="26" t="inlineStr">
        <is>
          <t>Electronics</t>
        </is>
      </c>
      <c r="C67" s="49">
        <f>SUMIFS(JB_26BV,JB_B,1,JB_EX,"P-8a",JB_CC,"Electronics",JB_H,"DDG",JB_CE,"SRQ 4 LAMPS III",JB_RC,"ALT")</f>
        <v/>
      </c>
      <c r="D67" s="37">
        <f>IFERROR(C67/C$80,0)</f>
        <v/>
      </c>
    </row>
    <row r="68" ht="10" customHeight="1">
      <c r="A68" s="30" t="inlineStr">
        <is>
          <t>CEC</t>
        </is>
      </c>
      <c r="B68" s="26" t="inlineStr">
        <is>
          <t>Electronics</t>
        </is>
      </c>
      <c r="C68" s="49">
        <f>SUMIFS(JB_26BV,JB_B,1,JB_EX,"P-8a",JB_CC,"Electronics",JB_H,"DDG",JB_CE,"CEC",JB_RC,"ALT")</f>
        <v/>
      </c>
      <c r="D68" s="37">
        <f>IFERROR(C68/C$80,0)</f>
        <v/>
      </c>
    </row>
    <row r="69" ht="10" customHeight="1">
      <c r="A69" s="30" t="inlineStr">
        <is>
          <t>SURFACE ELECTRONIC WARFARE IMPROVEMENT PROGRAM (SEWIP)</t>
        </is>
      </c>
      <c r="B69" s="26" t="inlineStr">
        <is>
          <t>Electronics</t>
        </is>
      </c>
      <c r="C69" s="49">
        <f>SUMIFS(JB_26BV,JB_B,1,JB_EX,"P-8a",JB_CC,"Electronics",JB_H,"DDG",JB_CE,"SURFACE ELECTRONIC WARFARE IMPROVEMENT PROGRAM (SEWIP)",JB_RC,"ALT")</f>
        <v/>
      </c>
      <c r="D69" s="37">
        <f>IFERROR(C69/C$80,0)</f>
        <v/>
      </c>
    </row>
    <row r="70" ht="10" customHeight="1">
      <c r="A70" s="30" t="inlineStr">
        <is>
          <t>COMMON ARRAY POWER SYSTEM (CAPS)</t>
        </is>
      </c>
      <c r="B70" s="26" t="inlineStr">
        <is>
          <t>Electronics</t>
        </is>
      </c>
      <c r="C70" s="49">
        <f>SUMIFS(JB_26BV,JB_B,1,JB_EX,"P-8a",JB_CC,"Electronics",JB_H,"DDG",JB_CE,"COMMON ARRAY POWER SYSTEM (CAPS)",JB_RC,"ALT")</f>
        <v/>
      </c>
      <c r="D70" s="37">
        <f>IFERROR(C70/C$80,0)</f>
        <v/>
      </c>
    </row>
    <row r="71" ht="10" customHeight="1">
      <c r="A71" s="30" t="inlineStr">
        <is>
          <t>NAVIGATION SYSTEM</t>
        </is>
      </c>
      <c r="B71" s="26" t="inlineStr">
        <is>
          <t>Electronics</t>
        </is>
      </c>
      <c r="C71" s="49">
        <f>SUMIFS(JB_26BV,JB_B,1,JB_EX,"P-8a",JB_CC,"Electronics",JB_H,"DDG",JB_CE,"NAVIGATION SYSTEM",JB_RC,"ALT")</f>
        <v/>
      </c>
      <c r="D71" s="37">
        <f>IFERROR(C71/C$80,0)</f>
        <v/>
      </c>
    </row>
    <row r="72" ht="10" customHeight="1">
      <c r="A72" s="30" t="inlineStr">
        <is>
          <t>MIDS</t>
        </is>
      </c>
      <c r="B72" s="26" t="inlineStr">
        <is>
          <t>Electronics</t>
        </is>
      </c>
      <c r="C72" s="49">
        <f>SUMIFS(JB_26BV,JB_B,1,JB_EX,"P-8a",JB_CC,"Electronics",JB_H,"DDG",JB_CE,"MIDS",JB_RC,"ALT")</f>
        <v/>
      </c>
      <c r="D72" s="37">
        <f>IFERROR(C72/C$80,0)</f>
        <v/>
      </c>
    </row>
    <row r="73" ht="10" customHeight="1">
      <c r="A73" s="30" t="inlineStr">
        <is>
          <t>SLQ 25 NIXIE</t>
        </is>
      </c>
      <c r="B73" s="26" t="inlineStr">
        <is>
          <t>Electronics</t>
        </is>
      </c>
      <c r="C73" s="49">
        <f>SUMIFS(JB_26BV,JB_B,1,JB_EX,"P-8a",JB_CC,"Electronics",JB_H,"DDG",JB_CE,"SLQ 25 NIXIE",JB_RC,"ALT")</f>
        <v/>
      </c>
      <c r="D73" s="37">
        <f>IFERROR(C73/C$80,0)</f>
        <v/>
      </c>
    </row>
    <row r="74" ht="10" customHeight="1">
      <c r="A74" s="30" t="inlineStr">
        <is>
          <t>NGSSR</t>
        </is>
      </c>
      <c r="B74" s="26" t="inlineStr">
        <is>
          <t>Electronics</t>
        </is>
      </c>
      <c r="C74" s="49">
        <f>SUMIFS(JB_26BV,JB_B,1,JB_EX,"P-8a",JB_CC,"Electronics",JB_H,"DDG",JB_CE,"NGSSR",JB_RC,"ALT")</f>
        <v/>
      </c>
      <c r="D74" s="37">
        <f>IFERROR(C74/C$80,0)</f>
        <v/>
      </c>
    </row>
    <row r="75" ht="10" customHeight="1">
      <c r="A75" s="30" t="inlineStr">
        <is>
          <t>COOPERATIVE ENGAGEMENT CAPABILITY (CEC)</t>
        </is>
      </c>
      <c r="B75" s="26" t="inlineStr">
        <is>
          <t>Electronics</t>
        </is>
      </c>
      <c r="C75" s="49">
        <f>SUMIFS(JB_26BV,JB_B,1,JB_EX,"P-8a",JB_CC,"Electronics",JB_H,"DDG",JB_CE,"COOPERATIVE ENGAGEMENT CAPABILITY (CEC)",JB_RC,"ALT")</f>
        <v/>
      </c>
      <c r="D75" s="37">
        <f>IFERROR(C75/C$80,0)</f>
        <v/>
      </c>
    </row>
    <row r="76" ht="10" customHeight="1">
      <c r="A76" s="30" t="inlineStr">
        <is>
          <t>MK 53 NULKA</t>
        </is>
      </c>
      <c r="B76" s="26" t="inlineStr">
        <is>
          <t>Electronics</t>
        </is>
      </c>
      <c r="C76" s="49">
        <f>SUMIFS(JB_26BV,JB_B,1,JB_EX,"P-8a",JB_CC,"Electronics",JB_H,"DDG",JB_CE,"MK 53 NULKA",JB_RC,"ALT")</f>
        <v/>
      </c>
      <c r="D76" s="37">
        <f>IFERROR(C76/C$80,0)</f>
        <v/>
      </c>
    </row>
    <row r="77" ht="10" customHeight="1">
      <c r="A77" s="30" t="inlineStr">
        <is>
          <t>TSA ANTENNA</t>
        </is>
      </c>
      <c r="B77" s="26" t="inlineStr">
        <is>
          <t>Electronics</t>
        </is>
      </c>
      <c r="C77" s="49">
        <f>SUMIFS(JB_26BV,JB_B,1,JB_EX,"P-8a",JB_CC,"Electronics",JB_H,"DDG",JB_CE,"TSA ANTENNA",JB_RC,"ALT")</f>
        <v/>
      </c>
      <c r="D77" s="37">
        <f>IFERROR(C77/C$80,0)</f>
        <v/>
      </c>
    </row>
    <row r="78" ht="10" customHeight="1">
      <c r="A78" s="30" t="inlineStr">
        <is>
          <t>SPARES</t>
        </is>
      </c>
      <c r="B78" s="26" t="inlineStr">
        <is>
          <t>Electronics</t>
        </is>
      </c>
      <c r="C78" s="49">
        <f>SUMIFS(JB_26BV,JB_B,1,JB_EX,"P-8a",JB_CC,"Electronics",JB_H,"DDG",JB_CE,"SPARES",JB_RC,"ALT")</f>
        <v/>
      </c>
      <c r="D78" s="37">
        <f>IFERROR(C78/C$80,0)</f>
        <v/>
      </c>
    </row>
    <row r="79" ht="10" customHeight="1">
      <c r="A79" s="30" t="inlineStr">
        <is>
          <t>COMMON ARRAY COOLING SYSTEM (CACS)</t>
        </is>
      </c>
      <c r="B79" s="26" t="inlineStr">
        <is>
          <t>Electronics</t>
        </is>
      </c>
      <c r="C79" s="49">
        <f>SUMIFS(JB_26BV,JB_B,1,JB_EX,"P-8a",JB_CC,"Electronics",JB_H,"DDG",JB_CE,"COMMON ARRAY COOLING SYSTEM (CACS)",JB_RC,"ALT")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Enterprise Air Surveillance Radar (EASR)</t>
        </is>
      </c>
      <c r="B84" s="26" t="inlineStr">
        <is>
          <t>Ordnance</t>
        </is>
      </c>
      <c r="C84" s="49">
        <f>SUMIFS(JB_26BV,JB_B,1,JB_EX,"P-8a",JB_CC,"Ordnance",JB_H,"LHA",JB_CE,"Enterprise Air Surveillance Radar (EASR)",JB_RC,"ALT")</f>
        <v/>
      </c>
      <c r="D84" s="37">
        <f>IFERROR(C84/C$123,0)</f>
        <v/>
      </c>
    </row>
    <row r="85" ht="10" customHeight="1">
      <c r="A85" s="30" t="inlineStr">
        <is>
          <t>NATO Sea Sparrow Missile System (NSSMS) MK 57 Mod 14</t>
        </is>
      </c>
      <c r="B85" s="26" t="inlineStr">
        <is>
          <t>Ordnance</t>
        </is>
      </c>
      <c r="C85" s="49">
        <f>SUMIFS(JB_26BV,JB_B,1,JB_EX,"P-8a",JB_CC,"Ordnance",JB_H,"LHA",JB_CE,"NATO Sea Sparrow Missile System (NSSMS) MK 57 Mod 14",JB_RC,"ALT")</f>
        <v/>
      </c>
      <c r="D85" s="37">
        <f>IFERROR(C85/C$123,0)</f>
        <v/>
      </c>
    </row>
    <row r="86" ht="10" customHeight="1">
      <c r="A86" s="30" t="inlineStr">
        <is>
          <t>MK31 Mod 3, Rolling Airframe Missile (RAM) (Tech Refresh)</t>
        </is>
      </c>
      <c r="B86" s="26" t="inlineStr">
        <is>
          <t>Ordnance</t>
        </is>
      </c>
      <c r="C86" s="49">
        <f>SUMIFS(JB_26BV,JB_B,1,JB_EX,"P-8a",JB_CC,"Ordnance",JB_H,"LHA",JB_CE,"MK31 Mod 3, Rolling Airframe Missile (RAM) (Tech Refresh)",JB_RC,"ALT")</f>
        <v/>
      </c>
      <c r="D86" s="37">
        <f>IFERROR(C86/C$123,0)</f>
        <v/>
      </c>
    </row>
    <row r="87" ht="10" customHeight="1">
      <c r="A87" s="30" t="inlineStr">
        <is>
          <t>PHALANX Block 1B MK15 Mod 21 &amp; 22, Close-in Weapon System (CIWS)</t>
        </is>
      </c>
      <c r="B87" s="26" t="inlineStr">
        <is>
          <t>Ordnance</t>
        </is>
      </c>
      <c r="C87" s="49">
        <f>SUMIFS(JB_26BV,JB_B,1,JB_EX,"P-8a",JB_CC,"Ordnance",JB_H,"LHA",JB_CE,"PHALANX Block 1B MK15 Mod 21 &amp; 22, Close-in Weapon System (CIWS)",JB_RC,"ALT")</f>
        <v/>
      </c>
      <c r="D87" s="37">
        <f>IFERROR(C87/C$123,0)</f>
        <v/>
      </c>
    </row>
    <row r="88" ht="10" customHeight="1">
      <c r="A88" s="30" t="inlineStr">
        <is>
          <t>Vertical/Stationary Take-Off Landing Optical Landing System (VSTOL OLS)</t>
        </is>
      </c>
      <c r="B88" s="26" t="inlineStr">
        <is>
          <t>Ordnance</t>
        </is>
      </c>
      <c r="C88" s="49">
        <f>SUMIFS(JB_26BV,JB_B,1,JB_EX,"P-8a",JB_CC,"Ordnance",JB_H,"LHA",JB_CE,"Vertical/Stationary Take-Off Landing Optical Landing System (VSTOL OLS)",JB_RC,"ALT")</f>
        <v/>
      </c>
      <c r="D88" s="37">
        <f>IFERROR(C88/C$123,0)</f>
        <v/>
      </c>
    </row>
    <row r="89" ht="10" customHeight="1">
      <c r="A89" s="30" t="inlineStr">
        <is>
          <t>Aviation Support</t>
        </is>
      </c>
      <c r="B89" s="26" t="inlineStr">
        <is>
          <t>Ordnance</t>
        </is>
      </c>
      <c r="C89" s="49">
        <f>SUMIFS(JB_26BV,JB_B,1,JB_EX,"P-8a",JB_CC,"Ordnance",JB_H,"LHA",JB_CE,"Aviation Support",JB_RC,"ALT")</f>
        <v/>
      </c>
      <c r="D89" s="37">
        <f>IFERROR(C89/C$123,0)</f>
        <v/>
      </c>
    </row>
    <row r="90" ht="10" customHeight="1">
      <c r="A90" s="30" t="inlineStr">
        <is>
          <t>AN/SPQ-9B Radar Set</t>
        </is>
      </c>
      <c r="B90" s="26" t="inlineStr">
        <is>
          <t>Ordnance</t>
        </is>
      </c>
      <c r="C90" s="49">
        <f>SUMIFS(JB_26BV,JB_B,1,JB_EX,"P-8a",JB_CC,"Ordnance",JB_H,"LHA",JB_CE,"AN/SPQ-9B Radar Set",JB_RC,"ALT")</f>
        <v/>
      </c>
      <c r="D90" s="37">
        <f>IFERROR(C90/C$123,0)</f>
        <v/>
      </c>
    </row>
    <row r="91" ht="10" customHeight="1">
      <c r="A91" s="30" t="inlineStr">
        <is>
          <t>MK 38 Mod 2 Stabilized Gun Stand Assembly</t>
        </is>
      </c>
      <c r="B91" s="26" t="inlineStr">
        <is>
          <t>Ordnance</t>
        </is>
      </c>
      <c r="C91" s="49">
        <f>SUMIFS(JB_26BV,JB_B,1,JB_EX,"P-8a",JB_CC,"Ordnance",JB_H,"LHA",JB_CE,"MK 38 Mod 2 Stabilized Gun Stand Assembly",JB_RC,"ALT")</f>
        <v/>
      </c>
      <c r="D91" s="37">
        <f>IFERROR(C91/C$123,0)</f>
        <v/>
      </c>
    </row>
    <row r="92" ht="10" customHeight="1">
      <c r="A92" s="30" t="inlineStr">
        <is>
          <t>Miscellaneous Ordnance</t>
        </is>
      </c>
      <c r="B92" s="26" t="inlineStr">
        <is>
          <t>Ordnance</t>
        </is>
      </c>
      <c r="C92" s="49">
        <f>SUMIFS(JB_26BV,JB_B,1,JB_EX,"P-8a",JB_CC,"Ordnance",JB_H,"LHA",JB_CE,"Miscellaneous Ordnance",JB_RC,"ALT")</f>
        <v/>
      </c>
      <c r="D92" s="37">
        <f>IFERROR(C92/C$123,0)</f>
        <v/>
      </c>
    </row>
    <row r="93" ht="10" customHeight="1">
      <c r="A93" s="30" t="inlineStr">
        <is>
          <t>MORIAH</t>
        </is>
      </c>
      <c r="B93" s="26" t="inlineStr">
        <is>
          <t>Ordnance</t>
        </is>
      </c>
      <c r="C93" s="49">
        <f>SUMIFS(JB_26BV,JB_B,1,JB_EX,"P-8a",JB_CC,"Ordnance",JB_H,"LHA",JB_CE,"MORIAH",JB_RC,"ALT")</f>
        <v/>
      </c>
      <c r="D93" s="37">
        <f>IFERROR(C93/C$123,0)</f>
        <v/>
      </c>
    </row>
    <row r="94" ht="10" customHeight="1">
      <c r="A94" s="30" t="inlineStr">
        <is>
          <t>AN/SPQ-14</t>
        </is>
      </c>
      <c r="B94" s="26" t="inlineStr">
        <is>
          <t>Ordnance</t>
        </is>
      </c>
      <c r="C94" s="49">
        <f>SUMIFS(JB_26BV,JB_B,1,JB_EX,"P-8a",JB_CC,"Ordnance",JB_H,"LHA",JB_CE,"AN/SPQ-14",JB_RC,"ALT")</f>
        <v/>
      </c>
      <c r="D94" s="37">
        <f>IFERROR(C94/C$123,0)</f>
        <v/>
      </c>
    </row>
    <row r="95" ht="10" customHeight="1">
      <c r="A95" s="30" t="inlineStr">
        <is>
          <t>Equipment &amp; Engineering</t>
        </is>
      </c>
      <c r="B95" s="26" t="inlineStr">
        <is>
          <t>Hull, Mechanical, and Electrical</t>
        </is>
      </c>
      <c r="C95" s="49">
        <f>SUMIFS(JB_26BV,JB_B,1,JB_EX,"P-8a",JB_CC,"Hull, Mechanical, and Electrical",JB_H,"LHA",JB_CE,"Equipment &amp; Engineering",JB_RC,"ALT")</f>
        <v/>
      </c>
      <c r="D95" s="37">
        <f>IFERROR(C95/C$123,0)</f>
        <v/>
      </c>
    </row>
    <row r="96" ht="10" customHeight="1">
      <c r="A96" s="30" t="inlineStr">
        <is>
          <t>Test &amp; Instrumentation</t>
        </is>
      </c>
      <c r="B96" s="26" t="inlineStr">
        <is>
          <t>Hull, Mechanical, and Electrical</t>
        </is>
      </c>
      <c r="C96" s="49">
        <f>SUMIFS(JB_26BV,JB_B,1,JB_EX,"P-8a",JB_CC,"Hull, Mechanical, and Electrical",JB_H,"LHA",JB_CE,"Test &amp; Instrumentation",JB_RC,"ALT")</f>
        <v/>
      </c>
      <c r="D96" s="37">
        <f>IFERROR(C96/C$123,0)</f>
        <v/>
      </c>
    </row>
    <row r="97" ht="10" customHeight="1">
      <c r="A97" s="30" t="inlineStr">
        <is>
          <t>SUPSHIP Material/Services</t>
        </is>
      </c>
      <c r="B97" s="26" t="inlineStr">
        <is>
          <t>Hull, Mechanical, and Electrical</t>
        </is>
      </c>
      <c r="C97" s="49">
        <f>SUMIFS(JB_26BV,JB_B,1,JB_EX,"P-8a",JB_CC,"Hull, Mechanical, and Electrical",JB_H,"LHA",JB_CE,"SUPSHIP Material/Services",JB_RC,"ALT")</f>
        <v/>
      </c>
      <c r="D97" s="37">
        <f>IFERROR(C97/C$123,0)</f>
        <v/>
      </c>
    </row>
    <row r="98" ht="10" customHeight="1">
      <c r="A98" s="30" t="inlineStr">
        <is>
          <t>Command, Control, Communication, Computer Intelligence Surveillance and Reconnaissance (C4ISR)</t>
        </is>
      </c>
      <c r="B98" s="26" t="inlineStr">
        <is>
          <t>Electronics</t>
        </is>
      </c>
      <c r="C98" s="49">
        <f>SUMIFS(JB_26BV,JB_B,1,JB_EX,"P-8a",JB_CC,"Electronics",JB_H,"LHA",JB_CE,"Command, Control, Communication, Computer Intelligence Surveillance and Reconnaissance (C4ISR)",JB_RC,"ALT")</f>
        <v/>
      </c>
      <c r="D98" s="37">
        <f>IFERROR(C98/C$123,0)</f>
        <v/>
      </c>
    </row>
    <row r="99" ht="10" customHeight="1">
      <c r="A99" s="30" t="inlineStr">
        <is>
          <t>MK 2 MOD 4E Ship Self Defense System (SSDS)</t>
        </is>
      </c>
      <c r="B99" s="26" t="inlineStr">
        <is>
          <t>Electronics</t>
        </is>
      </c>
      <c r="C99" s="49">
        <f>SUMIFS(JB_26BV,JB_B,1,JB_EX,"P-8a",JB_CC,"Electronics",JB_H,"LHA",JB_CE,"MK 2 MOD 4E Ship Self Defense System (SSDS)",JB_RC,"ALT")</f>
        <v/>
      </c>
      <c r="D99" s="37">
        <f>IFERROR(C99/C$123,0)</f>
        <v/>
      </c>
    </row>
    <row r="100" ht="10" customHeight="1">
      <c r="A100" s="30" t="inlineStr">
        <is>
          <t>AN/SPN-50 (V)1</t>
        </is>
      </c>
      <c r="B100" s="26" t="inlineStr">
        <is>
          <t>Electronics</t>
        </is>
      </c>
      <c r="C100" s="49">
        <f>SUMIFS(JB_26BV,JB_B,1,JB_EX,"P-8a",JB_CC,"Electronics",JB_H,"LHA",JB_CE,"AN/SPN-50 (V)1",JB_RC,"ALT")</f>
        <v/>
      </c>
      <c r="D100" s="37">
        <f>IFERROR(C100/C$123,0)</f>
        <v/>
      </c>
    </row>
    <row r="101" ht="10" customHeight="1">
      <c r="A101" s="30" t="inlineStr">
        <is>
          <t>AN/SLQ-32(V), Surface Warfare Improvement Program (SEWIP)</t>
        </is>
      </c>
      <c r="B101" s="26" t="inlineStr">
        <is>
          <t>Electronics</t>
        </is>
      </c>
      <c r="C101" s="49">
        <f>SUMIFS(JB_26BV,JB_B,1,JB_EX,"P-8a",JB_CC,"Electronics",JB_H,"LHA",JB_CE,"AN/SLQ-32(V), Surface Warfare Improvement Program (SEWIP)",JB_RC,"ALT")</f>
        <v/>
      </c>
      <c r="D101" s="37">
        <f>IFERROR(C101/C$123,0)</f>
        <v/>
      </c>
    </row>
    <row r="102" ht="10" customHeight="1">
      <c r="A102" s="30" t="inlineStr">
        <is>
          <t>Miscellaneous Electronics</t>
        </is>
      </c>
      <c r="B102" s="26" t="inlineStr">
        <is>
          <t>Electronics</t>
        </is>
      </c>
      <c r="C102" s="49">
        <f>SUMIFS(JB_26BV,JB_B,1,JB_EX,"P-8a",JB_CC,"Electronics",JB_H,"LHA",JB_CE,"Miscellaneous Electronics",JB_RC,"ALT")</f>
        <v/>
      </c>
      <c r="D102" s="37">
        <f>IFERROR(C102/C$123,0)</f>
        <v/>
      </c>
    </row>
    <row r="103" ht="10" customHeight="1">
      <c r="A103" s="30" t="inlineStr">
        <is>
          <t>Integrated Voice Network (IVN)</t>
        </is>
      </c>
      <c r="B103" s="26" t="inlineStr">
        <is>
          <t>Electronics</t>
        </is>
      </c>
      <c r="C103" s="49">
        <f>SUMIFS(JB_26BV,JB_B,1,JB_EX,"P-8a",JB_CC,"Electronics",JB_H,"LHA",JB_CE,"Integrated Voice Network (IVN)",JB_RC,"ALT")</f>
        <v/>
      </c>
      <c r="D103" s="37">
        <f>IFERROR(C103/C$123,0)</f>
        <v/>
      </c>
    </row>
    <row r="104" ht="10" customHeight="1">
      <c r="A104" s="30" t="inlineStr">
        <is>
          <t>AN/UPX-29(V), Identification Friend or Foe (IFF) MK12</t>
        </is>
      </c>
      <c r="B104" s="26" t="inlineStr">
        <is>
          <t>Electronics</t>
        </is>
      </c>
      <c r="C104" s="49">
        <f>SUMIFS(JB_26BV,JB_B,1,JB_EX,"P-8a",JB_CC,"Electronics",JB_H,"LHA",JB_CE,"AN/UPX-29(V), Identification Friend or Foe (IFF) MK12",JB_RC,"ALT")</f>
        <v/>
      </c>
      <c r="D104" s="37">
        <f>IFERROR(C104/C$123,0)</f>
        <v/>
      </c>
    </row>
    <row r="105" ht="10" customHeight="1">
      <c r="A105" s="30" t="inlineStr">
        <is>
          <t>AN/USG-2, Cooperative Engagement Transmission Processing Set (CETPS)</t>
        </is>
      </c>
      <c r="B105" s="26" t="inlineStr">
        <is>
          <t>Electronics</t>
        </is>
      </c>
      <c r="C105" s="49">
        <f>SUMIFS(JB_26BV,JB_B,1,JB_EX,"P-8a",JB_CC,"Electronics",JB_H,"LHA",JB_CE,"AN/USG-2, Cooperative Engagement Transmission Processing Set (CETPS)",JB_RC,"ALT")</f>
        <v/>
      </c>
      <c r="D105" s="37">
        <f>IFERROR(C105/C$123,0)</f>
        <v/>
      </c>
    </row>
    <row r="106" ht="10" customHeight="1">
      <c r="A106" s="30" t="inlineStr">
        <is>
          <t>Joint Precision Approach and Landing System (JPALS) (AN/USN-3(V)1, SSLS)</t>
        </is>
      </c>
      <c r="B106" s="26" t="inlineStr">
        <is>
          <t>Electronics</t>
        </is>
      </c>
      <c r="C106" s="49">
        <f>SUMIFS(JB_26BV,JB_B,1,JB_EX,"P-8a",JB_CC,"Electronics",JB_H,"LHA",JB_CE,"Joint Precision Approach and Landing System (JPALS) (AN/USN-3(V)1, SSLS)",JB_RC,"ALT")</f>
        <v/>
      </c>
      <c r="D106" s="37">
        <f>IFERROR(C106/C$123,0)</f>
        <v/>
      </c>
    </row>
    <row r="107" ht="10" customHeight="1">
      <c r="A107" s="30" t="inlineStr">
        <is>
          <t>USQ-82, Gigabit Ethernet Data Multiplex System (GEDMS)</t>
        </is>
      </c>
      <c r="B107" s="26" t="inlineStr">
        <is>
          <t>Electronics</t>
        </is>
      </c>
      <c r="C107" s="49">
        <f>SUMIFS(JB_26BV,JB_B,1,JB_EX,"P-8a",JB_CC,"Electronics",JB_H,"LHA",JB_CE,"USQ-82, Gigabit Ethernet Data Multiplex System (GEDMS)",JB_RC,"ALT")</f>
        <v/>
      </c>
      <c r="D107" s="37">
        <f>IFERROR(C107/C$123,0)</f>
        <v/>
      </c>
    </row>
    <row r="108" ht="10" customHeight="1">
      <c r="A108" s="30" t="inlineStr">
        <is>
          <t>Aircraft Control Approach Central AN/SPN-35C</t>
        </is>
      </c>
      <c r="B108" s="26" t="inlineStr">
        <is>
          <t>Electronics</t>
        </is>
      </c>
      <c r="C108" s="49">
        <f>SUMIFS(JB_26BV,JB_B,1,JB_EX,"P-8a",JB_CC,"Electronics",JB_H,"LHA",JB_CE,"Aircraft Control Approach Central AN/SPN-35C",JB_RC,"ALT")</f>
        <v/>
      </c>
      <c r="D108" s="37">
        <f>IFERROR(C108/C$123,0)</f>
        <v/>
      </c>
    </row>
    <row r="109" ht="10" customHeight="1">
      <c r="A109" s="30" t="inlineStr">
        <is>
          <t>Hierarchical Yet Dynamically Reprogrammable Architecture (HYDRA) AN/SRC-55</t>
        </is>
      </c>
      <c r="B109" s="26" t="inlineStr">
        <is>
          <t>Electronics</t>
        </is>
      </c>
      <c r="C109" s="49">
        <f>SUMIFS(JB_26BV,JB_B,1,JB_EX,"P-8a",JB_CC,"Electronics",JB_H,"LHA",JB_CE,"Hierarchical Yet Dynamically Reprogrammable Architecture (HYDRA) AN/SRC-55",JB_RC,"ALT")</f>
        <v/>
      </c>
      <c r="D109" s="37">
        <f>IFERROR(C109/C$123,0)</f>
        <v/>
      </c>
    </row>
    <row r="110" ht="10" customHeight="1">
      <c r="A110" s="30" t="inlineStr">
        <is>
          <t>AN/SLQ-25C, Torpedo Countermeasures Transmitting Set (NIXIE)</t>
        </is>
      </c>
      <c r="B110" s="26" t="inlineStr">
        <is>
          <t>Electronics</t>
        </is>
      </c>
      <c r="C110" s="49">
        <f>SUMIFS(JB_26BV,JB_B,1,JB_EX,"P-8a",JB_CC,"Electronics",JB_H,"LHA",JB_CE,"AN/SLQ-25C, Torpedo Countermeasures Transmitting Set (NIXIE)",JB_RC,"ALT")</f>
        <v/>
      </c>
      <c r="D110" s="37">
        <f>IFERROR(C110/C$123,0)</f>
        <v/>
      </c>
    </row>
    <row r="111" ht="10" customHeight="1">
      <c r="A111" s="30" t="inlineStr">
        <is>
          <t>Ring Laser Gyro Navigator (RLGN) AN/WSN-7</t>
        </is>
      </c>
      <c r="B111" s="26" t="inlineStr">
        <is>
          <t>Electronics</t>
        </is>
      </c>
      <c r="C111" s="49">
        <f>SUMIFS(JB_26BV,JB_B,1,JB_EX,"P-8a",JB_CC,"Electronics",JB_H,"LHA",JB_CE,"Ring Laser Gyro Navigator (RLGN) AN/WSN-7",JB_RC,"ALT")</f>
        <v/>
      </c>
      <c r="D111" s="37">
        <f>IFERROR(C111/C$123,0)</f>
        <v/>
      </c>
    </row>
    <row r="112" ht="10" customHeight="1">
      <c r="A112" s="30" t="inlineStr">
        <is>
          <t>Amphibious Air Traffic Control Direct Altitude and Identity Readout (AATC-DAIR)</t>
        </is>
      </c>
      <c r="B112" s="26" t="inlineStr">
        <is>
          <t>Electronics</t>
        </is>
      </c>
      <c r="C112" s="49">
        <f>SUMIFS(JB_26BV,JB_B,1,JB_EX,"P-8a",JB_CC,"Electronics",JB_H,"LHA",JB_CE,"Amphibious Air Traffic Control Direct Altitude and Identity Readout (AATC-DAIR)",JB_RC,"ALT")</f>
        <v/>
      </c>
      <c r="D112" s="37">
        <f>IFERROR(C112/C$123,0)</f>
        <v/>
      </c>
    </row>
    <row r="113" ht="10" customHeight="1">
      <c r="A113" s="30" t="inlineStr">
        <is>
          <t>Aircraft Approach Control Transmitting Set (AACTS) AN/SPN-41B</t>
        </is>
      </c>
      <c r="B113" s="26" t="inlineStr">
        <is>
          <t>Electronics</t>
        </is>
      </c>
      <c r="C113" s="49">
        <f>SUMIFS(JB_26BV,JB_B,1,JB_EX,"P-8a",JB_CC,"Electronics",JB_H,"LHA",JB_CE,"Aircraft Approach Control Transmitting Set (AACTS) AN/SPN-41B",JB_RC,"ALT")</f>
        <v/>
      </c>
      <c r="D113" s="37">
        <f>IFERROR(C113/C$123,0)</f>
        <v/>
      </c>
    </row>
    <row r="114" ht="10" customHeight="1">
      <c r="A114" s="30" t="inlineStr">
        <is>
          <t>Announcing Systems AN/SIA-127H</t>
        </is>
      </c>
      <c r="B114" s="26" t="inlineStr">
        <is>
          <t>Electronics</t>
        </is>
      </c>
      <c r="C114" s="49">
        <f>SUMIFS(JB_26BV,JB_B,1,JB_EX,"P-8a",JB_CC,"Electronics",JB_H,"LHA",JB_CE,"Announcing Systems AN/SIA-127H",JB_RC,"ALT")</f>
        <v/>
      </c>
      <c r="D114" s="37">
        <f>IFERROR(C114/C$123,0)</f>
        <v/>
      </c>
    </row>
    <row r="115" ht="10" customHeight="1">
      <c r="A115" s="30" t="inlineStr">
        <is>
          <t>SATCC</t>
        </is>
      </c>
      <c r="B115" s="26" t="inlineStr">
        <is>
          <t>Electronics</t>
        </is>
      </c>
      <c r="C115" s="49">
        <f>SUMIFS(JB_26BV,JB_B,1,JB_EX,"P-8a",JB_CC,"Electronics",JB_H,"LHA",JB_CE,"SATCC",JB_RC,"ALT")</f>
        <v/>
      </c>
      <c r="D115" s="37">
        <f>IFERROR(C115/C$123,0)</f>
        <v/>
      </c>
    </row>
    <row r="116" ht="10" customHeight="1">
      <c r="A116" s="30" t="inlineStr">
        <is>
          <t>Amphibious Assault Direction System (AADS)</t>
        </is>
      </c>
      <c r="B116" s="26" t="inlineStr">
        <is>
          <t>Electronics</t>
        </is>
      </c>
      <c r="C116" s="49">
        <f>SUMIFS(JB_26BV,JB_B,1,JB_EX,"P-8a",JB_CC,"Electronics",JB_H,"LHA",JB_CE,"Amphibious Assault Direction System (AADS)",JB_RC,"ALT")</f>
        <v/>
      </c>
      <c r="D116" s="37">
        <f>IFERROR(C116/C$123,0)</f>
        <v/>
      </c>
    </row>
    <row r="117" ht="10" customHeight="1">
      <c r="A117" s="30" t="inlineStr">
        <is>
          <t>30 TV</t>
        </is>
      </c>
      <c r="B117" s="26" t="inlineStr">
        <is>
          <t>Electronics</t>
        </is>
      </c>
      <c r="C117" s="49">
        <f>SUMIFS(JB_26BV,JB_B,1,JB_EX,"P-8a",JB_CC,"Electronics",JB_H,"LHA",JB_CE,"30 TV",JB_RC,"ALT")</f>
        <v/>
      </c>
      <c r="D117" s="37">
        <f>IFERROR(C117/C$123,0)</f>
        <v/>
      </c>
    </row>
    <row r="118" ht="10" customHeight="1">
      <c r="A118" s="30" t="inlineStr">
        <is>
          <t>MK 53 NULKA Decoy Launching System (DLS) Mod 3</t>
        </is>
      </c>
      <c r="B118" s="26" t="inlineStr">
        <is>
          <t>Electronics</t>
        </is>
      </c>
      <c r="C118" s="49">
        <f>SUMIFS(JB_26BV,JB_B,1,JB_EX,"P-8a",JB_CC,"Electronics",JB_H,"LHA",JB_CE,"MK 53 NULKA Decoy Launching System (DLS) Mod 3",JB_RC,"ALT")</f>
        <v/>
      </c>
      <c r="D118" s="37">
        <f>IFERROR(C118/C$123,0)</f>
        <v/>
      </c>
    </row>
    <row r="119" ht="10" customHeight="1">
      <c r="A119" s="30" t="inlineStr">
        <is>
          <t>Next Generation Navigational Radar</t>
        </is>
      </c>
      <c r="B119" s="26" t="inlineStr">
        <is>
          <t>Electronics</t>
        </is>
      </c>
      <c r="C119" s="49">
        <f>SUMIFS(JB_26BV,JB_B,1,JB_EX,"P-8a",JB_CC,"Electronics",JB_H,"LHA",JB_CE,"Next Generation Navigational Radar",JB_RC,"ALT")</f>
        <v/>
      </c>
      <c r="D119" s="37">
        <f>IFERROR(C119/C$123,0)</f>
        <v/>
      </c>
    </row>
    <row r="120" ht="10" customHeight="1">
      <c r="A120" s="30" t="inlineStr">
        <is>
          <t>AN/USQ-T46(V), Battle Force Tactical Training (BFTT)</t>
        </is>
      </c>
      <c r="B120" s="26" t="inlineStr">
        <is>
          <t>Electronics</t>
        </is>
      </c>
      <c r="C120" s="49">
        <f>SUMIFS(JB_26BV,JB_B,1,JB_EX,"P-8a",JB_CC,"Electronics",JB_H,"LHA",JB_CE,"AN/USQ-T46(V), Battle Force Tactical Training (BFTT)",JB_RC,"ALT")</f>
        <v/>
      </c>
      <c r="D120" s="37">
        <f>IFERROR(C120/C$123,0)</f>
        <v/>
      </c>
    </row>
    <row r="121" ht="10" customHeight="1">
      <c r="A121" s="30" t="inlineStr">
        <is>
          <t>Digital Photo Lab</t>
        </is>
      </c>
      <c r="B121" s="26" t="inlineStr">
        <is>
          <t>Electronics</t>
        </is>
      </c>
      <c r="C121" s="49">
        <f>SUMIFS(JB_26BV,JB_B,1,JB_EX,"P-8a",JB_CC,"Electronics",JB_H,"LHA",JB_CE,"Digital Photo Lab",JB_RC,"ALT")</f>
        <v/>
      </c>
      <c r="D121" s="37">
        <f>IFERROR(C121/C$123,0)</f>
        <v/>
      </c>
    </row>
    <row r="122" ht="10" customHeight="1">
      <c r="A122" s="30" t="inlineStr">
        <is>
          <t>Print Shop</t>
        </is>
      </c>
      <c r="B122" s="26" t="inlineStr">
        <is>
          <t>Electronics</t>
        </is>
      </c>
      <c r="C122" s="49">
        <f>SUMIFS(JB_26BV,JB_B,1,JB_EX,"P-8a",JB_CC,"Electronics",JB_H,"LHA",JB_CE,"Print Shop",JB_RC,"ALT")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MK 41 Vertical Launch System (VLS)- 32 Cell</t>
        </is>
      </c>
      <c r="B127" s="26" t="inlineStr">
        <is>
          <t>Ordnance</t>
        </is>
      </c>
      <c r="C127" s="49">
        <f>SUMIFS(JB_26BV,JB_B,1,JB_EX,"P-8a",JB_CC,"Ordnance",JB_H,"FFG",JB_CE,"MK 41 Vertical Launch System (VLS)- 32 Cell",JB_RC,"ALT")</f>
        <v/>
      </c>
      <c r="D127" s="37">
        <f>IFERROR(C127/C$145,0)</f>
        <v/>
      </c>
    </row>
    <row r="128" ht="10" customHeight="1">
      <c r="A128" s="30" t="inlineStr">
        <is>
          <t>MK 48 Gun Weapon System (GWS)</t>
        </is>
      </c>
      <c r="B128" s="26" t="inlineStr">
        <is>
          <t>Ordnance</t>
        </is>
      </c>
      <c r="C128" s="49">
        <f>SUMIFS(JB_26BV,JB_B,1,JB_EX,"P-8a",JB_CC,"Ordnance",JB_H,"FFG",JB_CE,"MK 48 Gun Weapon System (GWS)",JB_RC,"ALT")</f>
        <v/>
      </c>
      <c r="D128" s="37">
        <f>IFERROR(C128/C$145,0)</f>
        <v/>
      </c>
    </row>
    <row r="129" ht="10" customHeight="1">
      <c r="A129" s="30" t="inlineStr">
        <is>
          <t>Other Ordnance</t>
        </is>
      </c>
      <c r="B129" s="26" t="inlineStr">
        <is>
          <t>Ordnance</t>
        </is>
      </c>
      <c r="C129" s="49">
        <f>SUMIFS(JB_26BV,JB_B,1,JB_EX,"P-8a",JB_CC,"Ordnance",JB_H,"FFG",JB_CE,"Other Ordnance",JB_RC,"ALT")</f>
        <v/>
      </c>
      <c r="D129" s="37">
        <f>IFERROR(C129/C$145,0)</f>
        <v/>
      </c>
    </row>
    <row r="130" ht="10" customHeight="1">
      <c r="A130" s="30" t="inlineStr">
        <is>
          <t>MK 53 Decoy Launching System (DLS) (Nulka)- 4 Launcher</t>
        </is>
      </c>
      <c r="B130" s="26" t="inlineStr">
        <is>
          <t>Ordnance</t>
        </is>
      </c>
      <c r="C130" s="49">
        <f>SUMIFS(JB_26BV,JB_B,1,JB_EX,"P-8a",JB_CC,"Ordnance",JB_H,"FFG",JB_CE,"MK 53 Decoy Launching System (DLS) (Nulka)- 4 Launcher",JB_RC,"ALT")</f>
        <v/>
      </c>
      <c r="D130" s="37">
        <f>IFERROR(C130/C$145,0)</f>
        <v/>
      </c>
    </row>
    <row r="131" ht="10" customHeight="1">
      <c r="A131" s="30" t="inlineStr">
        <is>
          <t>Aircraft Ship Integrated Securing and Traversing System (ASIST)</t>
        </is>
      </c>
      <c r="B131" s="26" t="inlineStr">
        <is>
          <t>Hull, Mechanical, and Electrical</t>
        </is>
      </c>
      <c r="C131" s="49">
        <f>SUMIFS(JB_26BV,JB_B,1,JB_EX,"P-8a",JB_CC,"Hull, Mechanical, and Electrical",JB_H,"FFG",JB_CE,"Aircraft Ship Integrated Securing and Traversing System (ASIST)",JB_RC,"ALT")</f>
        <v/>
      </c>
      <c r="D131" s="37">
        <f>IFERROR(C131/C$145,0)</f>
        <v/>
      </c>
    </row>
    <row r="132" ht="10" customHeight="1">
      <c r="A132" s="30" t="inlineStr">
        <is>
          <t>Other HM&amp;E</t>
        </is>
      </c>
      <c r="B132" s="26" t="inlineStr">
        <is>
          <t>Hull, Mechanical, and Electrical</t>
        </is>
      </c>
      <c r="C132" s="49">
        <f>SUMIFS(JB_26BV,JB_B,1,JB_EX,"P-8a",JB_CC,"Hull, Mechanical, and Electrical",JB_H,"FFG",JB_CE,"Other HM&amp;E",JB_RC,"ALT")</f>
        <v/>
      </c>
      <c r="D132" s="37">
        <f>IFERROR(C132/C$145,0)</f>
        <v/>
      </c>
    </row>
    <row r="133" ht="10" customHeight="1">
      <c r="A133" s="30" t="inlineStr">
        <is>
          <t>Internal Communication (IC) Voice</t>
        </is>
      </c>
      <c r="B133" s="26" t="inlineStr">
        <is>
          <t>Hull, Mechanical, and Electrical</t>
        </is>
      </c>
      <c r="C133" s="49">
        <f>SUMIFS(JB_26BV,JB_B,1,JB_EX,"P-8a",JB_CC,"Hull, Mechanical, and Electrical",JB_H,"FFG",JB_CE,"Internal Communication (IC) Voice",JB_RC,"ALT")</f>
        <v/>
      </c>
      <c r="D133" s="37">
        <f>IFERROR(C133/C$145,0)</f>
        <v/>
      </c>
    </row>
    <row r="134" ht="10" customHeight="1">
      <c r="A134" s="30" t="inlineStr">
        <is>
          <t>Interior Wireless Communication System (IWCS)</t>
        </is>
      </c>
      <c r="B134" s="26" t="inlineStr">
        <is>
          <t>Hull, Mechanical, and Electrical</t>
        </is>
      </c>
      <c r="C134" s="49">
        <f>SUMIFS(JB_26BV,JB_B,1,JB_EX,"P-8a",JB_CC,"Hull, Mechanical, and Electrical",JB_H,"FFG",JB_CE,"Interior Wireless Communication System (IWCS)",JB_RC,"ALT")</f>
        <v/>
      </c>
      <c r="D134" s="37">
        <f>IFERROR(C134/C$145,0)</f>
        <v/>
      </c>
    </row>
    <row r="135" ht="10" customHeight="1">
      <c r="A135" s="30" t="inlineStr">
        <is>
          <t>Unclassified Video System (UVS)</t>
        </is>
      </c>
      <c r="B135" s="26" t="inlineStr">
        <is>
          <t>Hull, Mechanical, and Electrical</t>
        </is>
      </c>
      <c r="C135" s="49">
        <f>SUMIFS(JB_26BV,JB_B,1,JB_EX,"P-8a",JB_CC,"Hull, Mechanical, and Electrical",JB_H,"FFG",JB_CE,"Unclassified Video System (UVS)",JB_RC,"ALT")</f>
        <v/>
      </c>
      <c r="D135" s="37">
        <f>IFERROR(C135/C$145,0)</f>
        <v/>
      </c>
    </row>
    <row r="136" ht="10" customHeight="1">
      <c r="A136" s="30" t="inlineStr">
        <is>
          <t>Ship Control System-Government (SCS GOV)</t>
        </is>
      </c>
      <c r="B136" s="26" t="inlineStr">
        <is>
          <t>Hull, Mechanical, and Electrical</t>
        </is>
      </c>
      <c r="C136" s="49">
        <f>SUMIFS(JB_26BV,JB_B,1,JB_EX,"P-8a",JB_CC,"Hull, Mechanical, and Electrical",JB_H,"FFG",JB_CE,"Ship Control System-Government (SCS GOV)",JB_RC,"ALT")</f>
        <v/>
      </c>
      <c r="D136" s="37">
        <f>IFERROR(C136/C$145,0)</f>
        <v/>
      </c>
    </row>
    <row r="137" ht="10" customHeight="1">
      <c r="A137" s="30" t="inlineStr">
        <is>
          <t>Advanced Flight Deck Lighting System (AFDLS)</t>
        </is>
      </c>
      <c r="B137" s="26" t="inlineStr">
        <is>
          <t>Hull, Mechanical, and Electrical</t>
        </is>
      </c>
      <c r="C137" s="49">
        <f>SUMIFS(JB_26BV,JB_B,1,JB_EX,"P-8a",JB_CC,"Hull, Mechanical, and Electrical",JB_H,"FFG",JB_CE,"Advanced Flight Deck Lighting System (AFDLS)",JB_RC,"ALT")</f>
        <v/>
      </c>
      <c r="D137" s="37">
        <f>IFERROR(C137/C$145,0)</f>
        <v/>
      </c>
    </row>
    <row r="138" ht="10" customHeight="1">
      <c r="A138" s="30" t="inlineStr">
        <is>
          <t>Enterprise Air Surveillance Radar (EASR)</t>
        </is>
      </c>
      <c r="B138" s="26" t="inlineStr">
        <is>
          <t>Electronics</t>
        </is>
      </c>
      <c r="C138" s="49">
        <f>SUMIFS(JB_26BV,JB_B,1,JB_EX,"P-8a",JB_CC,"Electronics",JB_H,"FFG",JB_CE,"Enterprise Air Surveillance Radar (EASR)",JB_RC,"ALT")</f>
        <v/>
      </c>
      <c r="D138" s="37">
        <f>IFERROR(C138/C$145,0)</f>
        <v/>
      </c>
    </row>
    <row r="139" ht="10" customHeight="1">
      <c r="A139" s="30" t="inlineStr">
        <is>
          <t>AEGIS Weapon System (AWS)</t>
        </is>
      </c>
      <c r="B139" s="26" t="inlineStr">
        <is>
          <t>Electronics</t>
        </is>
      </c>
      <c r="C139" s="49">
        <f>SUMIFS(JB_26BV,JB_B,1,JB_EX,"P-8a",JB_CC,"Electronics",JB_H,"FFG",JB_CE,"AEGIS Weapon System (AWS)",JB_RC,"ALT")</f>
        <v/>
      </c>
      <c r="D139" s="37">
        <f>IFERROR(C139/C$145,0)</f>
        <v/>
      </c>
    </row>
    <row r="140" ht="10" customHeight="1">
      <c r="A140" s="30" t="inlineStr">
        <is>
          <t>Anti-Submarine Warfare (ASW) Combat Suite</t>
        </is>
      </c>
      <c r="B140" s="26" t="inlineStr">
        <is>
          <t>Electronics</t>
        </is>
      </c>
      <c r="C140" s="49">
        <f>SUMIFS(JB_26BV,JB_B,1,JB_EX,"P-8a",JB_CC,"Electronics",JB_H,"FFG",JB_CE,"Anti-Submarine Warfare (ASW) Combat Suite",JB_RC,"ALT")</f>
        <v/>
      </c>
      <c r="D140" s="37">
        <f>IFERROR(C140/C$145,0)</f>
        <v/>
      </c>
    </row>
    <row r="141" ht="10" customHeight="1">
      <c r="A141" s="30" t="inlineStr">
        <is>
          <t>Tactical COMINT System- Spectral</t>
        </is>
      </c>
      <c r="B141" s="26" t="inlineStr">
        <is>
          <t>Electronics</t>
        </is>
      </c>
      <c r="C141" s="49">
        <f>SUMIFS(JB_26BV,JB_B,1,JB_EX,"P-8a",JB_CC,"Electronics",JB_H,"FFG",JB_CE,"Tactical COMINT System- Spectral",JB_RC,"ALT")</f>
        <v/>
      </c>
      <c r="D141" s="37">
        <f>IFERROR(C141/C$145,0)</f>
        <v/>
      </c>
    </row>
    <row r="142" ht="10" customHeight="1">
      <c r="A142" s="30" t="inlineStr">
        <is>
          <t>External Communication Suite (EXCOMM)</t>
        </is>
      </c>
      <c r="B142" s="26" t="inlineStr">
        <is>
          <t>Electronics</t>
        </is>
      </c>
      <c r="C142" s="49">
        <f>SUMIFS(JB_26BV,JB_B,1,JB_EX,"P-8a",JB_CC,"Electronics",JB_H,"FFG",JB_CE,"External Communication Suite (EXCOMM)",JB_RC,"ALT")</f>
        <v/>
      </c>
      <c r="D142" s="37">
        <f>IFERROR(C142/C$145,0)</f>
        <v/>
      </c>
    </row>
    <row r="143" ht="10" customHeight="1">
      <c r="A143" s="30" t="inlineStr">
        <is>
          <t>Cooperative Engagement Capability (CEC)</t>
        </is>
      </c>
      <c r="B143" s="26" t="inlineStr">
        <is>
          <t>Electronics</t>
        </is>
      </c>
      <c r="C143" s="49">
        <f>SUMIFS(JB_26BV,JB_B,1,JB_EX,"P-8a",JB_CC,"Electronics",JB_H,"FFG",JB_CE,"Cooperative Engagement Capability (CEC)",JB_RC,"ALT")</f>
        <v/>
      </c>
      <c r="D143" s="37">
        <f>IFERROR(C143/C$145,0)</f>
        <v/>
      </c>
    </row>
    <row r="144" ht="10" customHeight="1">
      <c r="A144" s="30" t="inlineStr">
        <is>
          <t>Identification Friend or Foe (IFF) UPX-29</t>
        </is>
      </c>
      <c r="B144" s="26" t="inlineStr">
        <is>
          <t>Electronics</t>
        </is>
      </c>
      <c r="C144" s="49">
        <f>SUMIFS(JB_26BV,JB_B,1,JB_EX,"P-8a",JB_CC,"Electronics",JB_H,"FFG",JB_CE,"Identification Friend or Foe (IFF) UPX-29",JB_RC,"ALT")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EASR</t>
        </is>
      </c>
      <c r="B149" s="26" t="inlineStr">
        <is>
          <t>Ordnance</t>
        </is>
      </c>
      <c r="C149" s="49">
        <f>SUMIFS(JB_26BV,JB_B,1,JB_EX,"P-8a",JB_CC,"Ordnance",JB_H,"LPD",JB_CE,"EASR",JB_RC,"ALT")</f>
        <v/>
      </c>
      <c r="D149" s="37">
        <f>IFERROR(C149/C$182,0)</f>
        <v/>
      </c>
    </row>
    <row r="150" ht="10" customHeight="1">
      <c r="A150" s="30" t="inlineStr">
        <is>
          <t>RAM BLOCK II</t>
        </is>
      </c>
      <c r="B150" s="26" t="inlineStr">
        <is>
          <t>Ordnance</t>
        </is>
      </c>
      <c r="C150" s="49">
        <f>SUMIFS(JB_26BV,JB_B,1,JB_EX,"P-8a",JB_CC,"Ordnance",JB_H,"LPD",JB_CE,"RAM BLOCK II",JB_RC,"ALT")</f>
        <v/>
      </c>
      <c r="D150" s="37">
        <f>IFERROR(C150/C$182,0)</f>
        <v/>
      </c>
    </row>
    <row r="151" ht="10" customHeight="1">
      <c r="A151" s="30" t="inlineStr">
        <is>
          <t>MISCELLANEOUS ORDNANCE</t>
        </is>
      </c>
      <c r="B151" s="26" t="inlineStr">
        <is>
          <t>Ordnance</t>
        </is>
      </c>
      <c r="C151" s="49">
        <f>SUMIFS(JB_26BV,JB_B,1,JB_EX,"P-8a",JB_CC,"Ordnance",JB_H,"LPD",JB_CE,"MISCELLANEOUS ORDNANCE",JB_RC,"ALT")</f>
        <v/>
      </c>
      <c r="D151" s="37">
        <f>IFERROR(C151/C$182,0)</f>
        <v/>
      </c>
    </row>
    <row r="152" ht="10" customHeight="1">
      <c r="A152" s="30" t="inlineStr">
        <is>
          <t>MK 46 GUN</t>
        </is>
      </c>
      <c r="B152" s="26" t="inlineStr">
        <is>
          <t>Ordnance</t>
        </is>
      </c>
      <c r="C152" s="49">
        <f>SUMIFS(JB_26BV,JB_B,1,JB_EX,"P-8a",JB_CC,"Ordnance",JB_H,"LPD",JB_CE,"MK 46 GUN",JB_RC,"ALT")</f>
        <v/>
      </c>
      <c r="D152" s="37">
        <f>IFERROR(C152/C$182,0)</f>
        <v/>
      </c>
    </row>
    <row r="153" ht="10" customHeight="1">
      <c r="A153" s="30" t="inlineStr">
        <is>
          <t>AN/SPQ-9B Radar Set</t>
        </is>
      </c>
      <c r="B153" s="26" t="inlineStr">
        <is>
          <t>Ordnance</t>
        </is>
      </c>
      <c r="C153" s="49">
        <f>SUMIFS(JB_26BV,JB_B,1,JB_EX,"P-8a",JB_CC,"Ordnance",JB_H,"LPD",JB_CE,"AN/SPQ-9B Radar Set",JB_RC,"ALT")</f>
        <v/>
      </c>
      <c r="D153" s="37">
        <f>IFERROR(C153/C$182,0)</f>
        <v/>
      </c>
    </row>
    <row r="154" ht="10" customHeight="1">
      <c r="A154" s="30" t="inlineStr">
        <is>
          <t>ASGSI/HOSS/MWS Fit Control &amp; Inst Land Sys</t>
        </is>
      </c>
      <c r="B154" s="26" t="inlineStr">
        <is>
          <t>Ordnance</t>
        </is>
      </c>
      <c r="C154" s="49">
        <f>SUMIFS(JB_26BV,JB_B,1,JB_EX,"P-8a",JB_CC,"Ordnance",JB_H,"LPD",JB_CE,"ASGSI/HOSS/MWS Fit Control &amp; Inst Land Sys",JB_RC,"ALT")</f>
        <v/>
      </c>
      <c r="D154" s="37">
        <f>IFERROR(C154/C$182,0)</f>
        <v/>
      </c>
    </row>
    <row r="155" ht="10" customHeight="1">
      <c r="A155" s="30" t="inlineStr">
        <is>
          <t>Next Generation Surface Search Radar (NGSSR)</t>
        </is>
      </c>
      <c r="B155" s="26" t="inlineStr">
        <is>
          <t>Ordnance</t>
        </is>
      </c>
      <c r="C155" s="49">
        <f>SUMIFS(JB_26BV,JB_B,1,JB_EX,"P-8a",JB_CC,"Ordnance",JB_H,"LPD",JB_CE,"Next Generation Surface Search Radar (NGSSR)",JB_RC,"ALT")</f>
        <v/>
      </c>
      <c r="D155" s="37">
        <f>IFERROR(C155/C$182,0)</f>
        <v/>
      </c>
    </row>
    <row r="156" ht="10" customHeight="1">
      <c r="A156" s="30" t="inlineStr">
        <is>
          <t>ORDNANCE HANDLING EQUIPMENT</t>
        </is>
      </c>
      <c r="B156" s="26" t="inlineStr">
        <is>
          <t>Ordnance</t>
        </is>
      </c>
      <c r="C156" s="49">
        <f>SUMIFS(JB_26BV,JB_B,1,JB_EX,"P-8a",JB_CC,"Ordnance",JB_H,"LPD",JB_CE,"ORDNANCE HANDLING EQUIPMENT",JB_RC,"ALT")</f>
        <v/>
      </c>
      <c r="D156" s="37">
        <f>IFERROR(C156/C$182,0)</f>
        <v/>
      </c>
    </row>
    <row r="157" ht="10" customHeight="1">
      <c r="A157" s="30" t="inlineStr">
        <is>
          <t>Unclassified Video System (UVS)</t>
        </is>
      </c>
      <c r="B157" s="26" t="inlineStr">
        <is>
          <t>Hull, Mechanical, and Electrical</t>
        </is>
      </c>
      <c r="C157" s="49">
        <f>SUMIFS(JB_26BV,JB_B,1,JB_EX,"P-8a",JB_CC,"Hull, Mechanical, and Electrical",JB_H,"LPD",JB_CE,"Unclassified Video System (UVS)",JB_RC,"ALT")</f>
        <v/>
      </c>
      <c r="D157" s="37">
        <f>IFERROR(C157/C$182,0)</f>
        <v/>
      </c>
    </row>
    <row r="158" ht="10" customHeight="1">
      <c r="A158" s="30" t="inlineStr">
        <is>
          <t>Forklift Trucks</t>
        </is>
      </c>
      <c r="B158" s="26" t="inlineStr">
        <is>
          <t>Hull, Mechanical, and Electrical</t>
        </is>
      </c>
      <c r="C158" s="49">
        <f>SUMIFS(JB_26BV,JB_B,1,JB_EX,"P-8a",JB_CC,"Hull, Mechanical, and Electrical",JB_H,"LPD",JB_CE,"Forklift Trucks",JB_RC,"ALT")</f>
        <v/>
      </c>
      <c r="D158" s="37">
        <f>IFERROR(C158/C$182,0)</f>
        <v/>
      </c>
    </row>
    <row r="159" ht="10" customHeight="1">
      <c r="A159" s="30" t="inlineStr">
        <is>
          <t>Chemical Warfare Detectors</t>
        </is>
      </c>
      <c r="B159" s="26" t="inlineStr">
        <is>
          <t>Hull, Mechanical, and Electrical</t>
        </is>
      </c>
      <c r="C159" s="49">
        <f>SUMIFS(JB_26BV,JB_B,1,JB_EX,"P-8a",JB_CC,"Hull, Mechanical, and Electrical",JB_H,"LPD",JB_CE,"Chemical Warfare Detectors",JB_RC,"ALT")</f>
        <v/>
      </c>
      <c r="D159" s="37">
        <f>IFERROR(C159/C$182,0)</f>
        <v/>
      </c>
    </row>
    <row r="160" ht="10" customHeight="1">
      <c r="A160" s="30" t="inlineStr">
        <is>
          <t>Motor Operated Pilot Valve (MOPV)</t>
        </is>
      </c>
      <c r="B160" s="26" t="inlineStr">
        <is>
          <t>Hull, Mechanical, and Electrical</t>
        </is>
      </c>
      <c r="C160" s="49">
        <f>SUMIFS(JB_26BV,JB_B,1,JB_EX,"P-8a",JB_CC,"Hull, Mechanical, and Electrical",JB_H,"LPD",JB_CE,"Motor Operated Pilot Valve (MOPV)",JB_RC,"ALT")</f>
        <v/>
      </c>
      <c r="D160" s="37">
        <f>IFERROR(C160/C$182,0)</f>
        <v/>
      </c>
    </row>
    <row r="161" ht="10" customHeight="1">
      <c r="A161" s="30" t="inlineStr">
        <is>
          <t>Plastic Waste Processing EQP</t>
        </is>
      </c>
      <c r="B161" s="26" t="inlineStr">
        <is>
          <t>Hull, Mechanical, and Electrical</t>
        </is>
      </c>
      <c r="C161" s="49">
        <f>SUMIFS(JB_26BV,JB_B,1,JB_EX,"P-8a",JB_CC,"Hull, Mechanical, and Electrical",JB_H,"LPD",JB_CE,"Plastic Waste Processing EQP",JB_RC,"ALT")</f>
        <v/>
      </c>
      <c r="D161" s="37">
        <f>IFERROR(C161/C$182,0)</f>
        <v/>
      </c>
    </row>
    <row r="162" ht="10" customHeight="1">
      <c r="A162" s="30" t="inlineStr">
        <is>
          <t>Boats (Rigid Inflatable Boat, 7 meter)</t>
        </is>
      </c>
      <c r="B162" s="26" t="inlineStr">
        <is>
          <t>Hull, Mechanical, and Electrical</t>
        </is>
      </c>
      <c r="C162" s="49">
        <f>SUMIFS(JB_26BV,JB_B,1,JB_EX,"P-8a",JB_CC,"Hull, Mechanical, and Electrical",JB_H,"LPD",JB_CE,"Boats (Rigid Inflatable Boat, 7 meter)",JB_RC,"ALT")</f>
        <v/>
      </c>
      <c r="D162" s="37">
        <f>IFERROR(C162/C$182,0)</f>
        <v/>
      </c>
    </row>
    <row r="163" ht="10" customHeight="1">
      <c r="A163" s="30" t="inlineStr">
        <is>
          <t>Military Payroll System</t>
        </is>
      </c>
      <c r="B163" s="26" t="inlineStr">
        <is>
          <t>Hull, Mechanical, and Electrical</t>
        </is>
      </c>
      <c r="C163" s="49">
        <f>SUMIFS(JB_26BV,JB_B,1,JB_EX,"P-8a",JB_CC,"Hull, Mechanical, and Electrical",JB_H,"LPD",JB_CE,"Military Payroll System",JB_RC,"ALT")</f>
        <v/>
      </c>
      <c r="D163" s="37">
        <f>IFERROR(C163/C$182,0)</f>
        <v/>
      </c>
    </row>
    <row r="164" ht="10" customHeight="1">
      <c r="A164" s="30" t="inlineStr">
        <is>
          <t>Oily Water Separator</t>
        </is>
      </c>
      <c r="B164" s="26" t="inlineStr">
        <is>
          <t>Hull, Mechanical, and Electrical</t>
        </is>
      </c>
      <c r="C164" s="49">
        <f>SUMIFS(JB_26BV,JB_B,1,JB_EX,"P-8a",JB_CC,"Hull, Mechanical, and Electrical",JB_H,"LPD",JB_CE,"Oily Water Separator",JB_RC,"ALT")</f>
        <v/>
      </c>
      <c r="D164" s="37">
        <f>IFERROR(C164/C$182,0)</f>
        <v/>
      </c>
    </row>
    <row r="165" ht="10" customHeight="1">
      <c r="A165" s="30" t="inlineStr">
        <is>
          <t>C4ISR</t>
        </is>
      </c>
      <c r="B165" s="26" t="inlineStr">
        <is>
          <t>Electronics</t>
        </is>
      </c>
      <c r="C165" s="49">
        <f>SUMIFS(JB_26BV,JB_B,1,JB_EX,"P-8a",JB_CC,"Electronics",JB_H,"LPD",JB_CE,"C4ISR",JB_RC,"ALT")</f>
        <v/>
      </c>
      <c r="D165" s="37">
        <f>IFERROR(C165/C$182,0)</f>
        <v/>
      </c>
    </row>
    <row r="166" ht="10" customHeight="1">
      <c r="A166" s="30" t="inlineStr">
        <is>
          <t>Mission Systems</t>
        </is>
      </c>
      <c r="B166" s="26" t="inlineStr">
        <is>
          <t>Electronics</t>
        </is>
      </c>
      <c r="C166" s="49">
        <f>SUMIFS(JB_26BV,JB_B,1,JB_EX,"P-8a",JB_CC,"Electronics",JB_H,"LPD",JB_CE,"Mission Systems",JB_RC,"ALT")</f>
        <v/>
      </c>
      <c r="D166" s="37">
        <f>IFERROR(C166/C$182,0)</f>
        <v/>
      </c>
    </row>
    <row r="167" ht="10" customHeight="1">
      <c r="A167" s="30" t="inlineStr">
        <is>
          <t>Miscellaneous Electronics</t>
        </is>
      </c>
      <c r="B167" s="26" t="inlineStr">
        <is>
          <t>Electronics</t>
        </is>
      </c>
      <c r="C167" s="49">
        <f>SUMIFS(JB_26BV,JB_B,1,JB_EX,"P-8a",JB_CC,"Electronics",JB_H,"LPD",JB_CE,"Miscellaneous Electronics",JB_RC,"ALT")</f>
        <v/>
      </c>
      <c r="D167" s="37">
        <f>IFERROR(C167/C$182,0)</f>
        <v/>
      </c>
    </row>
    <row r="168" ht="10" customHeight="1">
      <c r="A168" s="30" t="inlineStr">
        <is>
          <t>Ship Self Defense System (SSDS)</t>
        </is>
      </c>
      <c r="B168" s="26" t="inlineStr">
        <is>
          <t>Electronics</t>
        </is>
      </c>
      <c r="C168" s="49">
        <f>SUMIFS(JB_26BV,JB_B,1,JB_EX,"P-8a",JB_CC,"Electronics",JB_H,"LPD",JB_CE,"Ship Self Defense System (SSDS)",JB_RC,"ALT")</f>
        <v/>
      </c>
      <c r="D168" s="37">
        <f>IFERROR(C168/C$182,0)</f>
        <v/>
      </c>
    </row>
    <row r="169" ht="10" customHeight="1">
      <c r="A169" s="30" t="inlineStr">
        <is>
          <t>AN/SLQ-32(V)6 Surface Electronic Warfare Improvement Program (SEWIP)</t>
        </is>
      </c>
      <c r="B169" s="26" t="inlineStr">
        <is>
          <t>Electronics</t>
        </is>
      </c>
      <c r="C169" s="49">
        <f>SUMIFS(JB_26BV,JB_B,1,JB_EX,"P-8a",JB_CC,"Electronics",JB_H,"LPD",JB_CE,"AN/SLQ-32(V)6 Surface Electronic Warfare Improvement Program (SEWIP)",JB_RC,"ALT")</f>
        <v/>
      </c>
      <c r="D169" s="37">
        <f>IFERROR(C169/C$182,0)</f>
        <v/>
      </c>
    </row>
    <row r="170" ht="10" customHeight="1">
      <c r="A170" s="30" t="inlineStr">
        <is>
          <t>Cooperative Engagement Capability (CEC)</t>
        </is>
      </c>
      <c r="B170" s="26" t="inlineStr">
        <is>
          <t>Electronics</t>
        </is>
      </c>
      <c r="C170" s="49">
        <f>SUMIFS(JB_26BV,JB_B,1,JB_EX,"P-8a",JB_CC,"Electronics",JB_H,"LPD",JB_CE,"Cooperative Engagement Capability (CEC)",JB_RC,"ALT")</f>
        <v/>
      </c>
      <c r="D170" s="37">
        <f>IFERROR(C170/C$182,0)</f>
        <v/>
      </c>
    </row>
    <row r="171" ht="10" customHeight="1">
      <c r="A171" s="30" t="inlineStr">
        <is>
          <t>Interrogator System IFF (Identification Friend or Foe)</t>
        </is>
      </c>
      <c r="B171" s="26" t="inlineStr">
        <is>
          <t>Electronics</t>
        </is>
      </c>
      <c r="C171" s="49">
        <f>SUMIFS(JB_26BV,JB_B,1,JB_EX,"P-8a",JB_CC,"Electronics",JB_H,"LPD",JB_CE,"Interrogator System IFF (Identification Friend or Foe)",JB_RC,"ALT")</f>
        <v/>
      </c>
      <c r="D171" s="37">
        <f>IFERROR(C171/C$182,0)</f>
        <v/>
      </c>
    </row>
    <row r="172" ht="10" customHeight="1">
      <c r="A172" s="30" t="inlineStr">
        <is>
          <t>IWS CSI</t>
        </is>
      </c>
      <c r="B172" s="26" t="inlineStr">
        <is>
          <t>Electronics</t>
        </is>
      </c>
      <c r="C172" s="49">
        <f>SUMIFS(JB_26BV,JB_B,1,JB_EX,"P-8a",JB_CC,"Electronics",JB_H,"LPD",JB_CE,"IWS CSI",JB_RC,"ALT")</f>
        <v/>
      </c>
      <c r="D172" s="37">
        <f>IFERROR(C172/C$182,0)</f>
        <v/>
      </c>
    </row>
    <row r="173" ht="10" customHeight="1">
      <c r="A173" s="30" t="inlineStr">
        <is>
          <t>AN/WSN-7(RLGN)</t>
        </is>
      </c>
      <c r="B173" s="26" t="inlineStr">
        <is>
          <t>Electronics</t>
        </is>
      </c>
      <c r="C173" s="49">
        <f>SUMIFS(JB_26BV,JB_B,1,JB_EX,"P-8a",JB_CC,"Electronics",JB_H,"LPD",JB_CE,"AN/WSN-7(RLGN)",JB_RC,"ALT")</f>
        <v/>
      </c>
      <c r="D173" s="37">
        <f>IFERROR(C173/C$182,0)</f>
        <v/>
      </c>
    </row>
    <row r="174" ht="10" customHeight="1">
      <c r="A174" s="30" t="inlineStr">
        <is>
          <t>HM&amp;E Condition System (HMECS)</t>
        </is>
      </c>
      <c r="B174" s="26" t="inlineStr">
        <is>
          <t>Electronics</t>
        </is>
      </c>
      <c r="C174" s="49">
        <f>SUMIFS(JB_26BV,JB_B,1,JB_EX,"P-8a",JB_CC,"Electronics",JB_H,"LPD",JB_CE,"HM&amp;E Condition System (HMECS)",JB_RC,"ALT")</f>
        <v/>
      </c>
      <c r="D174" s="37">
        <f>IFERROR(C174/C$182,0)</f>
        <v/>
      </c>
    </row>
    <row r="175" ht="10" customHeight="1">
      <c r="A175" s="30" t="inlineStr">
        <is>
          <t>Electronic Charting Display and Information Systems-Navy (ECDIS-N)</t>
        </is>
      </c>
      <c r="B175" s="26" t="inlineStr">
        <is>
          <t>Electronics</t>
        </is>
      </c>
      <c r="C175" s="49">
        <f>SUMIFS(JB_26BV,JB_B,1,JB_EX,"P-8a",JB_CC,"Electronics",JB_H,"LPD",JB_CE,"Electronic Charting Display and Information Systems-Navy (ECDIS-N)",JB_RC,"ALT")</f>
        <v/>
      </c>
      <c r="D175" s="37">
        <f>IFERROR(C175/C$182,0)</f>
        <v/>
      </c>
    </row>
    <row r="176" ht="10" customHeight="1">
      <c r="A176" s="30" t="inlineStr">
        <is>
          <t>Nulka Decoy Launching System (DLS)</t>
        </is>
      </c>
      <c r="B176" s="26" t="inlineStr">
        <is>
          <t>Electronics</t>
        </is>
      </c>
      <c r="C176" s="49">
        <f>SUMIFS(JB_26BV,JB_B,1,JB_EX,"P-8a",JB_CC,"Electronics",JB_H,"LPD",JB_CE,"Nulka Decoy Launching System (DLS)",JB_RC,"ALT")</f>
        <v/>
      </c>
      <c r="D176" s="37">
        <f>IFERROR(C176/C$182,0)</f>
        <v/>
      </c>
    </row>
    <row r="177" ht="10" customHeight="1">
      <c r="A177" s="30" t="inlineStr">
        <is>
          <t>Advanced Training Domain (ATD)</t>
        </is>
      </c>
      <c r="B177" s="26" t="inlineStr">
        <is>
          <t>Electronics</t>
        </is>
      </c>
      <c r="C177" s="49">
        <f>SUMIFS(JB_26BV,JB_B,1,JB_EX,"P-8a",JB_CC,"Electronics",JB_H,"LPD",JB_CE,"Advanced Training Domain (ATD)",JB_RC,"ALT")</f>
        <v/>
      </c>
      <c r="D177" s="37">
        <f>IFERROR(C177/C$182,0)</f>
        <v/>
      </c>
    </row>
    <row r="178" ht="10" customHeight="1">
      <c r="A178" s="30" t="inlineStr">
        <is>
          <t>Amphibious Assault Direction System (AADS)</t>
        </is>
      </c>
      <c r="B178" s="26" t="inlineStr">
        <is>
          <t>Electronics</t>
        </is>
      </c>
      <c r="C178" s="49">
        <f>SUMIFS(JB_26BV,JB_B,1,JB_EX,"P-8a",JB_CC,"Electronics",JB_H,"LPD",JB_CE,"Amphibious Assault Direction System (AADS)",JB_RC,"ALT")</f>
        <v/>
      </c>
      <c r="D178" s="37">
        <f>IFERROR(C178/C$182,0)</f>
        <v/>
      </c>
    </row>
    <row r="179" ht="10" customHeight="1">
      <c r="A179" s="30" t="inlineStr">
        <is>
          <t>DHYSL</t>
        </is>
      </c>
      <c r="B179" s="26" t="inlineStr">
        <is>
          <t>Electronics</t>
        </is>
      </c>
      <c r="C179" s="49">
        <f>SUMIFS(JB_26BV,JB_B,1,JB_EX,"P-8a",JB_CC,"Electronics",JB_H,"LPD",JB_CE,"DHYSL",JB_RC,"ALT")</f>
        <v/>
      </c>
      <c r="D179" s="37">
        <f>IFERROR(C179/C$182,0)</f>
        <v/>
      </c>
    </row>
    <row r="180" ht="10" customHeight="1">
      <c r="A180" s="30" t="inlineStr">
        <is>
          <t>AN/UQN-10</t>
        </is>
      </c>
      <c r="B180" s="26" t="inlineStr">
        <is>
          <t>Electronics</t>
        </is>
      </c>
      <c r="C180" s="49">
        <f>SUMIFS(JB_26BV,JB_B,1,JB_EX,"P-8a",JB_CC,"Electronics",JB_H,"LPD",JB_CE,"AN/UQN-10",JB_RC,"ALT")</f>
        <v/>
      </c>
      <c r="D180" s="37">
        <f>IFERROR(C180/C$182,0)</f>
        <v/>
      </c>
    </row>
    <row r="181" ht="10" customHeight="1">
      <c r="A181" s="30" t="inlineStr">
        <is>
          <t>RADIAC</t>
        </is>
      </c>
      <c r="B181" s="26" t="inlineStr">
        <is>
          <t>Electronics</t>
        </is>
      </c>
      <c r="C181" s="49">
        <f>SUMIFS(JB_26BV,JB_B,1,JB_EX,"P-8a",JB_CC,"Electronics",JB_H,"LPD",JB_CE,"RADIAC",JB_RC,"ALT")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Engineering Services</t>
        </is>
      </c>
      <c r="B192" s="26" t="inlineStr">
        <is>
          <t>Hull, Mechanical, and Electrical</t>
        </is>
      </c>
      <c r="C192" s="49">
        <f>SUMIFS(JB_26BV,JB_B,1,JB_EX,"P-8a",JB_CC,"Hull, Mechanical, and Electrical",JB_H,"T-AO",JB_CE,"Engineering Services",JB_RC,"ALT")</f>
        <v/>
      </c>
      <c r="D192" s="37">
        <f>IFERROR(C192/C$206,0)</f>
        <v/>
      </c>
    </row>
    <row r="193" ht="10" customHeight="1">
      <c r="A193" s="30" t="inlineStr">
        <is>
          <t>Logistics Support Services</t>
        </is>
      </c>
      <c r="B193" s="26" t="inlineStr">
        <is>
          <t>Hull, Mechanical, and Electrical</t>
        </is>
      </c>
      <c r="C193" s="49">
        <f>SUMIFS(JB_26BV,JB_B,1,JB_EX,"P-8a",JB_CC,"Hull, Mechanical, and Electrical",JB_H,"T-AO",JB_CE,"Logistics Support Services",JB_RC,"ALT")</f>
        <v/>
      </c>
      <c r="D193" s="37">
        <f>IFERROR(C193/C$206,0)</f>
        <v/>
      </c>
    </row>
    <row r="194" ht="10" customHeight="1">
      <c r="A194" s="30" t="inlineStr">
        <is>
          <t>Material Handling Equipment</t>
        </is>
      </c>
      <c r="B194" s="26" t="inlineStr">
        <is>
          <t>Hull, Mechanical, and Electrical</t>
        </is>
      </c>
      <c r="C194" s="49">
        <f>SUMIFS(JB_26BV,JB_B,1,JB_EX,"P-8a",JB_CC,"Hull, Mechanical, and Electrical",JB_H,"T-AO",JB_CE,"Material Handling Equipment",JB_RC,"ALT")</f>
        <v/>
      </c>
      <c r="D194" s="37">
        <f>IFERROR(C194/C$206,0)</f>
        <v/>
      </c>
    </row>
    <row r="195" ht="10" customHeight="1">
      <c r="A195" s="30" t="inlineStr">
        <is>
          <t>Improved Point Detection System - Lifecycle Replacement (IPDS-LR)</t>
        </is>
      </c>
      <c r="B195" s="26" t="inlineStr">
        <is>
          <t>Hull, Mechanical, and Electrical</t>
        </is>
      </c>
      <c r="C195" s="49">
        <f>SUMIFS(JB_26BV,JB_B,1,JB_EX,"P-8a",JB_CC,"Hull, Mechanical, and Electrical",JB_H,"T-AO",JB_CE,"Improved Point Detection System - Lifecycle Replacement (IPDS-LR)",JB_RC,"ALT")</f>
        <v/>
      </c>
      <c r="D195" s="37">
        <f>IFERROR(C195/C$206,0)</f>
        <v/>
      </c>
    </row>
    <row r="196" ht="10" customHeight="1">
      <c r="A196" s="30" t="inlineStr">
        <is>
          <t>Shipboard Automated Maintenance Module (SAMM)</t>
        </is>
      </c>
      <c r="B196" s="26" t="inlineStr">
        <is>
          <t>Hull, Mechanical, and Electrical</t>
        </is>
      </c>
      <c r="C196" s="49">
        <f>SUMIFS(JB_26BV,JB_B,1,JB_EX,"P-8a",JB_CC,"Hull, Mechanical, and Electrical",JB_H,"T-AO",JB_CE,"Shipboard Automated Maintenance Module (SAMM)",JB_RC,"ALT")</f>
        <v/>
      </c>
      <c r="D196" s="37">
        <f>IFERROR(C196/C$206,0)</f>
        <v/>
      </c>
    </row>
    <row r="197" ht="10" customHeight="1">
      <c r="A197" s="30" t="inlineStr">
        <is>
          <t>Network Management System (NMS) 2.0/Consolidated Afloat Networks and Enterprise Services (CANES) [T-AO 214]</t>
        </is>
      </c>
      <c r="B197" s="26" t="inlineStr">
        <is>
          <t>Electronics</t>
        </is>
      </c>
      <c r="C197" s="49">
        <f>SUMIFS(JB_26BV,JB_B,1,JB_EX,"P-8a",JB_CC,"Electronics",JB_H,"T-AO",JB_CE,"Network Management System (NMS) 2.0/Consolidated Afloat Networks and Enterprise Services (CANES) [T-AO 214]",JB_RC,"ALT")</f>
        <v/>
      </c>
      <c r="D197" s="37">
        <f>IFERROR(C197/C$206,0)</f>
        <v/>
      </c>
    </row>
    <row r="198" ht="10" customHeight="1">
      <c r="A198" s="30" t="inlineStr">
        <is>
          <t>Minor Systems</t>
        </is>
      </c>
      <c r="B198" s="26" t="inlineStr">
        <is>
          <t>Electronics</t>
        </is>
      </c>
      <c r="C198" s="49">
        <f>SUMIFS(JB_26BV,JB_B,1,JB_EX,"P-8a",JB_CC,"Electronics",JB_H,"T-AO",JB_CE,"Minor Systems",JB_RC,"ALT")</f>
        <v/>
      </c>
      <c r="D198" s="37">
        <f>IFERROR(C198/C$206,0)</f>
        <v/>
      </c>
    </row>
    <row r="199" ht="10" customHeight="1">
      <c r="A199" s="30" t="inlineStr">
        <is>
          <t>Radio Communication System (RCS) TURNKEY</t>
        </is>
      </c>
      <c r="B199" s="26" t="inlineStr">
        <is>
          <t>Electronics</t>
        </is>
      </c>
      <c r="C199" s="49">
        <f>SUMIFS(JB_26BV,JB_B,1,JB_EX,"P-8a",JB_CC,"Electronics",JB_H,"T-AO",JB_CE,"Radio Communication System (RCS) TURNKEY",JB_RC,"ALT")</f>
        <v/>
      </c>
      <c r="D199" s="37">
        <f>IFERROR(C199/C$206,0)</f>
        <v/>
      </c>
    </row>
    <row r="200" ht="10" customHeight="1">
      <c r="A200" s="30" t="inlineStr">
        <is>
          <t>AN/SLQ-25 NIXIE</t>
        </is>
      </c>
      <c r="B200" s="26" t="inlineStr">
        <is>
          <t>Electronics</t>
        </is>
      </c>
      <c r="C200" s="49">
        <f>SUMIFS(JB_26BV,JB_B,1,JB_EX,"P-8a",JB_CC,"Electronics",JB_H,"T-AO",JB_CE,"AN/SLQ-25 NIXIE",JB_RC,"ALT")</f>
        <v/>
      </c>
      <c r="D200" s="37">
        <f>IFERROR(C200/C$206,0)</f>
        <v/>
      </c>
    </row>
    <row r="201" ht="10" customHeight="1">
      <c r="A201" s="30" t="inlineStr">
        <is>
          <t>Digital Modular Radio (DMR)</t>
        </is>
      </c>
      <c r="B201" s="26" t="inlineStr">
        <is>
          <t>Electronics</t>
        </is>
      </c>
      <c r="C201" s="49">
        <f>SUMIFS(JB_26BV,JB_B,1,JB_EX,"P-8a",JB_CC,"Electronics",JB_H,"T-AO",JB_CE,"Digital Modular Radio (DMR)",JB_RC,"ALT")</f>
        <v/>
      </c>
      <c r="D201" s="37">
        <f>IFERROR(C201/C$206,0)</f>
        <v/>
      </c>
    </row>
    <row r="202" ht="10" customHeight="1">
      <c r="A202" s="30" t="inlineStr">
        <is>
          <t>Commercial Broadband Satellite Program (CBSP)</t>
        </is>
      </c>
      <c r="B202" s="26" t="inlineStr">
        <is>
          <t>Electronics</t>
        </is>
      </c>
      <c r="C202" s="49">
        <f>SUMIFS(JB_26BV,JB_B,1,JB_EX,"P-8a",JB_CC,"Electronics",JB_H,"T-AO",JB_CE,"Commercial Broadband Satellite Program (CBSP)",JB_RC,"ALT")</f>
        <v/>
      </c>
      <c r="D202" s="37">
        <f>IFERROR(C202/C$206,0)</f>
        <v/>
      </c>
    </row>
    <row r="203" ht="10" customHeight="1">
      <c r="A203" s="30" t="inlineStr">
        <is>
          <t>OA-9277A</t>
        </is>
      </c>
      <c r="B203" s="26" t="inlineStr">
        <is>
          <t>Electronics</t>
        </is>
      </c>
      <c r="C203" s="49">
        <f>SUMIFS(JB_26BV,JB_B,1,JB_EX,"P-8a",JB_CC,"Electronics",JB_H,"T-AO",JB_CE,"OA-9277A",JB_RC,"ALT")</f>
        <v/>
      </c>
      <c r="D203" s="37">
        <f>IFERROR(C203/C$206,0)</f>
        <v/>
      </c>
    </row>
    <row r="204" ht="10" customHeight="1">
      <c r="A204" s="30" t="inlineStr">
        <is>
          <t>Battle Force Tactical Network (BFTN)/BFTN Resilient Command and Control System Enhancement (BRSE)</t>
        </is>
      </c>
      <c r="B204" s="26" t="inlineStr">
        <is>
          <t>Electronics</t>
        </is>
      </c>
      <c r="C204" s="49">
        <f>SUMIFS(JB_26BV,JB_B,1,JB_EX,"P-8a",JB_CC,"Electronics",JB_H,"T-AO",JB_CE,"Battle Force Tactical Network (BFTN)/BFTN Resilient Command and Control System Enhancement (BRSE)",JB_RC,"ALT")</f>
        <v/>
      </c>
      <c r="D204" s="37">
        <f>IFERROR(C204/C$206,0)</f>
        <v/>
      </c>
    </row>
    <row r="205" ht="10" customHeight="1">
      <c r="A205" s="30" t="inlineStr">
        <is>
          <t>AN/USQ-155 Tactical Variant Switch (TVS)</t>
        </is>
      </c>
      <c r="B205" s="26" t="inlineStr">
        <is>
          <t>Electronics</t>
        </is>
      </c>
      <c r="C205" s="49">
        <f>SUMIFS(JB_26BV,JB_B,1,JB_EX,"P-8a",JB_CC,"Electronics",JB_H,"T-AO",JB_CE,"AN/USQ-155 Tactical Variant Switch (TVS)",JB_RC,"ALT")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MRO &amp; sustainment scoped to Combatant Ships, Auxiliary Ships, USCG Cutters &amp; Unmanned Platforms</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2" t="inlineStr">
        <is>
          <t>MRO TAM</t>
        </is>
      </c>
      <c r="B9" s="33">
        <f>B20</f>
        <v/>
      </c>
    </row>
    <row r="10" ht="10" customHeight="1"/>
    <row r="11" ht="10" customHeight="1"/>
    <row r="12" ht="10" customHeight="1">
      <c r="A12" s="27" t="inlineStr">
        <is>
          <t>(B) MRO TAM by Work Type</t>
        </is>
      </c>
      <c r="B12" s="28" t="n"/>
      <c r="C12" s="28" t="n"/>
    </row>
    <row r="13" ht="10" customHeight="1">
      <c r="A13" s="29" t="inlineStr">
        <is>
          <t>Work Type</t>
        </is>
      </c>
      <c r="B13" s="29" t="inlineStr">
        <is>
          <t>FY2026 ($K)</t>
        </is>
      </c>
      <c r="C13" s="29" t="inlineStr">
        <is>
          <t>% of TAM</t>
        </is>
      </c>
    </row>
    <row r="14" ht="10" customHeight="1">
      <c r="A14" s="30" t="inlineStr">
        <is>
          <t>Scheduled Depot Maintenance</t>
        </is>
      </c>
      <c r="B14" s="31">
        <f>SUMIFS(JB_26BV,JB_B,2,JB_V,"Auxiliary Ships",JB_RC,"ADD")+SUMIFS(JB_26BV,JB_B,2,JB_V,"Combatant Ships",JB_RC,"ADD")+SUMIFS(JB_26BV,JB_B,2,JB_V,"Cutters",JB_RC,"ADD")+SUMIFS(JB_26BV,JB_B,2,JB_V,"Unmanned Maritime Platforms",JB_RC,"ADD")</f>
        <v/>
      </c>
      <c r="C14" s="37">
        <f>IFERROR(B14/B$20,0)</f>
        <v/>
      </c>
    </row>
    <row r="15" ht="10" customHeight="1">
      <c r="A15" s="30" t="inlineStr">
        <is>
          <t>Continuous / Emergent Maintenance</t>
        </is>
      </c>
      <c r="B15" s="31">
        <f>SUMIFS(JB_26BV,JB_B,3,JB_V,"Auxiliary Ships",JB_RC,"ADD")+SUMIFS(JB_26BV,JB_B,3,JB_V,"Combatant Ships",JB_RC,"ADD")+SUMIFS(JB_26BV,JB_B,3,JB_V,"Cutters",JB_RC,"ADD")+SUMIFS(JB_26BV,JB_B,3,JB_V,"Unmanned Maritime Platforms",JB_RC,"ADD")</f>
        <v/>
      </c>
      <c r="C15" s="37">
        <f>IFERROR(B15/B$20,0)</f>
        <v/>
      </c>
    </row>
    <row r="16" ht="10" customHeight="1">
      <c r="A16" s="30" t="inlineStr">
        <is>
          <t>Modernization</t>
        </is>
      </c>
      <c r="B16" s="31">
        <f>SUMIFS(JB_26BV,JB_B,4,JB_V,"Auxiliary Ships",JB_RC,"ADD")+SUMIFS(JB_26BV,JB_B,4,JB_V,"Combatant Ships",JB_RC,"ADD")+SUMIFS(JB_26BV,JB_B,4,JB_V,"Cutters",JB_RC,"ADD")+SUMIFS(JB_26BV,JB_B,4,JB_V,"Unmanned Maritime Platforms",JB_RC,"ADD")</f>
        <v/>
      </c>
      <c r="C16" s="37">
        <f>IFERROR(B16/B$20,0)</f>
        <v/>
      </c>
    </row>
    <row r="17" ht="10" customHeight="1">
      <c r="A17" s="30" t="inlineStr">
        <is>
          <t>Major Life-Cycle Events / RCOH</t>
        </is>
      </c>
      <c r="B17" s="31">
        <f>SUMIFS(JB_26BV,JB_B,5,JB_V,"Auxiliary Ships",JB_RC,"ADD")+SUMIFS(JB_26BV,JB_B,5,JB_V,"Combatant Ships",JB_RC,"ADD")+SUMIFS(JB_26BV,JB_B,5,JB_V,"Cutters",JB_RC,"ADD")+SUMIFS(JB_26BV,JB_B,5,JB_V,"Unmanned Maritime Platforms",JB_RC,"ADD")</f>
        <v/>
      </c>
      <c r="C17" s="37">
        <f>IFERROR(B17/B$20,0)</f>
        <v/>
      </c>
    </row>
    <row r="18" ht="10" customHeight="1">
      <c r="A18" s="30" t="inlineStr">
        <is>
          <t>Sustainment Engineering</t>
        </is>
      </c>
      <c r="B18" s="31">
        <f>SUMIFS(JB_26BV,JB_B,6,JB_V,"Auxiliary Ships",JB_RC,"ADD")+SUMIFS(JB_26BV,JB_B,6,JB_V,"Combatant Ships",JB_RC,"ADD")+SUMIFS(JB_26BV,JB_B,6,JB_V,"Cutters",JB_RC,"ADD")+SUMIFS(JB_26BV,JB_B,6,JB_V,"Unmanned Maritime Platforms",JB_RC,"ADD")</f>
        <v/>
      </c>
      <c r="C18" s="37">
        <f>IFERROR(B18/B$20,0)</f>
        <v/>
      </c>
    </row>
    <row r="19" ht="10" customHeight="1">
      <c r="A19" s="30" t="inlineStr">
        <is>
          <t>Availability Support</t>
        </is>
      </c>
      <c r="B19" s="31">
        <f>SUMIFS(JB_26BV,JB_B,7,JB_V,"Auxiliary Ships",JB_RC,"ADD")+SUMIFS(JB_26BV,JB_B,7,JB_V,"Combatant Ships",JB_RC,"ADD")+SUMIFS(JB_26BV,JB_B,7,JB_V,"Cutters",JB_RC,"ADD")+SUMIFS(JB_26BV,JB_B,7,JB_V,"Unmanned Maritime Platforms",JB_RC,"ADD")</f>
        <v/>
      </c>
      <c r="C19" s="37">
        <f>IFERROR(B19/B$20,0)</f>
        <v/>
      </c>
    </row>
    <row r="20" ht="10" customHeight="1">
      <c r="A20" s="32" t="inlineStr">
        <is>
          <t>MRO TAM</t>
        </is>
      </c>
      <c r="B20" s="33">
        <f>SUM(B14:B19)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FY2026 ($K)</t>
        </is>
      </c>
      <c r="D24" s="29" t="inlineStr">
        <is>
          <t>% of TAM</t>
        </is>
      </c>
    </row>
    <row r="25" ht="10" customHeight="1">
      <c r="A25" s="30" t="inlineStr">
        <is>
          <t>Submarines</t>
        </is>
      </c>
      <c r="B25" s="30" t="inlineStr">
        <is>
          <t>USN</t>
        </is>
      </c>
      <c r="C25" s="31">
        <f>SUMIFS(JB_26BV,JB_B,2,JB_W,"Submarines",JB_RC,"ADD")+SUMIFS(JB_26BV,JB_B,3,JB_W,"Submarines",JB_RC,"ADD")+SUMIFS(JB_26BV,JB_B,4,JB_W,"Submarines",JB_RC,"ADD")+SUMIFS(JB_26BV,JB_B,5,JB_W,"Submarines",JB_RC,"ADD")+SUMIFS(JB_26BV,JB_B,6,JB_W,"Submarines",JB_RC,"ADD")+SUMIFS(JB_26BV,JB_B,7,JB_W,"Submarines",JB_RC,"ADD")</f>
        <v/>
      </c>
      <c r="D25" s="37">
        <f>IFERROR(C25/C$53,0)</f>
        <v/>
      </c>
    </row>
    <row r="26" ht="10" customHeight="1">
      <c r="A26" s="30" t="inlineStr">
        <is>
          <t>Surface Combatants</t>
        </is>
      </c>
      <c r="B26" s="30" t="inlineStr">
        <is>
          <t>USN</t>
        </is>
      </c>
      <c r="C26"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6" s="37">
        <f>IFERROR(C26/C$53,0)</f>
        <v/>
      </c>
    </row>
    <row r="27" ht="10" customHeight="1">
      <c r="A27" s="30" t="inlineStr">
        <is>
          <t>Aircraft Carriers</t>
        </is>
      </c>
      <c r="B27" s="30" t="inlineStr">
        <is>
          <t>USN</t>
        </is>
      </c>
      <c r="C2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7" s="37">
        <f>IFERROR(C27/C$53,0)</f>
        <v/>
      </c>
    </row>
    <row r="28" ht="10" customHeight="1">
      <c r="A28" s="30" t="inlineStr">
        <is>
          <t>Amphibious Warfare Ships</t>
        </is>
      </c>
      <c r="B28" s="30" t="inlineStr">
        <is>
          <t>USN</t>
        </is>
      </c>
      <c r="C28"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28" s="37">
        <f>IFERROR(C28/C$53,0)</f>
        <v/>
      </c>
    </row>
    <row r="29" ht="10" customHeight="1">
      <c r="A29" s="30" t="inlineStr">
        <is>
          <t>Expeditionary &amp; Seabasing Ships</t>
        </is>
      </c>
      <c r="B29" s="30" t="inlineStr">
        <is>
          <t>USN</t>
        </is>
      </c>
      <c r="C29"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29" s="37">
        <f>IFERROR(C29/C$53,0)</f>
        <v/>
      </c>
    </row>
    <row r="30" ht="10" customHeight="1">
      <c r="A30" s="30" t="inlineStr">
        <is>
          <t>Command Ships</t>
        </is>
      </c>
      <c r="B30" s="30" t="inlineStr">
        <is>
          <t>USN</t>
        </is>
      </c>
      <c r="C30" s="31">
        <f>SUMIFS(JB_26BV,JB_B,2,JB_W,"Command Ships",JB_RC,"ADD")+SUMIFS(JB_26BV,JB_B,3,JB_W,"Command Ships",JB_RC,"ADD")+SUMIFS(JB_26BV,JB_B,4,JB_W,"Command Ships",JB_RC,"ADD")+SUMIFS(JB_26BV,JB_B,5,JB_W,"Command Ships",JB_RC,"ADD")+SUMIFS(JB_26BV,JB_B,6,JB_W,"Command Ships",JB_RC,"ADD")+SUMIFS(JB_26BV,JB_B,7,JB_W,"Command Ships",JB_RC,"ADD")</f>
        <v/>
      </c>
      <c r="D30" s="37">
        <f>IFERROR(C30/C$53,0)</f>
        <v/>
      </c>
    </row>
    <row r="31" ht="10" customHeight="1">
      <c r="A31" s="30" t="inlineStr">
        <is>
          <t>Surveillance Ships</t>
        </is>
      </c>
      <c r="B31" s="30" t="inlineStr">
        <is>
          <t>USN</t>
        </is>
      </c>
      <c r="C31"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1" s="37">
        <f>IFERROR(C31/C$53,0)</f>
        <v/>
      </c>
    </row>
    <row r="32" ht="10" customHeight="1">
      <c r="A32" s="30" t="inlineStr">
        <is>
          <t>Mine Warfare</t>
        </is>
      </c>
      <c r="B32" s="30" t="inlineStr">
        <is>
          <t>USN</t>
        </is>
      </c>
      <c r="C32" s="31">
        <f>SUMIFS(JB_26BV,JB_B,2,JB_W,"Mine Warfare",JB_RC,"ADD")+SUMIFS(JB_26BV,JB_B,3,JB_W,"Mine Warfare",JB_RC,"ADD")+SUMIFS(JB_26BV,JB_B,4,JB_W,"Mine Warfare",JB_RC,"ADD")+SUMIFS(JB_26BV,JB_B,5,JB_W,"Mine Warfare",JB_RC,"ADD")+SUMIFS(JB_26BV,JB_B,6,JB_W,"Mine Warfare",JB_RC,"ADD")+SUMIFS(JB_26BV,JB_B,7,JB_W,"Mine Warfare",JB_RC,"ADD")</f>
        <v/>
      </c>
      <c r="D32" s="37">
        <f>IFERROR(C32/C$53,0)</f>
        <v/>
      </c>
    </row>
    <row r="33" ht="10" customHeight="1">
      <c r="A33" s="30" t="inlineStr">
        <is>
          <t>Research, Survey &amp; Instrumentation Ships</t>
        </is>
      </c>
      <c r="B33" s="30" t="inlineStr">
        <is>
          <t>MSC</t>
        </is>
      </c>
      <c r="C33"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3" s="37">
        <f>IFERROR(C33/C$53,0)</f>
        <v/>
      </c>
    </row>
    <row r="34" ht="10" customHeight="1">
      <c r="A34" s="30" t="inlineStr">
        <is>
          <t>Cargo &amp; Vehicle Cargo Ships</t>
        </is>
      </c>
      <c r="B34" s="30" t="inlineStr">
        <is>
          <t>USN</t>
        </is>
      </c>
      <c r="C34"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4" s="37">
        <f>IFERROR(C34/C$53,0)</f>
        <v/>
      </c>
    </row>
    <row r="35" ht="10" customHeight="1">
      <c r="A35" s="30" t="inlineStr">
        <is>
          <t>Unmanned Surface Vehicles</t>
        </is>
      </c>
      <c r="B35" s="30" t="inlineStr">
        <is>
          <t>USN</t>
        </is>
      </c>
      <c r="C35"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5" s="37">
        <f>IFERROR(C35/C$53,0)</f>
        <v/>
      </c>
    </row>
    <row r="36" ht="10" customHeight="1">
      <c r="A36" s="30" t="inlineStr">
        <is>
          <t>Salvage Ships &amp; Fleet Ocean Tugs</t>
        </is>
      </c>
      <c r="B36" s="30" t="inlineStr">
        <is>
          <t>MSC</t>
        </is>
      </c>
      <c r="C36"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36" s="37">
        <f>IFERROR(C36/C$53,0)</f>
        <v/>
      </c>
    </row>
    <row r="37" ht="10" customHeight="1">
      <c r="A37" s="30" t="inlineStr">
        <is>
          <t>Aviation Logistics Support Ship</t>
        </is>
      </c>
      <c r="B37" s="30" t="inlineStr">
        <is>
          <t>USN</t>
        </is>
      </c>
      <c r="C37"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7" s="37">
        <f>IFERROR(C37/C$53,0)</f>
        <v/>
      </c>
    </row>
    <row r="38" ht="10" customHeight="1">
      <c r="A38" s="30" t="inlineStr">
        <is>
          <t>Combat Logistics Ships</t>
        </is>
      </c>
      <c r="B38" s="30" t="inlineStr">
        <is>
          <t>MSC</t>
        </is>
      </c>
      <c r="C38"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8" s="37">
        <f>IFERROR(C38/C$53,0)</f>
        <v/>
      </c>
    </row>
    <row r="39" ht="10" customHeight="1">
      <c r="A39" s="30" t="inlineStr">
        <is>
          <t>Hospital Ship</t>
        </is>
      </c>
      <c r="B39" s="30" t="inlineStr">
        <is>
          <t>MSC</t>
        </is>
      </c>
      <c r="C39" s="31">
        <f>SUMIFS(JB_26BV,JB_B,2,JB_W,"Hospital Ship",JB_RC,"ADD")+SUMIFS(JB_26BV,JB_B,3,JB_W,"Hospital Ship",JB_RC,"ADD")+SUMIFS(JB_26BV,JB_B,4,JB_W,"Hospital Ship",JB_RC,"ADD")+SUMIFS(JB_26BV,JB_B,5,JB_W,"Hospital Ship",JB_RC,"ADD")+SUMIFS(JB_26BV,JB_B,6,JB_W,"Hospital Ship",JB_RC,"ADD")+SUMIFS(JB_26BV,JB_B,7,JB_W,"Hospital Ship",JB_RC,"ADD")</f>
        <v/>
      </c>
      <c r="D39" s="37">
        <f>IFERROR(C39/C$53,0)</f>
        <v/>
      </c>
    </row>
    <row r="40" ht="10" customHeight="1">
      <c r="A40" s="30" t="inlineStr">
        <is>
          <t>Unmanned Undersea Vehicles</t>
        </is>
      </c>
      <c r="B40" s="30" t="inlineStr">
        <is>
          <t>USN</t>
        </is>
      </c>
      <c r="C40"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0" s="37">
        <f>IFERROR(C40/C$53,0)</f>
        <v/>
      </c>
    </row>
    <row r="41" ht="10" customHeight="1">
      <c r="A41" s="30" t="inlineStr">
        <is>
          <t>Submarine Escort Ship</t>
        </is>
      </c>
      <c r="B41" s="30" t="inlineStr">
        <is>
          <t>USN</t>
        </is>
      </c>
      <c r="C41"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1" s="37">
        <f>IFERROR(C41/C$53,0)</f>
        <v/>
      </c>
    </row>
    <row r="42" ht="10" customHeight="1">
      <c r="A42" s="30" t="inlineStr">
        <is>
          <t>General Auxiliary</t>
        </is>
      </c>
      <c r="B42" s="30" t="inlineStr">
        <is>
          <t>USN</t>
        </is>
      </c>
      <c r="C42"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2" s="37">
        <f>IFERROR(C42/C$53,0)</f>
        <v/>
      </c>
    </row>
    <row r="43" ht="10" customHeight="1">
      <c r="A43" s="30" t="inlineStr">
        <is>
          <t>High Speed Transport</t>
        </is>
      </c>
      <c r="B43" s="30" t="inlineStr">
        <is>
          <t>USN</t>
        </is>
      </c>
      <c r="C43"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3" s="37">
        <f>IFERROR(C43/C$53,0)</f>
        <v/>
      </c>
    </row>
    <row r="44" ht="10" customHeight="1">
      <c r="A44" s="30" t="inlineStr">
        <is>
          <t>Material Support Ships</t>
        </is>
      </c>
      <c r="B44" s="30" t="inlineStr">
        <is>
          <t>USN</t>
        </is>
      </c>
      <c r="C44"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4" s="37">
        <f>IFERROR(C44/C$53,0)</f>
        <v/>
      </c>
    </row>
    <row r="45" ht="10" customHeight="1">
      <c r="A45" s="30" t="inlineStr">
        <is>
          <t>Crane Ship</t>
        </is>
      </c>
      <c r="B45" s="30" t="inlineStr">
        <is>
          <t>USN</t>
        </is>
      </c>
      <c r="C45" s="31">
        <f>SUMIFS(JB_26BV,JB_B,2,JB_W,"Crane Ship",JB_RC,"ADD")+SUMIFS(JB_26BV,JB_B,3,JB_W,"Crane Ship",JB_RC,"ADD")+SUMIFS(JB_26BV,JB_B,4,JB_W,"Crane Ship",JB_RC,"ADD")+SUMIFS(JB_26BV,JB_B,5,JB_W,"Crane Ship",JB_RC,"ADD")+SUMIFS(JB_26BV,JB_B,6,JB_W,"Crane Ship",JB_RC,"ADD")+SUMIFS(JB_26BV,JB_B,7,JB_W,"Crane Ship",JB_RC,"ADD")</f>
        <v/>
      </c>
      <c r="D45" s="37">
        <f>IFERROR(C45/C$53,0)</f>
        <v/>
      </c>
    </row>
    <row r="46" ht="10" customHeight="1">
      <c r="A46" s="30" t="inlineStr">
        <is>
          <t>National Security Cutters</t>
        </is>
      </c>
      <c r="B46" s="30" t="inlineStr">
        <is>
          <t>USCG</t>
        </is>
      </c>
      <c r="C46"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6" s="37">
        <f>IFERROR(C46/C$53,0)</f>
        <v/>
      </c>
    </row>
    <row r="47" ht="10" customHeight="1">
      <c r="A47" s="30" t="inlineStr">
        <is>
          <t>Coastal Buoy Tenders</t>
        </is>
      </c>
      <c r="B47" s="30" t="inlineStr">
        <is>
          <t>USCG</t>
        </is>
      </c>
      <c r="C47"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47" s="37">
        <f>IFERROR(C47/C$53,0)</f>
        <v/>
      </c>
    </row>
    <row r="48" ht="10" customHeight="1">
      <c r="A48" s="30" t="inlineStr">
        <is>
          <t>Fast Response Cutters</t>
        </is>
      </c>
      <c r="B48" s="30" t="inlineStr">
        <is>
          <t>USCG</t>
        </is>
      </c>
      <c r="C48"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48" s="37">
        <f>IFERROR(C48/C$53,0)</f>
        <v/>
      </c>
    </row>
    <row r="49" ht="10" customHeight="1">
      <c r="A49" s="30" t="inlineStr">
        <is>
          <t>Icebreakers, Oceangoing</t>
        </is>
      </c>
      <c r="B49" s="30" t="inlineStr">
        <is>
          <t>USCG</t>
        </is>
      </c>
      <c r="C49"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49" s="37">
        <f>IFERROR(C49/C$53,0)</f>
        <v/>
      </c>
    </row>
    <row r="50" ht="10" customHeight="1">
      <c r="A50" s="30" t="inlineStr">
        <is>
          <t>Icebreakers, Great Lakes</t>
        </is>
      </c>
      <c r="B50" s="30" t="inlineStr">
        <is>
          <t>USCG</t>
        </is>
      </c>
      <c r="C50"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0" s="37">
        <f>IFERROR(C50/C$53,0)</f>
        <v/>
      </c>
    </row>
    <row r="51" ht="10" customHeight="1">
      <c r="A51" s="30" t="inlineStr">
        <is>
          <t>Offshore Patrol Cutter</t>
        </is>
      </c>
      <c r="B51" s="30" t="inlineStr">
        <is>
          <t>USCG</t>
        </is>
      </c>
      <c r="C51"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1" s="37">
        <f>IFERROR(C51/C$53,0)</f>
        <v/>
      </c>
    </row>
    <row r="52" ht="10" customHeight="1">
      <c r="A52" s="30" t="inlineStr">
        <is>
          <t>Waterways Commerce Cutters</t>
        </is>
      </c>
      <c r="B52" s="30" t="inlineStr">
        <is>
          <t>USCG</t>
        </is>
      </c>
      <c r="C52"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c r="J56" s="28" t="n"/>
      <c r="K56" s="28" t="n"/>
    </row>
    <row r="57" ht="10" customHeight="1">
      <c r="A57" s="39" t="n"/>
      <c r="B57" s="40" t="inlineStr">
        <is>
          <t>USN</t>
        </is>
      </c>
      <c r="C57" s="39" t="n"/>
      <c r="D57" s="39" t="n"/>
      <c r="E57" s="39" t="n"/>
      <c r="F57" s="39" t="n"/>
      <c r="G57" s="39" t="n"/>
      <c r="H57" s="39" t="n"/>
      <c r="I57" s="39" t="n"/>
      <c r="J57" s="40" t="inlineStr">
        <is>
          <t>USCG</t>
        </is>
      </c>
      <c r="K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Expeditionary &amp; Seabasing Ships</t>
        </is>
      </c>
      <c r="G58" s="29" t="inlineStr">
        <is>
          <t>Command Ships</t>
        </is>
      </c>
      <c r="H58" s="29" t="inlineStr">
        <is>
          <t>Surveillance Ships</t>
        </is>
      </c>
      <c r="I58" s="29" t="inlineStr">
        <is>
          <t>Mine Warfare</t>
        </is>
      </c>
      <c r="J58" s="42" t="inlineStr">
        <is>
          <t>National Security Cutters</t>
        </is>
      </c>
      <c r="K58" s="42" t="inlineStr">
        <is>
          <t>Total</t>
        </is>
      </c>
    </row>
    <row r="59" ht="10" customHeight="1">
      <c r="A59" s="30" t="inlineStr">
        <is>
          <t>Scheduled Depot Maintenance</t>
        </is>
      </c>
      <c r="B59" s="43">
        <f>IFERROR((SUMIFS(JB_26BV,JB_B,2,JB_W,"Submarines",JB_RC,"ADD"))/B$65,0)</f>
        <v/>
      </c>
      <c r="C59" s="37">
        <f>IFERROR((SUMIFS(JB_26BV,JB_B,2,JB_W,"Surface Combatants",JB_RC,"ADD"))/C$65,0)</f>
        <v/>
      </c>
      <c r="D59" s="37">
        <f>IFERROR((SUMIFS(JB_26BV,JB_B,2,JB_W,"Aircraft Carriers",JB_RC,"ADD"))/D$65,0)</f>
        <v/>
      </c>
      <c r="E59" s="37">
        <f>IFERROR((SUMIFS(JB_26BV,JB_B,2,JB_W,"Amphibious Warfare Ships",JB_RC,"ADD"))/E$65,0)</f>
        <v/>
      </c>
      <c r="F59" s="37">
        <f>IFERROR((SUMIFS(JB_26BV,JB_B,2,JB_W,"Expeditionary &amp; Seabasing Ships",JB_RC,"ADD"))/F$65,0)</f>
        <v/>
      </c>
      <c r="G59" s="37">
        <f>IFERROR((SUMIFS(JB_26BV,JB_B,2,JB_W,"Command Ships",JB_RC,"ADD"))/G$65,0)</f>
        <v/>
      </c>
      <c r="H59" s="37">
        <f>IFERROR((SUMIFS(JB_26BV,JB_B,2,JB_W,"Surveillance Ships",JB_RC,"ADD"))/H$65,0)</f>
        <v/>
      </c>
      <c r="I59" s="37">
        <f>IFERROR((SUMIFS(JB_26BV,JB_B,2,JB_W,"Mine Warfare",JB_RC,"ADD"))/I$65,0)</f>
        <v/>
      </c>
      <c r="J59" s="43">
        <f>IFERROR((SUMIFS(JB_26BV,JB_B,2,JB_W,"National Security Cutters",JB_RC,"ADD"))/J$65,0)</f>
        <v/>
      </c>
      <c r="K59" s="43">
        <f>IFERROR((SUMIFS(JB_26BV,JB_B,2,JB_V,"Auxiliary Ships",JB_RC,"ADD")+SUMIFS(JB_26BV,JB_B,2,JB_V,"Combatant Ships",JB_RC,"ADD")+SUMIFS(JB_26BV,JB_B,2,JB_V,"Cutters",JB_RC,"ADD")+SUMIFS(JB_26BV,JB_B,2,JB_V,"Unmanned Maritime Platforms",JB_RC,"ADD"))/K$65,0)</f>
        <v/>
      </c>
    </row>
    <row r="60" ht="10" customHeight="1">
      <c r="A60" s="30" t="inlineStr">
        <is>
          <t>Continuous / Emergent Maintenance</t>
        </is>
      </c>
      <c r="B60" s="43">
        <f>IFERROR((SUMIFS(JB_26BV,JB_B,3,JB_W,"Submarines",JB_RC,"ADD"))/B$65,0)</f>
        <v/>
      </c>
      <c r="C60" s="37">
        <f>IFERROR((SUMIFS(JB_26BV,JB_B,3,JB_W,"Surface Combatants",JB_RC,"ADD"))/C$65,0)</f>
        <v/>
      </c>
      <c r="D60" s="37">
        <f>IFERROR((SUMIFS(JB_26BV,JB_B,3,JB_W,"Aircraft Carriers",JB_RC,"ADD"))/D$65,0)</f>
        <v/>
      </c>
      <c r="E60" s="37">
        <f>IFERROR((SUMIFS(JB_26BV,JB_B,3,JB_W,"Amphibious Warfare Ships",JB_RC,"ADD"))/E$65,0)</f>
        <v/>
      </c>
      <c r="F60" s="37">
        <f>IFERROR((SUMIFS(JB_26BV,JB_B,3,JB_W,"Expeditionary &amp; Seabasing Ships",JB_RC,"ADD"))/F$65,0)</f>
        <v/>
      </c>
      <c r="G60" s="37">
        <f>IFERROR((SUMIFS(JB_26BV,JB_B,3,JB_W,"Command Ships",JB_RC,"ADD"))/G$65,0)</f>
        <v/>
      </c>
      <c r="H60" s="37">
        <f>IFERROR((SUMIFS(JB_26BV,JB_B,3,JB_W,"Surveillance Ships",JB_RC,"ADD"))/H$65,0)</f>
        <v/>
      </c>
      <c r="I60" s="37">
        <f>IFERROR((SUMIFS(JB_26BV,JB_B,3,JB_W,"Mine Warfare",JB_RC,"ADD"))/I$65,0)</f>
        <v/>
      </c>
      <c r="J60" s="43">
        <f>IFERROR((SUMIFS(JB_26BV,JB_B,3,JB_W,"National Security Cutters",JB_RC,"ADD"))/J$65,0)</f>
        <v/>
      </c>
      <c r="K60" s="43">
        <f>IFERROR((SUMIFS(JB_26BV,JB_B,3,JB_V,"Auxiliary Ships",JB_RC,"ADD")+SUMIFS(JB_26BV,JB_B,3,JB_V,"Combatant Ships",JB_RC,"ADD")+SUMIFS(JB_26BV,JB_B,3,JB_V,"Cutters",JB_RC,"ADD")+SUMIFS(JB_26BV,JB_B,3,JB_V,"Unmanned Maritime Platforms",JB_RC,"ADD"))/K$65,0)</f>
        <v/>
      </c>
    </row>
    <row r="61" ht="10" customHeight="1">
      <c r="A61" s="30" t="inlineStr">
        <is>
          <t>Modernization</t>
        </is>
      </c>
      <c r="B61" s="43">
        <f>IFERROR((SUMIFS(JB_26BV,JB_B,4,JB_W,"Submarines",JB_RC,"ADD"))/B$65,0)</f>
        <v/>
      </c>
      <c r="C61" s="37">
        <f>IFERROR((SUMIFS(JB_26BV,JB_B,4,JB_W,"Surface Combatants",JB_RC,"ADD"))/C$65,0)</f>
        <v/>
      </c>
      <c r="D61" s="37">
        <f>IFERROR((SUMIFS(JB_26BV,JB_B,4,JB_W,"Aircraft Carriers",JB_RC,"ADD"))/D$65,0)</f>
        <v/>
      </c>
      <c r="E61" s="37">
        <f>IFERROR((SUMIFS(JB_26BV,JB_B,4,JB_W,"Amphibious Warfare Ships",JB_RC,"ADD"))/E$65,0)</f>
        <v/>
      </c>
      <c r="F61" s="37">
        <f>IFERROR((SUMIFS(JB_26BV,JB_B,4,JB_W,"Expeditionary &amp; Seabasing Ships",JB_RC,"ADD"))/F$65,0)</f>
        <v/>
      </c>
      <c r="G61" s="37">
        <f>IFERROR((SUMIFS(JB_26BV,JB_B,4,JB_W,"Command Ships",JB_RC,"ADD"))/G$65,0)</f>
        <v/>
      </c>
      <c r="H61" s="37">
        <f>IFERROR((SUMIFS(JB_26BV,JB_B,4,JB_W,"Surveillance Ships",JB_RC,"ADD"))/H$65,0)</f>
        <v/>
      </c>
      <c r="I61" s="37">
        <f>IFERROR((SUMIFS(JB_26BV,JB_B,4,JB_W,"Mine Warfare",JB_RC,"ADD"))/I$65,0)</f>
        <v/>
      </c>
      <c r="J61" s="43">
        <f>IFERROR((SUMIFS(JB_26BV,JB_B,4,JB_W,"National Security Cutters",JB_RC,"ADD"))/J$65,0)</f>
        <v/>
      </c>
      <c r="K61" s="43">
        <f>IFERROR((SUMIFS(JB_26BV,JB_B,4,JB_V,"Auxiliary Ships",JB_RC,"ADD")+SUMIFS(JB_26BV,JB_B,4,JB_V,"Combatant Ships",JB_RC,"ADD")+SUMIFS(JB_26BV,JB_B,4,JB_V,"Cutters",JB_RC,"ADD")+SUMIFS(JB_26BV,JB_B,4,JB_V,"Unmanned Maritime Platforms",JB_RC,"ADD"))/K$65,0)</f>
        <v/>
      </c>
    </row>
    <row r="62" ht="10" customHeight="1">
      <c r="A62" s="30" t="inlineStr">
        <is>
          <t>Major Life-Cycle Events / RCOH</t>
        </is>
      </c>
      <c r="B62" s="43">
        <f>IFERROR((SUMIFS(JB_26BV,JB_B,5,JB_W,"Submarines",JB_RC,"ADD"))/B$65,0)</f>
        <v/>
      </c>
      <c r="C62" s="37">
        <f>IFERROR((SUMIFS(JB_26BV,JB_B,5,JB_W,"Surface Combatants",JB_RC,"ADD"))/C$65,0)</f>
        <v/>
      </c>
      <c r="D62" s="37">
        <f>IFERROR((SUMIFS(JB_26BV,JB_B,5,JB_W,"Aircraft Carriers",JB_RC,"ADD"))/D$65,0)</f>
        <v/>
      </c>
      <c r="E62" s="37">
        <f>IFERROR((SUMIFS(JB_26BV,JB_B,5,JB_W,"Amphibious Warfare Ships",JB_RC,"ADD"))/E$65,0)</f>
        <v/>
      </c>
      <c r="F62" s="37">
        <f>IFERROR((SUMIFS(JB_26BV,JB_B,5,JB_W,"Expeditionary &amp; Seabasing Ships",JB_RC,"ADD"))/F$65,0)</f>
        <v/>
      </c>
      <c r="G62" s="37">
        <f>IFERROR((SUMIFS(JB_26BV,JB_B,5,JB_W,"Command Ships",JB_RC,"ADD"))/G$65,0)</f>
        <v/>
      </c>
      <c r="H62" s="37">
        <f>IFERROR((SUMIFS(JB_26BV,JB_B,5,JB_W,"Surveillance Ships",JB_RC,"ADD"))/H$65,0)</f>
        <v/>
      </c>
      <c r="I62" s="37">
        <f>IFERROR((SUMIFS(JB_26BV,JB_B,5,JB_W,"Mine Warfare",JB_RC,"ADD"))/I$65,0)</f>
        <v/>
      </c>
      <c r="J62" s="43">
        <f>IFERROR((SUMIFS(JB_26BV,JB_B,5,JB_W,"National Security Cutters",JB_RC,"ADD"))/J$65,0)</f>
        <v/>
      </c>
      <c r="K62" s="43">
        <f>IFERROR((SUMIFS(JB_26BV,JB_B,5,JB_V,"Auxiliary Ships",JB_RC,"ADD")+SUMIFS(JB_26BV,JB_B,5,JB_V,"Combatant Ships",JB_RC,"ADD")+SUMIFS(JB_26BV,JB_B,5,JB_V,"Cutters",JB_RC,"ADD")+SUMIFS(JB_26BV,JB_B,5,JB_V,"Unmanned Maritime Platforms",JB_RC,"ADD"))/K$65,0)</f>
        <v/>
      </c>
    </row>
    <row r="63" ht="10" customHeight="1">
      <c r="A63" s="30" t="inlineStr">
        <is>
          <t>Sustainment Engineering</t>
        </is>
      </c>
      <c r="B63" s="43">
        <f>IFERROR((SUMIFS(JB_26BV,JB_B,6,JB_W,"Submarines",JB_RC,"ADD"))/B$65,0)</f>
        <v/>
      </c>
      <c r="C63" s="37">
        <f>IFERROR((SUMIFS(JB_26BV,JB_B,6,JB_W,"Surface Combatants",JB_RC,"ADD"))/C$65,0)</f>
        <v/>
      </c>
      <c r="D63" s="37">
        <f>IFERROR((SUMIFS(JB_26BV,JB_B,6,JB_W,"Aircraft Carriers",JB_RC,"ADD"))/D$65,0)</f>
        <v/>
      </c>
      <c r="E63" s="37">
        <f>IFERROR((SUMIFS(JB_26BV,JB_B,6,JB_W,"Amphibious Warfare Ships",JB_RC,"ADD"))/E$65,0)</f>
        <v/>
      </c>
      <c r="F63" s="37">
        <f>IFERROR((SUMIFS(JB_26BV,JB_B,6,JB_W,"Expeditionary &amp; Seabasing Ships",JB_RC,"ADD"))/F$65,0)</f>
        <v/>
      </c>
      <c r="G63" s="37">
        <f>IFERROR((SUMIFS(JB_26BV,JB_B,6,JB_W,"Command Ships",JB_RC,"ADD"))/G$65,0)</f>
        <v/>
      </c>
      <c r="H63" s="37">
        <f>IFERROR((SUMIFS(JB_26BV,JB_B,6,JB_W,"Surveillance Ships",JB_RC,"ADD"))/H$65,0)</f>
        <v/>
      </c>
      <c r="I63" s="37">
        <f>IFERROR((SUMIFS(JB_26BV,JB_B,6,JB_W,"Mine Warfare",JB_RC,"ADD"))/I$65,0)</f>
        <v/>
      </c>
      <c r="J63" s="43">
        <f>IFERROR((SUMIFS(JB_26BV,JB_B,6,JB_W,"National Security Cutters",JB_RC,"ADD"))/J$65,0)</f>
        <v/>
      </c>
      <c r="K63" s="43">
        <f>IFERROR((SUMIFS(JB_26BV,JB_B,6,JB_V,"Auxiliary Ships",JB_RC,"ADD")+SUMIFS(JB_26BV,JB_B,6,JB_V,"Combatant Ships",JB_RC,"ADD")+SUMIFS(JB_26BV,JB_B,6,JB_V,"Cutters",JB_RC,"ADD")+SUMIFS(JB_26BV,JB_B,6,JB_V,"Unmanned Maritime Platforms",JB_RC,"ADD"))/K$65,0)</f>
        <v/>
      </c>
    </row>
    <row r="64" ht="10" customHeight="1">
      <c r="A64" s="30" t="inlineStr">
        <is>
          <t>Availability Support</t>
        </is>
      </c>
      <c r="B64" s="43">
        <f>IFERROR((SUMIFS(JB_26BV,JB_B,7,JB_W,"Submarines",JB_RC,"ADD"))/B$65,0)</f>
        <v/>
      </c>
      <c r="C64" s="37">
        <f>IFERROR((SUMIFS(JB_26BV,JB_B,7,JB_W,"Surface Combatants",JB_RC,"ADD"))/C$65,0)</f>
        <v/>
      </c>
      <c r="D64" s="37">
        <f>IFERROR((SUMIFS(JB_26BV,JB_B,7,JB_W,"Aircraft Carriers",JB_RC,"ADD"))/D$65,0)</f>
        <v/>
      </c>
      <c r="E64" s="37">
        <f>IFERROR((SUMIFS(JB_26BV,JB_B,7,JB_W,"Amphibious Warfare Ships",JB_RC,"ADD"))/E$65,0)</f>
        <v/>
      </c>
      <c r="F64" s="37">
        <f>IFERROR((SUMIFS(JB_26BV,JB_B,7,JB_W,"Expeditionary &amp; Seabasing Ships",JB_RC,"ADD"))/F$65,0)</f>
        <v/>
      </c>
      <c r="G64" s="37">
        <f>IFERROR((SUMIFS(JB_26BV,JB_B,7,JB_W,"Command Ships",JB_RC,"ADD"))/G$65,0)</f>
        <v/>
      </c>
      <c r="H64" s="37">
        <f>IFERROR((SUMIFS(JB_26BV,JB_B,7,JB_W,"Surveillance Ships",JB_RC,"ADD"))/H$65,0)</f>
        <v/>
      </c>
      <c r="I64" s="37">
        <f>IFERROR((SUMIFS(JB_26BV,JB_B,7,JB_W,"Mine Warfare",JB_RC,"ADD"))/I$65,0)</f>
        <v/>
      </c>
      <c r="J64" s="43">
        <f>IFERROR((SUMIFS(JB_26BV,JB_B,7,JB_W,"National Security Cutters",JB_RC,"ADD"))/J$65,0)</f>
        <v/>
      </c>
      <c r="K64" s="43">
        <f>IFERROR((SUMIFS(JB_26BV,JB_B,7,JB_V,"Auxiliary Ships",JB_RC,"ADD")+SUMIFS(JB_26BV,JB_B,7,JB_V,"Combatant Ships",JB_RC,"ADD")+SUMIFS(JB_26BV,JB_B,7,JB_V,"Cutters",JB_RC,"ADD")+SUMIFS(JB_26BV,JB_B,7,JB_V,"Unmanned Maritime Platforms",JB_RC,"ADD"))/K$65,0)</f>
        <v/>
      </c>
    </row>
    <row r="65" ht="10" customHeight="1">
      <c r="A65" s="32" t="inlineStr">
        <is>
          <t>Total ($K)</t>
        </is>
      </c>
      <c r="B65" s="44">
        <f>SUMIFS(JB_26BV,JB_B,2,JB_W,"Submarines",JB_RC,"ADD")+SUMIFS(JB_26BV,JB_B,3,JB_W,"Submarines",JB_RC,"ADD")+SUMIFS(JB_26BV,JB_B,4,JB_W,"Submarines",JB_RC,"ADD")+SUMIFS(JB_26BV,JB_B,5,JB_W,"Submarines",JB_RC,"ADD")+SUMIFS(JB_26BV,JB_B,6,JB_W,"Submarines",JB_RC,"ADD")+SUMIFS(JB_26BV,JB_B,7,JB_W,"Submarines",JB_RC,"ADD")</f>
        <v/>
      </c>
      <c r="C65"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5"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5"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5"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5" s="33">
        <f>SUMIFS(JB_26BV,JB_B,2,JB_W,"Command Ships",JB_RC,"ADD")+SUMIFS(JB_26BV,JB_B,3,JB_W,"Command Ships",JB_RC,"ADD")+SUMIFS(JB_26BV,JB_B,4,JB_W,"Command Ships",JB_RC,"ADD")+SUMIFS(JB_26BV,JB_B,5,JB_W,"Command Ships",JB_RC,"ADD")+SUMIFS(JB_26BV,JB_B,6,JB_W,"Command Ships",JB_RC,"ADD")+SUMIFS(JB_26BV,JB_B,7,JB_W,"Command Ships",JB_RC,"ADD")</f>
        <v/>
      </c>
      <c r="H65"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5" s="33">
        <f>SUMIFS(JB_26BV,JB_B,2,JB_W,"Mine Warfare",JB_RC,"ADD")+SUMIFS(JB_26BV,JB_B,3,JB_W,"Mine Warfare",JB_RC,"ADD")+SUMIFS(JB_26BV,JB_B,4,JB_W,"Mine Warfare",JB_RC,"ADD")+SUMIFS(JB_26BV,JB_B,5,JB_W,"Mine Warfare",JB_RC,"ADD")+SUMIFS(JB_26BV,JB_B,6,JB_W,"Mine Warfare",JB_RC,"ADD")+SUMIFS(JB_26BV,JB_B,7,JB_W,"Mine Warfare",JB_RC,"ADD")</f>
        <v/>
      </c>
      <c r="J65"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5" s="44">
        <f>SUM(B65:J65)</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FY2026 ($K)</t>
        </is>
      </c>
      <c r="B1" s="25" t="n"/>
      <c r="C1" s="25" t="n"/>
      <c r="D1" s="25" t="n"/>
      <c r="E1" s="25" t="n"/>
      <c r="F1" s="25" t="n"/>
      <c r="G1" s="25" t="n"/>
      <c r="H1" s="25" t="n"/>
      <c r="I1" s="25" t="n"/>
      <c r="J1" s="25" t="n"/>
    </row>
    <row r="2" ht="10" customHeight="1">
      <c r="A2" s="26" t="inlineStr">
        <is>
          <t>Outsourceable MRO: SDM + Modernization, excluding non-addressable vessel types</t>
        </is>
      </c>
    </row>
    <row r="3" ht="10" customHeight="1"/>
    <row r="4" ht="10" customHeight="1">
      <c r="A4" s="27" t="inlineStr">
        <is>
          <t>(A) Bridge: MRO TAM → MRO SAM</t>
        </is>
      </c>
      <c r="B4" s="28" t="n"/>
    </row>
    <row r="5" ht="10" customHeight="1">
      <c r="A5" s="30" t="inlineStr">
        <is>
          <t>MRO TAM</t>
        </is>
      </c>
      <c r="B5" s="49">
        <f>'FY26 MRO TAM'!B20</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Research, Survey &amp; Instrumentation Ships</t>
        </is>
      </c>
      <c r="B21" s="30" t="inlineStr">
        <is>
          <t>MSC</t>
        </is>
      </c>
      <c r="C21" s="31">
        <f>SUMIFS(JB_26BV,JB_B,2,JB_W,"Research, Survey &amp; Instrumentation Ships",JB_RC,"ADD")</f>
        <v/>
      </c>
      <c r="D21" s="31">
        <f>SUMIFS(JB_26BV,JB_B,4,JB_W,"Research, Survey &amp; Instrumentation Ships",JB_RC,"ADD")</f>
        <v/>
      </c>
      <c r="E21" s="31">
        <f>C21+D21</f>
        <v/>
      </c>
      <c r="F21" s="37">
        <f>IFERROR(E21/E$40,0)</f>
        <v/>
      </c>
    </row>
    <row r="22" ht="10" customHeight="1">
      <c r="A22" s="30" t="inlineStr">
        <is>
          <t>Submarine Escort Ship</t>
        </is>
      </c>
      <c r="B22" s="30" t="inlineStr">
        <is>
          <t>USN</t>
        </is>
      </c>
      <c r="C22" s="31">
        <f>SUMIFS(JB_26BV,JB_B,2,JB_W,"Submarine Escort Ship",JB_RC,"ADD")</f>
        <v/>
      </c>
      <c r="D22" s="31">
        <f>SUMIFS(JB_26BV,JB_B,4,JB_W,"Submarine Escort Ship",JB_RC,"ADD")</f>
        <v/>
      </c>
      <c r="E22" s="31">
        <f>C22+D22</f>
        <v/>
      </c>
      <c r="F22" s="37">
        <f>IFERROR(E22/E$40,0)</f>
        <v/>
      </c>
    </row>
    <row r="23" ht="10" customHeight="1">
      <c r="A23" s="30" t="inlineStr">
        <is>
          <t>General Auxiliary</t>
        </is>
      </c>
      <c r="B23" s="30" t="inlineStr">
        <is>
          <t>USN</t>
        </is>
      </c>
      <c r="C23" s="31">
        <f>SUMIFS(JB_26BV,JB_B,2,JB_W,"General Auxiliary",JB_RC,"ADD")</f>
        <v/>
      </c>
      <c r="D23" s="31">
        <f>SUMIFS(JB_26BV,JB_B,4,JB_W,"General Auxiliary",JB_RC,"ADD")</f>
        <v/>
      </c>
      <c r="E23" s="31">
        <f>C23+D23</f>
        <v/>
      </c>
      <c r="F23" s="37">
        <f>IFERROR(E23/E$40,0)</f>
        <v/>
      </c>
    </row>
    <row r="24" ht="10" customHeight="1">
      <c r="A24" s="30" t="inlineStr">
        <is>
          <t>Cargo &amp; Vehicle Cargo Ships</t>
        </is>
      </c>
      <c r="B24" s="30" t="inlineStr">
        <is>
          <t>USN</t>
        </is>
      </c>
      <c r="C24" s="31">
        <f>SUMIFS(JB_26BV,JB_B,2,JB_W,"Cargo &amp; Vehicle Cargo Ships",JB_RC,"ADD")</f>
        <v/>
      </c>
      <c r="D24" s="31">
        <f>SUMIFS(JB_26BV,JB_B,4,JB_W,"Cargo &amp; Vehicle Cargo Ships",JB_RC,"ADD")</f>
        <v/>
      </c>
      <c r="E24" s="31">
        <f>C24+D24</f>
        <v/>
      </c>
      <c r="F24" s="37">
        <f>IFERROR(E24/E$40,0)</f>
        <v/>
      </c>
    </row>
    <row r="25" ht="10" customHeight="1">
      <c r="A25" s="30" t="inlineStr">
        <is>
          <t>High Speed Transport</t>
        </is>
      </c>
      <c r="B25" s="30" t="inlineStr">
        <is>
          <t>USN</t>
        </is>
      </c>
      <c r="C25" s="31">
        <f>SUMIFS(JB_26BV,JB_B,2,JB_W,"High Speed Transport",JB_RC,"ADD")</f>
        <v/>
      </c>
      <c r="D25" s="31">
        <f>SUMIFS(JB_26BV,JB_B,4,JB_W,"High Speed Transport",JB_RC,"ADD")</f>
        <v/>
      </c>
      <c r="E25" s="31">
        <f>C25+D25</f>
        <v/>
      </c>
      <c r="F25" s="37">
        <f>IFERROR(E25/E$40,0)</f>
        <v/>
      </c>
    </row>
    <row r="26" ht="10" customHeight="1">
      <c r="A26" s="30" t="inlineStr">
        <is>
          <t>Unmanned Surface Vehicles</t>
        </is>
      </c>
      <c r="B26" s="30" t="inlineStr">
        <is>
          <t>USN</t>
        </is>
      </c>
      <c r="C26" s="31">
        <f>SUMIFS(JB_26BV,JB_B,2,JB_W,"Unmanned Surface Vehicles",JB_RC,"ADD")</f>
        <v/>
      </c>
      <c r="D26" s="31">
        <f>SUMIFS(JB_26BV,JB_B,4,JB_W,"Unmanned Surface Vehicles",JB_RC,"ADD")</f>
        <v/>
      </c>
      <c r="E26" s="31">
        <f>C26+D26</f>
        <v/>
      </c>
      <c r="F26" s="37">
        <f>IFERROR(E26/E$40,0)</f>
        <v/>
      </c>
    </row>
    <row r="27" ht="10" customHeight="1">
      <c r="A27" s="30" t="inlineStr">
        <is>
          <t>Material Support Ships</t>
        </is>
      </c>
      <c r="B27" s="30" t="inlineStr">
        <is>
          <t>USN</t>
        </is>
      </c>
      <c r="C27" s="31">
        <f>SUMIFS(JB_26BV,JB_B,2,JB_W,"Material Support Ships",JB_RC,"ADD")</f>
        <v/>
      </c>
      <c r="D27" s="31">
        <f>SUMIFS(JB_26BV,JB_B,4,JB_W,"Material Support Ships",JB_RC,"ADD")</f>
        <v/>
      </c>
      <c r="E27" s="31">
        <f>C27+D27</f>
        <v/>
      </c>
      <c r="F27" s="37">
        <f>IFERROR(E27/E$40,0)</f>
        <v/>
      </c>
    </row>
    <row r="28" ht="10" customHeight="1">
      <c r="A28" s="30" t="inlineStr">
        <is>
          <t>Salvage Ships &amp; Fleet Ocean Tugs</t>
        </is>
      </c>
      <c r="B28" s="30" t="inlineStr">
        <is>
          <t>MSC</t>
        </is>
      </c>
      <c r="C28" s="31">
        <f>SUMIFS(JB_26BV,JB_B,2,JB_W,"Salvage Ships &amp; Fleet Ocean Tugs",JB_RC,"ADD")</f>
        <v/>
      </c>
      <c r="D28" s="31">
        <f>SUMIFS(JB_26BV,JB_B,4,JB_W,"Salvage Ships &amp; Fleet Ocean Tugs",JB_RC,"ADD")</f>
        <v/>
      </c>
      <c r="E28" s="31">
        <f>C28+D28</f>
        <v/>
      </c>
      <c r="F28" s="37">
        <f>IFERROR(E28/E$40,0)</f>
        <v/>
      </c>
    </row>
    <row r="29" ht="10" customHeight="1">
      <c r="A29" s="30" t="inlineStr">
        <is>
          <t>Aviation Logistics Support Ship</t>
        </is>
      </c>
      <c r="B29" s="30" t="inlineStr">
        <is>
          <t>USN</t>
        </is>
      </c>
      <c r="C29" s="31">
        <f>SUMIFS(JB_26BV,JB_B,2,JB_W,"Aviation Logistics Support Ship",JB_RC,"ADD")</f>
        <v/>
      </c>
      <c r="D29" s="31">
        <f>SUMIFS(JB_26BV,JB_B,4,JB_W,"Aviation Logistics Support Ship",JB_RC,"ADD")</f>
        <v/>
      </c>
      <c r="E29" s="31">
        <f>C29+D29</f>
        <v/>
      </c>
      <c r="F29" s="37">
        <f>IFERROR(E29/E$40,0)</f>
        <v/>
      </c>
    </row>
    <row r="30" ht="10" customHeight="1">
      <c r="A30" s="30" t="inlineStr">
        <is>
          <t>Combat Logistics Ships</t>
        </is>
      </c>
      <c r="B30" s="30" t="inlineStr">
        <is>
          <t>MSC</t>
        </is>
      </c>
      <c r="C30" s="31">
        <f>SUMIFS(JB_26BV,JB_B,2,JB_W,"Combat Logistics Ships",JB_RC,"ADD")</f>
        <v/>
      </c>
      <c r="D30" s="31">
        <f>SUMIFS(JB_26BV,JB_B,4,JB_W,"Combat Logistics Ships",JB_RC,"ADD")</f>
        <v/>
      </c>
      <c r="E30" s="31">
        <f>C30+D30</f>
        <v/>
      </c>
      <c r="F30" s="37">
        <f>IFERROR(E30/E$40,0)</f>
        <v/>
      </c>
    </row>
    <row r="31" ht="10" customHeight="1">
      <c r="A31" s="30" t="inlineStr">
        <is>
          <t>Hospital Ship</t>
        </is>
      </c>
      <c r="B31" s="30" t="inlineStr">
        <is>
          <t>MSC</t>
        </is>
      </c>
      <c r="C31" s="31">
        <f>SUMIFS(JB_26BV,JB_B,2,JB_W,"Hospital Ship",JB_RC,"ADD")</f>
        <v/>
      </c>
      <c r="D31" s="31">
        <f>SUMIFS(JB_26BV,JB_B,4,JB_W,"Hospital Ship",JB_RC,"ADD")</f>
        <v/>
      </c>
      <c r="E31" s="31">
        <f>C31+D31</f>
        <v/>
      </c>
      <c r="F31" s="37">
        <f>IFERROR(E31/E$40,0)</f>
        <v/>
      </c>
    </row>
    <row r="32" ht="10" customHeight="1">
      <c r="A32" s="30" t="inlineStr">
        <is>
          <t>Crane Ship</t>
        </is>
      </c>
      <c r="B32" s="30" t="inlineStr">
        <is>
          <t>USN</t>
        </is>
      </c>
      <c r="C32" s="31">
        <f>SUMIFS(JB_26BV,JB_B,2,JB_W,"Crane Ship",JB_RC,"ADD")</f>
        <v/>
      </c>
      <c r="D32" s="31">
        <f>SUMIFS(JB_26BV,JB_B,4,JB_W,"Crane Ship",JB_RC,"ADD")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Coastal Buoy Tenders</t>
        </is>
      </c>
      <c r="B34" s="30" t="inlineStr">
        <is>
          <t>USCG</t>
        </is>
      </c>
      <c r="C34" s="31">
        <f>SUMIFS(JB_26BV,JB_B,2,JB_W,"Coastal Buoy Tenders",JB_RC,"ADD")</f>
        <v/>
      </c>
      <c r="D34" s="31">
        <f>SUMIFS(JB_26BV,JB_B,4,JB_W,"Coastal Buoy Tenders",JB_RC,"ADD")</f>
        <v/>
      </c>
      <c r="E34" s="31">
        <f>C34+D34</f>
        <v/>
      </c>
      <c r="F34" s="37">
        <f>IFERROR(E34/E$40,0)</f>
        <v/>
      </c>
    </row>
    <row r="35" ht="10" customHeight="1">
      <c r="A35" s="30" t="inlineStr">
        <is>
          <t>Fast Response Cutters</t>
        </is>
      </c>
      <c r="B35" s="30" t="inlineStr">
        <is>
          <t>USCG</t>
        </is>
      </c>
      <c r="C35" s="31">
        <f>SUMIFS(JB_26BV,JB_B,2,JB_W,"Fast Response Cutters",JB_RC,"ADD")</f>
        <v/>
      </c>
      <c r="D35" s="31">
        <f>SUMIFS(JB_26BV,JB_B,4,JB_W,"Fast Response Cutters",JB_RC,"ADD")</f>
        <v/>
      </c>
      <c r="E35" s="31">
        <f>C35+D35</f>
        <v/>
      </c>
      <c r="F35" s="37">
        <f>IFERROR(E35/E$40,0)</f>
        <v/>
      </c>
    </row>
    <row r="36" ht="10" customHeight="1">
      <c r="A36" s="30" t="inlineStr">
        <is>
          <t>Icebreakers, Oceangoing</t>
        </is>
      </c>
      <c r="B36" s="30" t="inlineStr">
        <is>
          <t>USCG</t>
        </is>
      </c>
      <c r="C36" s="31">
        <f>SUMIFS(JB_26BV,JB_B,2,JB_W,"Icebreakers, Oceangoing",JB_RC,"ADD")</f>
        <v/>
      </c>
      <c r="D36" s="31">
        <f>SUMIFS(JB_26BV,JB_B,4,JB_W,"Icebreakers, Oceangoing",JB_RC,"ADD")</f>
        <v/>
      </c>
      <c r="E36" s="31">
        <f>C36+D36</f>
        <v/>
      </c>
      <c r="F36" s="37">
        <f>IFERROR(E36/E$40,0)</f>
        <v/>
      </c>
    </row>
    <row r="37" ht="10" customHeight="1">
      <c r="A37" s="30" t="inlineStr">
        <is>
          <t>Waterways Commerce Cutters</t>
        </is>
      </c>
      <c r="B37" s="30" t="inlineStr">
        <is>
          <t>USCG</t>
        </is>
      </c>
      <c r="C37" s="31">
        <f>SUMIFS(JB_26BV,JB_B,2,JB_W,"Waterways Commerce Cutters",JB_RC,"ADD")</f>
        <v/>
      </c>
      <c r="D37" s="31">
        <f>SUMIFS(JB_26BV,JB_B,4,JB_W,"Waterways Commerce Cutters",JB_RC,"ADD")</f>
        <v/>
      </c>
      <c r="E37" s="31">
        <f>C37+D37</f>
        <v/>
      </c>
      <c r="F37" s="37">
        <f>IFERROR(E37/E$40,0)</f>
        <v/>
      </c>
    </row>
    <row r="38" ht="10" customHeight="1">
      <c r="A38" s="30" t="inlineStr">
        <is>
          <t>Icebreakers, Great Lakes</t>
        </is>
      </c>
      <c r="B38" s="30" t="inlineStr">
        <is>
          <t>USCG</t>
        </is>
      </c>
      <c r="C38" s="31">
        <f>SUMIFS(JB_26BV,JB_B,2,JB_W,"Icebreakers, Great Lakes",JB_RC,"ADD")</f>
        <v/>
      </c>
      <c r="D38" s="31">
        <f>SUMIFS(JB_26BV,JB_B,4,JB_W,"Icebreakers, Great Lakes",JB_RC,"ADD")</f>
        <v/>
      </c>
      <c r="E38" s="31">
        <f>C38+D38</f>
        <v/>
      </c>
      <c r="F38" s="37">
        <f>IFERROR(E38/E$40,0)</f>
        <v/>
      </c>
    </row>
    <row r="39" ht="10" customHeight="1">
      <c r="A39" s="30" t="inlineStr">
        <is>
          <t>Offshore Patrol Cutter</t>
        </is>
      </c>
      <c r="B39" s="30" t="inlineStr">
        <is>
          <t>USCG</t>
        </is>
      </c>
      <c r="C39" s="31">
        <f>SUMIFS(JB_26BV,JB_B,2,JB_W,"Offshore Patrol Cutter",JB_RC,"ADD")</f>
        <v/>
      </c>
      <c r="D39" s="31">
        <f>SUMIFS(JB_26BV,JB_B,4,JB_W,"Offshore Patrol Cutter",JB_RC,"ADD")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40" t="inlineStr">
        <is>
          <t>USCG</t>
        </is>
      </c>
      <c r="I44" s="41" t="n"/>
    </row>
    <row r="45" ht="10" customHeight="1">
      <c r="A45" s="29" t="inlineStr">
        <is>
          <t>Work Type</t>
        </is>
      </c>
      <c r="B45" s="42" t="inlineStr">
        <is>
          <t>Surface Combatants</t>
        </is>
      </c>
      <c r="C45" s="29" t="inlineStr">
        <is>
          <t>Amphibious Warfare Ships</t>
        </is>
      </c>
      <c r="D45" s="29" t="inlineStr">
        <is>
          <t>Expeditionary &amp; Seabasing Ships</t>
        </is>
      </c>
      <c r="E45" s="29" t="inlineStr">
        <is>
          <t>Command Ships</t>
        </is>
      </c>
      <c r="F45" s="29" t="inlineStr">
        <is>
          <t>Surveillance Ships</t>
        </is>
      </c>
      <c r="G45" s="29" t="inlineStr">
        <is>
          <t>Mine Warfare</t>
        </is>
      </c>
      <c r="H45" s="42" t="inlineStr">
        <is>
          <t>National Security Cutters</t>
        </is>
      </c>
      <c r="I45" s="42" t="inlineStr">
        <is>
          <t>Total</t>
        </is>
      </c>
    </row>
    <row r="46" ht="10" customHeight="1">
      <c r="A46" s="30" t="inlineStr">
        <is>
          <t>Scheduled Depot Maintenance</t>
        </is>
      </c>
      <c r="B46" s="43">
        <f>IFERROR((SUMIFS(JB_26BV,JB_B,2,JB_W,"Surface Combatants",JB_RC,"ADD"))/B$48,0)</f>
        <v/>
      </c>
      <c r="C46" s="37">
        <f>IFERROR((SUMIFS(JB_26BV,JB_B,2,JB_W,"Amphibious Warfare Ships",JB_RC,"ADD"))/C$48,0)</f>
        <v/>
      </c>
      <c r="D46" s="37">
        <f>IFERROR((SUMIFS(JB_26BV,JB_B,2,JB_W,"Expeditionary &amp; Seabasing Ships",JB_RC,"ADD"))/D$48,0)</f>
        <v/>
      </c>
      <c r="E46" s="37">
        <f>IFERROR((SUMIFS(JB_26BV,JB_B,2,JB_W,"Command Ships",JB_RC,"ADD"))/E$48,0)</f>
        <v/>
      </c>
      <c r="F46" s="37">
        <f>IFERROR((SUMIFS(JB_26BV,JB_B,2,JB_W,"Surveillance Ships",JB_RC,"ADD"))/F$48,0)</f>
        <v/>
      </c>
      <c r="G46" s="37">
        <f>IFERROR((SUMIFS(JB_26BV,JB_B,2,JB_W,"Mine Warfare",JB_RC,"ADD"))/G$48,0)</f>
        <v/>
      </c>
      <c r="H46" s="43">
        <f>IFERROR((SUMIFS(JB_26BV,JB_B,2,JB_W,"National Security Cutters",JB_RC,"ADD"))/H$48,0)</f>
        <v/>
      </c>
      <c r="I46" s="43">
        <f>IFERROR(1-I47,0)</f>
        <v/>
      </c>
    </row>
    <row r="47" ht="10" customHeight="1">
      <c r="A47" s="30" t="inlineStr">
        <is>
          <t>Modernization</t>
        </is>
      </c>
      <c r="B47" s="43">
        <f>IFERROR((SUMIFS(JB_26BV,JB_B,4,JB_W,"Surface Combatants",JB_RC,"ADD"))/B$48,0)</f>
        <v/>
      </c>
      <c r="C47" s="37">
        <f>IFERROR((SUMIFS(JB_26BV,JB_B,4,JB_W,"Amphibious Warfare Ships",JB_RC,"ADD"))/C$48,0)</f>
        <v/>
      </c>
      <c r="D47" s="37">
        <f>IFERROR((SUMIFS(JB_26BV,JB_B,4,JB_W,"Expeditionary &amp; Seabasing Ships",JB_RC,"ADD"))/D$48,0)</f>
        <v/>
      </c>
      <c r="E47" s="37">
        <f>IFERROR((SUMIFS(JB_26BV,JB_B,4,JB_W,"Command Ships",JB_RC,"ADD"))/E$48,0)</f>
        <v/>
      </c>
      <c r="F47" s="37">
        <f>IFERROR((SUMIFS(JB_26BV,JB_B,4,JB_W,"Surveillance Ships",JB_RC,"ADD"))/F$48,0)</f>
        <v/>
      </c>
      <c r="G47" s="37">
        <f>IFERROR((SUMIFS(JB_26BV,JB_B,4,JB_W,"Mine Warfare",JB_RC,"ADD"))/G$48,0)</f>
        <v/>
      </c>
      <c r="H47" s="43">
        <f>IFERROR((SUMIFS(JB_26BV,JB_B,4,JB_W,"National Security Cutters",JB_RC,"ADD"))/H$48,0)</f>
        <v/>
      </c>
      <c r="I47" s="4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
      </c>
    </row>
    <row r="48" ht="10" customHeight="1">
      <c r="A48" s="32" t="inlineStr">
        <is>
          <t>Total ($K)</t>
        </is>
      </c>
      <c r="B48" s="44">
        <f>SUMIFS(JB_26BV,JB_B,2,JB_W,"Surface Combatants",JB_RC,"ADD")+SUMIFS(JB_26BV,JB_B,4,JB_W,"Surface Combatants",JB_RC,"ADD")</f>
        <v/>
      </c>
      <c r="C48" s="33">
        <f>SUMIFS(JB_26BV,JB_B,2,JB_W,"Amphibious Warfare Ships",JB_RC,"ADD")+SUMIFS(JB_26BV,JB_B,4,JB_W,"Amphibious Warfare Ships",JB_RC,"ADD")</f>
        <v/>
      </c>
      <c r="D48" s="33">
        <f>SUMIFS(JB_26BV,JB_B,2,JB_W,"Expeditionary &amp; Seabasing Ships",JB_RC,"ADD")+SUMIFS(JB_26BV,JB_B,4,JB_W,"Expeditionary &amp; Seabasing Ships",JB_RC,"ADD")</f>
        <v/>
      </c>
      <c r="E48" s="33">
        <f>SUMIFS(JB_26BV,JB_B,2,JB_W,"Command Ships",JB_RC,"ADD")+SUMIFS(JB_26BV,JB_B,4,JB_W,"Command Ships",JB_RC,"ADD")</f>
        <v/>
      </c>
      <c r="F48" s="33">
        <f>SUMIFS(JB_26BV,JB_B,2,JB_W,"Surveillance Ships",JB_RC,"ADD")+SUMIFS(JB_26BV,JB_B,4,JB_W,"Surveillance Ships",JB_RC,"ADD")</f>
        <v/>
      </c>
      <c r="G48" s="33">
        <f>SUMIFS(JB_26BV,JB_B,2,JB_W,"Mine Warfare",JB_RC,"ADD")+SUMIFS(JB_26BV,JB_B,4,JB_W,"Mine Warfare",JB_RC,"ADD")</f>
        <v/>
      </c>
      <c r="H48" s="44">
        <f>SUMIFS(JB_26BV,JB_B,2,JB_W,"National Security Cutters",JB_RC,"ADD")+SUMIFS(JB_26BV,JB_B,4,JB_W,"National Security Cutters",JB_RC,"ADD")</f>
        <v/>
      </c>
      <c r="I48" s="44">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Navy + USCG appropriations for vessel-related activity, FY2027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OPN_BA2</t>
        </is>
      </c>
      <c r="B34" s="31">
        <f>SUMIFS(JB_27BV,JB_A,"OPN_BA2",JB_RC,"ADD")</f>
        <v/>
      </c>
    </row>
    <row r="35" ht="10" customHeight="1">
      <c r="A35" s="30" t="inlineStr">
        <is>
          <t>OPN_BA1</t>
        </is>
      </c>
      <c r="B35" s="31">
        <f>SUMIFS(JB_27BV,JB_A,"OPN_BA1",JB_RC,"ADD")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72"/>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Newbuild TAM — FY2027 ($K)</t>
        </is>
      </c>
      <c r="B1" s="25" t="n"/>
      <c r="C1" s="25" t="n"/>
      <c r="D1" s="25" t="n"/>
      <c r="E1" s="25" t="n"/>
      <c r="F1" s="25" t="n"/>
      <c r="G1" s="25" t="n"/>
      <c r="H1" s="25" t="n"/>
      <c r="I1" s="25" t="n"/>
      <c r="J1" s="25" t="n"/>
      <c r="K1" s="25" t="n"/>
      <c r="L1" s="25" t="n"/>
      <c r="M1" s="25" t="n"/>
      <c r="N1" s="25" t="n"/>
      <c r="O1" s="25" t="n"/>
    </row>
    <row r="2" ht="10" customHeight="1">
      <c r="A2" s="26" t="inlineStr">
        <is>
          <t>New Construction scoped to Combatant Ships, Auxiliary Ships, USCG Cutters &amp; Unmanned Platforms</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2" t="inlineStr">
        <is>
          <t>Newbuild TAM</t>
        </is>
      </c>
      <c r="B9" s="33">
        <f>SUMIFS(JB_27BV,JB_B,1,JB_V,"Auxiliary Ships",JB_RC,"ADD")+SUMIFS(JB_27BV,JB_B,1,JB_V,"Combatant Ships",JB_RC,"ADD")+SUMIFS(JB_27BV,JB_B,1,JB_V,"Cutters",JB_RC,"ADD")+SUMIFS(JB_27BV,JB_B,1,JB_V,"Unmanned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FY2027 ($K)</t>
        </is>
      </c>
      <c r="D13" s="29" t="inlineStr">
        <is>
          <t>% of TAM</t>
        </is>
      </c>
    </row>
    <row r="14" ht="10" customHeight="1">
      <c r="A14" s="30" t="inlineStr">
        <is>
          <t>Submarines</t>
        </is>
      </c>
      <c r="B14" s="30" t="inlineStr">
        <is>
          <t>USN</t>
        </is>
      </c>
      <c r="C14" s="31">
        <f>SUMIFS(JB_27BV,JB_B,1,JB_W,"Submarines",JB_RC,"ADD")</f>
        <v/>
      </c>
      <c r="D14" s="37">
        <f>IFERROR(C14/C$42,0)</f>
        <v/>
      </c>
    </row>
    <row r="15" ht="10" customHeight="1">
      <c r="A15" s="30" t="inlineStr">
        <is>
          <t>Amphibious Warfare Ships</t>
        </is>
      </c>
      <c r="B15" s="30" t="inlineStr">
        <is>
          <t>USN</t>
        </is>
      </c>
      <c r="C15" s="31">
        <f>SUMIFS(JB_27BV,JB_B,1,JB_W,"Amphibious Warfare Ships",JB_RC,"ADD")</f>
        <v/>
      </c>
      <c r="D15" s="37">
        <f>IFERROR(C15/C$42,0)</f>
        <v/>
      </c>
    </row>
    <row r="16" ht="10" customHeight="1">
      <c r="A16" s="30" t="inlineStr">
        <is>
          <t>Surface Combatants</t>
        </is>
      </c>
      <c r="B16" s="30" t="inlineStr">
        <is>
          <t>USN</t>
        </is>
      </c>
      <c r="C16" s="31">
        <f>SUMIFS(JB_27BV,JB_B,1,JB_W,"Surface Combatants",JB_RC,"ADD")</f>
        <v/>
      </c>
      <c r="D16" s="37">
        <f>IFERROR(C16/C$42,0)</f>
        <v/>
      </c>
    </row>
    <row r="17" ht="10" customHeight="1">
      <c r="A17" s="30" t="inlineStr">
        <is>
          <t>Material Support Ships</t>
        </is>
      </c>
      <c r="B17" s="30" t="inlineStr">
        <is>
          <t>USN</t>
        </is>
      </c>
      <c r="C17" s="31">
        <f>SUMIFS(JB_27BV,JB_B,1,JB_W,"Material Support Ships",JB_RC,"ADD")</f>
        <v/>
      </c>
      <c r="D17" s="37">
        <f>IFERROR(C17/C$42,0)</f>
        <v/>
      </c>
    </row>
    <row r="18" ht="10" customHeight="1">
      <c r="A18" s="30" t="inlineStr">
        <is>
          <t>Aircraft Carriers</t>
        </is>
      </c>
      <c r="B18" s="30" t="inlineStr">
        <is>
          <t>USN</t>
        </is>
      </c>
      <c r="C18" s="31">
        <f>SUMIFS(JB_27BV,JB_B,1,JB_W,"Aircraft Carriers",JB_RC,"ADD")</f>
        <v/>
      </c>
      <c r="D18" s="37">
        <f>IFERROR(C18/C$42,0)</f>
        <v/>
      </c>
    </row>
    <row r="19" ht="10" customHeight="1">
      <c r="A19" s="30" t="inlineStr">
        <is>
          <t>Combat Logistics Ships</t>
        </is>
      </c>
      <c r="B19" s="30" t="inlineStr">
        <is>
          <t>MSC</t>
        </is>
      </c>
      <c r="C19" s="31">
        <f>SUMIFS(JB_27BV,JB_B,1,JB_W,"Combat Logistics Ships",JB_RC,"ADD")</f>
        <v/>
      </c>
      <c r="D19" s="37">
        <f>IFERROR(C19/C$42,0)</f>
        <v/>
      </c>
    </row>
    <row r="20" ht="10" customHeight="1">
      <c r="A20" s="30" t="inlineStr">
        <is>
          <t>Expeditionary &amp; Seabasing Ships</t>
        </is>
      </c>
      <c r="B20" s="30" t="inlineStr">
        <is>
          <t>USN</t>
        </is>
      </c>
      <c r="C20" s="31">
        <f>SUMIFS(JB_27BV,JB_B,1,JB_W,"Expeditionary &amp; Seabasing Ships",JB_RC,"ADD")</f>
        <v/>
      </c>
      <c r="D20" s="37">
        <f>IFERROR(C20/C$42,0)</f>
        <v/>
      </c>
    </row>
    <row r="21" ht="10" customHeight="1">
      <c r="A21" s="30" t="inlineStr">
        <is>
          <t>Surveillance Ships</t>
        </is>
      </c>
      <c r="B21" s="30" t="inlineStr">
        <is>
          <t>USN</t>
        </is>
      </c>
      <c r="C21" s="31">
        <f>SUMIFS(JB_27BV,JB_B,1,JB_W,"Surveillance Ships",JB_RC,"ADD")</f>
        <v/>
      </c>
      <c r="D21" s="37">
        <f>IFERROR(C21/C$42,0)</f>
        <v/>
      </c>
    </row>
    <row r="22" ht="10" customHeight="1">
      <c r="A22" s="30" t="inlineStr">
        <is>
          <t>Hospital Ship</t>
        </is>
      </c>
      <c r="B22" s="30" t="inlineStr">
        <is>
          <t>MSC</t>
        </is>
      </c>
      <c r="C22" s="31">
        <f>SUMIFS(JB_27BV,JB_B,1,JB_W,"Hospital Ship",JB_RC,"ADD")</f>
        <v/>
      </c>
      <c r="D22" s="37">
        <f>IFERROR(C22/C$42,0)</f>
        <v/>
      </c>
    </row>
    <row r="23" ht="10" customHeight="1">
      <c r="A23" s="30" t="inlineStr">
        <is>
          <t>Cargo &amp; Vehicle Cargo Ships</t>
        </is>
      </c>
      <c r="B23" s="30" t="inlineStr">
        <is>
          <t>USN</t>
        </is>
      </c>
      <c r="C23" s="31">
        <f>SUMIFS(JB_27BV,JB_B,1,JB_W,"Cargo &amp; Vehicle Cargo Ships",JB_RC,"ADD")</f>
        <v/>
      </c>
      <c r="D23" s="37">
        <f>IFERROR(C23/C$42,0)</f>
        <v/>
      </c>
    </row>
    <row r="24" ht="10" customHeight="1">
      <c r="A24" s="30" t="inlineStr">
        <is>
          <t>Unmanned Undersea Vehicles</t>
        </is>
      </c>
      <c r="B24" s="30" t="inlineStr">
        <is>
          <t>USN</t>
        </is>
      </c>
      <c r="C24" s="31">
        <f>SUMIFS(JB_27BV,JB_B,1,JB_W,"Unmanned Undersea Vehicles",JB_RC,"ADD")</f>
        <v/>
      </c>
      <c r="D24" s="37">
        <f>IFERROR(C24/C$42,0)</f>
        <v/>
      </c>
    </row>
    <row r="25" ht="10" customHeight="1">
      <c r="A25" s="30" t="inlineStr">
        <is>
          <t>Unmanned Surface Vehicles</t>
        </is>
      </c>
      <c r="B25" s="30" t="inlineStr">
        <is>
          <t>USN</t>
        </is>
      </c>
      <c r="C25" s="31">
        <f>SUMIFS(JB_27BV,JB_B,1,JB_W,"Unmanned Surface Vehicles",JB_RC,"ADD")</f>
        <v/>
      </c>
      <c r="D25" s="37">
        <f>IFERROR(C25/C$42,0)</f>
        <v/>
      </c>
    </row>
    <row r="26" ht="10" customHeight="1">
      <c r="A26" s="30" t="inlineStr">
        <is>
          <t>Research, Survey &amp; Instrumentation Ships</t>
        </is>
      </c>
      <c r="B26" s="30" t="inlineStr">
        <is>
          <t>MSC</t>
        </is>
      </c>
      <c r="C26" s="31">
        <f>SUMIFS(JB_27BV,JB_B,1,JB_W,"Research, Survey &amp; Instrumentation Ships",JB_RC,"ADD")</f>
        <v/>
      </c>
      <c r="D26" s="37">
        <f>IFERROR(C26/C$42,0)</f>
        <v/>
      </c>
    </row>
    <row r="27" ht="10" customHeight="1">
      <c r="A27" s="30" t="inlineStr">
        <is>
          <t>Salvage Ships &amp; Fleet Ocean Tugs</t>
        </is>
      </c>
      <c r="B27" s="30" t="inlineStr">
        <is>
          <t>MSC</t>
        </is>
      </c>
      <c r="C27" s="31">
        <f>SUMIFS(JB_27BV,JB_B,1,JB_W,"Salvage Ships &amp; Fleet Ocean Tugs",JB_RC,"ADD")</f>
        <v/>
      </c>
      <c r="D27" s="37">
        <f>IFERROR(C27/C$42,0)</f>
        <v/>
      </c>
    </row>
    <row r="28" ht="10" customHeight="1">
      <c r="A28" s="30" t="inlineStr">
        <is>
          <t>Aviation Logistics Support Ship</t>
        </is>
      </c>
      <c r="B28" s="30" t="inlineStr">
        <is>
          <t>USN</t>
        </is>
      </c>
      <c r="C28" s="31">
        <f>SUMIFS(JB_27BV,JB_B,1,JB_W,"Aviation Logistics Support Ship",JB_RC,"ADD")</f>
        <v/>
      </c>
      <c r="D28" s="37">
        <f>IFERROR(C28/C$42,0)</f>
        <v/>
      </c>
    </row>
    <row r="29" ht="10" customHeight="1">
      <c r="A29" s="30" t="inlineStr">
        <is>
          <t>Mine Warfare</t>
        </is>
      </c>
      <c r="B29" s="30" t="inlineStr">
        <is>
          <t>USN</t>
        </is>
      </c>
      <c r="C29" s="31">
        <f>SUMIFS(JB_27BV,JB_B,1,JB_W,"Mine Warfare",JB_RC,"ADD")</f>
        <v/>
      </c>
      <c r="D29" s="37">
        <f>IFERROR(C29/C$42,0)</f>
        <v/>
      </c>
    </row>
    <row r="30" ht="10" customHeight="1">
      <c r="A30" s="30" t="inlineStr">
        <is>
          <t>Submarine Escort Ship</t>
        </is>
      </c>
      <c r="B30" s="30" t="inlineStr">
        <is>
          <t>USN</t>
        </is>
      </c>
      <c r="C30" s="31">
        <f>SUMIFS(JB_27BV,JB_B,1,JB_W,"Submarine Escort Ship",JB_RC,"ADD")</f>
        <v/>
      </c>
      <c r="D30" s="37">
        <f>IFERROR(C30/C$42,0)</f>
        <v/>
      </c>
    </row>
    <row r="31" ht="10" customHeight="1">
      <c r="A31" s="30" t="inlineStr">
        <is>
          <t>General Auxiliary</t>
        </is>
      </c>
      <c r="B31" s="30" t="inlineStr">
        <is>
          <t>USN</t>
        </is>
      </c>
      <c r="C31" s="31">
        <f>SUMIFS(JB_27BV,JB_B,1,JB_W,"General Auxiliary",JB_RC,"ADD")</f>
        <v/>
      </c>
      <c r="D31" s="37">
        <f>IFERROR(C31/C$42,0)</f>
        <v/>
      </c>
    </row>
    <row r="32" ht="10" customHeight="1">
      <c r="A32" s="30" t="inlineStr">
        <is>
          <t>High Speed Transport</t>
        </is>
      </c>
      <c r="B32" s="30" t="inlineStr">
        <is>
          <t>USN</t>
        </is>
      </c>
      <c r="C32" s="31">
        <f>SUMIFS(JB_27BV,JB_B,1,JB_W,"High Speed Transport",JB_RC,"ADD")</f>
        <v/>
      </c>
      <c r="D32" s="37">
        <f>IFERROR(C32/C$42,0)</f>
        <v/>
      </c>
    </row>
    <row r="33" ht="10" customHeight="1">
      <c r="A33" s="30" t="inlineStr">
        <is>
          <t>Command Ships</t>
        </is>
      </c>
      <c r="B33" s="30" t="inlineStr">
        <is>
          <t>USN</t>
        </is>
      </c>
      <c r="C33" s="31">
        <f>SUMIFS(JB_27BV,JB_B,1,JB_W,"Command Ships",JB_RC,"ADD")</f>
        <v/>
      </c>
      <c r="D33" s="37">
        <f>IFERROR(C33/C$42,0)</f>
        <v/>
      </c>
    </row>
    <row r="34" ht="10" customHeight="1">
      <c r="A34" s="30" t="inlineStr">
        <is>
          <t>Crane Ship</t>
        </is>
      </c>
      <c r="B34" s="30" t="inlineStr">
        <is>
          <t>USN</t>
        </is>
      </c>
      <c r="C34" s="31">
        <f>SUMIFS(JB_27BV,JB_B,1,JB_W,"Crane Ship",JB_RC,"ADD")</f>
        <v/>
      </c>
      <c r="D34" s="37">
        <f>IFERROR(C34/C$42,0)</f>
        <v/>
      </c>
    </row>
    <row r="35" ht="10" customHeight="1">
      <c r="A35" s="30" t="inlineStr">
        <is>
          <t>National Security Cutters</t>
        </is>
      </c>
      <c r="B35" s="30" t="inlineStr">
        <is>
          <t>USCG</t>
        </is>
      </c>
      <c r="C35" s="31">
        <f>SUMIFS(JB_27BV,JB_B,1,JB_W,"National Security Cutters",JB_RC,"ADD")</f>
        <v/>
      </c>
      <c r="D35" s="37">
        <f>IFERROR(C35/C$42,0)</f>
        <v/>
      </c>
    </row>
    <row r="36" ht="10" customHeight="1">
      <c r="A36" s="30" t="inlineStr">
        <is>
          <t>Coastal Buoy Tenders</t>
        </is>
      </c>
      <c r="B36" s="30" t="inlineStr">
        <is>
          <t>USCG</t>
        </is>
      </c>
      <c r="C36" s="31">
        <f>SUMIFS(JB_27BV,JB_B,1,JB_W,"Coastal Buoy Tenders",JB_RC,"ADD")</f>
        <v/>
      </c>
      <c r="D36" s="37">
        <f>IFERROR(C36/C$42,0)</f>
        <v/>
      </c>
    </row>
    <row r="37" ht="10" customHeight="1">
      <c r="A37" s="30" t="inlineStr">
        <is>
          <t>Fast Response Cutters</t>
        </is>
      </c>
      <c r="B37" s="30" t="inlineStr">
        <is>
          <t>USCG</t>
        </is>
      </c>
      <c r="C37" s="31">
        <f>SUMIFS(JB_27BV,JB_B,1,JB_W,"Fast Response Cutters",JB_RC,"ADD")</f>
        <v/>
      </c>
      <c r="D37" s="37">
        <f>IFERROR(C37/C$42,0)</f>
        <v/>
      </c>
    </row>
    <row r="38" ht="10" customHeight="1">
      <c r="A38" s="30" t="inlineStr">
        <is>
          <t>Icebreakers, Oceangoing</t>
        </is>
      </c>
      <c r="B38" s="30" t="inlineStr">
        <is>
          <t>USCG</t>
        </is>
      </c>
      <c r="C38" s="31">
        <f>SUMIFS(JB_27BV,JB_B,1,JB_W,"Icebreakers, Oceangoing",JB_RC,"ADD")</f>
        <v/>
      </c>
      <c r="D38" s="37">
        <f>IFERROR(C38/C$42,0)</f>
        <v/>
      </c>
    </row>
    <row r="39" ht="10" customHeight="1">
      <c r="A39" s="30" t="inlineStr">
        <is>
          <t>Icebreakers, Great Lakes</t>
        </is>
      </c>
      <c r="B39" s="30" t="inlineStr">
        <is>
          <t>USCG</t>
        </is>
      </c>
      <c r="C39" s="31">
        <f>SUMIFS(JB_27BV,JB_B,1,JB_W,"Icebreakers, Great Lakes",JB_RC,"ADD")</f>
        <v/>
      </c>
      <c r="D39" s="37">
        <f>IFERROR(C39/C$42,0)</f>
        <v/>
      </c>
    </row>
    <row r="40" ht="10" customHeight="1">
      <c r="A40" s="30" t="inlineStr">
        <is>
          <t>Offshore Patrol Cutter</t>
        </is>
      </c>
      <c r="B40" s="30" t="inlineStr">
        <is>
          <t>USCG</t>
        </is>
      </c>
      <c r="C40" s="31">
        <f>SUMIFS(JB_27BV,JB_B,1,JB_W,"Offshore Patrol Cutter",JB_RC,"ADD")</f>
        <v/>
      </c>
      <c r="D40" s="37">
        <f>IFERROR(C40/C$42,0)</f>
        <v/>
      </c>
    </row>
    <row r="41" ht="10" customHeight="1">
      <c r="A41" s="30" t="inlineStr">
        <is>
          <t>Waterways Commerce Cutters</t>
        </is>
      </c>
      <c r="B41" s="30" t="inlineStr">
        <is>
          <t>USCG</t>
        </is>
      </c>
      <c r="C41" s="31">
        <f>SUMIFS(JB_27BV,JB_B,1,JB_W,"Waterways Commerce Cutters",JB_RC,"ADD")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row>
    <row r="46" ht="10" customHeight="1">
      <c r="A46" s="39" t="n"/>
      <c r="B46" s="40" t="inlineStr">
        <is>
          <t>USN</t>
        </is>
      </c>
      <c r="C46" s="39" t="n"/>
      <c r="D46" s="39" t="n"/>
      <c r="E46" s="39" t="n"/>
      <c r="F46" s="39" t="n"/>
      <c r="G46" s="39" t="n"/>
      <c r="H46" s="39" t="n"/>
      <c r="I46" s="39" t="n"/>
      <c r="J46" s="39" t="n"/>
      <c r="K46" s="39" t="n"/>
      <c r="L46" s="39" t="n"/>
      <c r="M46" s="39" t="n"/>
      <c r="N46" s="41" t="n"/>
    </row>
    <row r="47" ht="10" customHeight="1">
      <c r="A47" s="29" t="inlineStr">
        <is>
          <t>Sub-Category</t>
        </is>
      </c>
      <c r="B47" s="42" t="inlineStr">
        <is>
          <t>Submarines</t>
        </is>
      </c>
      <c r="C47" s="29" t="inlineStr">
        <is>
          <t>Amphibious Warfare Ships</t>
        </is>
      </c>
      <c r="D47" s="29" t="inlineStr">
        <is>
          <t>Surface Combatants</t>
        </is>
      </c>
      <c r="E47" s="29" t="inlineStr">
        <is>
          <t>Material Support Ships</t>
        </is>
      </c>
      <c r="F47" s="29" t="inlineStr">
        <is>
          <t>Aircraft Carriers</t>
        </is>
      </c>
      <c r="G47" s="29" t="inlineStr">
        <is>
          <t>Combat Logistics Ships</t>
        </is>
      </c>
      <c r="H47" s="29" t="inlineStr">
        <is>
          <t>Expeditionary &amp; Seabasing Ships</t>
        </is>
      </c>
      <c r="I47" s="29" t="inlineStr">
        <is>
          <t>Surveillance Ships</t>
        </is>
      </c>
      <c r="J47" s="29" t="inlineStr">
        <is>
          <t>Hospital Ship</t>
        </is>
      </c>
      <c r="K47" s="29" t="inlineStr">
        <is>
          <t>Cargo &amp; Vehicle Cargo Ships</t>
        </is>
      </c>
      <c r="L47" s="29" t="inlineStr">
        <is>
          <t>Unmanned Undersea Vehicles</t>
        </is>
      </c>
      <c r="M47" s="29" t="inlineStr">
        <is>
          <t>Unmanned Surface Vehicles</t>
        </is>
      </c>
      <c r="N47" s="42" t="inlineStr">
        <is>
          <t>Total</t>
        </is>
      </c>
    </row>
    <row r="48" ht="10" customHeight="1">
      <c r="A48" s="30" t="inlineStr">
        <is>
          <t>Full Ship DD&amp;C</t>
        </is>
      </c>
      <c r="B48" s="43">
        <f>IFERROR((SUMIFS(JB_27BV,JB_B,1,JB_W,"Submarines",JB_F,"Full ship DD&amp;C",JB_RC,"ADD")+SUMIFS(JB_27BV,JB_B,1,JB_W,"Submarines",JB_F,"Full ship DD&amp;C / LLTM",JB_RC,"ADD")+SUMIFS(JB_27BV,JB_B,1,JB_W,"Submarines",JB_F,"Full vessel procurement",JB_RC,"ADD"))/B$51,0)</f>
        <v/>
      </c>
      <c r="C48" s="37">
        <f>IFERROR((SUMIFS(JB_27BV,JB_B,1,JB_W,"Amphibious Warfare Ships",JB_F,"Full ship DD&amp;C",JB_RC,"ADD")+SUMIFS(JB_27BV,JB_B,1,JB_W,"Amphibious Warfare Ships",JB_F,"Full ship DD&amp;C / LLTM",JB_RC,"ADD")+SUMIFS(JB_27BV,JB_B,1,JB_W,"Amphibious Warfare Ships",JB_F,"Full vessel procurement",JB_RC,"ADD"))/C$51,0)</f>
        <v/>
      </c>
      <c r="D48" s="37">
        <f>IFERROR((SUMIFS(JB_27BV,JB_B,1,JB_W,"Surface Combatants",JB_F,"Full ship DD&amp;C",JB_RC,"ADD")+SUMIFS(JB_27BV,JB_B,1,JB_W,"Surface Combatants",JB_F,"Full ship DD&amp;C / LLTM",JB_RC,"ADD")+SUMIFS(JB_27BV,JB_B,1,JB_W,"Surface Combatants",JB_F,"Full vessel procurement",JB_RC,"ADD"))/D$51,0)</f>
        <v/>
      </c>
      <c r="E48" s="37">
        <f>IFERROR((SUMIFS(JB_27BV,JB_B,1,JB_W,"Material Support Ships",JB_F,"Full ship DD&amp;C",JB_RC,"ADD")+SUMIFS(JB_27BV,JB_B,1,JB_W,"Material Support Ships",JB_F,"Full ship DD&amp;C / LLTM",JB_RC,"ADD")+SUMIFS(JB_27BV,JB_B,1,JB_W,"Material Support Ships",JB_F,"Full vessel procurement",JB_RC,"ADD"))/E$51,0)</f>
        <v/>
      </c>
      <c r="F48" s="37">
        <f>IFERROR((SUMIFS(JB_27BV,JB_B,1,JB_W,"Aircraft Carriers",JB_F,"Full ship DD&amp;C",JB_RC,"ADD")+SUMIFS(JB_27BV,JB_B,1,JB_W,"Aircraft Carriers",JB_F,"Full ship DD&amp;C / LLTM",JB_RC,"ADD")+SUMIFS(JB_27BV,JB_B,1,JB_W,"Aircraft Carriers",JB_F,"Full vessel procurement",JB_RC,"ADD"))/F$51,0)</f>
        <v/>
      </c>
      <c r="G48" s="37">
        <f>IFERROR((SUMIFS(JB_27BV,JB_B,1,JB_W,"Combat Logistics Ships",JB_F,"Full ship DD&amp;C",JB_RC,"ADD")+SUMIFS(JB_27BV,JB_B,1,JB_W,"Combat Logistics Ships",JB_F,"Full ship DD&amp;C / LLTM",JB_RC,"ADD")+SUMIFS(JB_27BV,JB_B,1,JB_W,"Combat Logistics Ships",JB_F,"Full vessel procurement",JB_RC,"ADD"))/G$51,0)</f>
        <v/>
      </c>
      <c r="H48" s="37">
        <f>IFERROR((SUMIFS(JB_27BV,JB_B,1,JB_W,"Expeditionary &amp; Seabasing Ships",JB_F,"Full ship DD&amp;C",JB_RC,"ADD")+SUMIFS(JB_27BV,JB_B,1,JB_W,"Expeditionary &amp; Seabasing Ships",JB_F,"Full ship DD&amp;C / LLTM",JB_RC,"ADD")+SUMIFS(JB_27BV,JB_B,1,JB_W,"Expeditionary &amp; Seabasing Ships",JB_F,"Full vessel procurement",JB_RC,"ADD"))/H$51,0)</f>
        <v/>
      </c>
      <c r="I48" s="37">
        <f>IFERROR((SUMIFS(JB_27BV,JB_B,1,JB_W,"Surveillance Ships",JB_F,"Full ship DD&amp;C",JB_RC,"ADD")+SUMIFS(JB_27BV,JB_B,1,JB_W,"Surveillance Ships",JB_F,"Full ship DD&amp;C / LLTM",JB_RC,"ADD")+SUMIFS(JB_27BV,JB_B,1,JB_W,"Surveillance Ships",JB_F,"Full vessel procurement",JB_RC,"ADD"))/I$51,0)</f>
        <v/>
      </c>
      <c r="J48" s="37">
        <f>IFERROR((SUMIFS(JB_27BV,JB_B,1,JB_W,"Hospital Ship",JB_F,"Full ship DD&amp;C",JB_RC,"ADD")+SUMIFS(JB_27BV,JB_B,1,JB_W,"Hospital Ship",JB_F,"Full ship DD&amp;C / LLTM",JB_RC,"ADD")+SUMIFS(JB_27BV,JB_B,1,JB_W,"Hospital Ship",JB_F,"Full vessel procurement",JB_RC,"ADD"))/J$51,0)</f>
        <v/>
      </c>
      <c r="K48" s="37">
        <f>IFERROR((SUMIFS(JB_27BV,JB_B,1,JB_W,"Cargo &amp; Vehicle Cargo Ships",JB_F,"Full ship DD&amp;C",JB_RC,"ADD")+SUMIFS(JB_27BV,JB_B,1,JB_W,"Cargo &amp; Vehicle Cargo Ships",JB_F,"Full ship DD&amp;C / LLTM",JB_RC,"ADD")+SUMIFS(JB_27BV,JB_B,1,JB_W,"Cargo &amp; Vehicle Cargo Ships",JB_F,"Full vessel procurement",JB_RC,"ADD"))/K$51,0)</f>
        <v/>
      </c>
      <c r="L48" s="37">
        <f>IFERROR((SUMIFS(JB_27BV,JB_B,1,JB_W,"Unmanned Undersea Vehicles",JB_F,"Full ship DD&amp;C",JB_RC,"ADD")+SUMIFS(JB_27BV,JB_B,1,JB_W,"Unmanned Undersea Vehicles",JB_F,"Full ship DD&amp;C / LLTM",JB_RC,"ADD")+SUMIFS(JB_27BV,JB_B,1,JB_W,"Unmanned Undersea Vehicles",JB_F,"Full vessel procurement",JB_RC,"ADD"))/L$51,0)</f>
        <v/>
      </c>
      <c r="M48" s="37">
        <f>IFERROR((SUMIFS(JB_27BV,JB_B,1,JB_W,"Unmanned Surface Vehicles",JB_F,"Full ship DD&amp;C",JB_RC,"ADD")+SUMIFS(JB_27BV,JB_B,1,JB_W,"Unmanned Surface Vehicles",JB_F,"Full ship DD&amp;C / LLTM",JB_RC,"ADD")+SUMIFS(JB_27BV,JB_B,1,JB_W,"Unmanned Surface Vehicles",JB_F,"Full vessel procurement",JB_RC,"ADD"))/M$51,0)</f>
        <v/>
      </c>
      <c r="N48" s="43">
        <f>IFERROR(1-N49,0)</f>
        <v/>
      </c>
    </row>
    <row r="49" ht="10" customHeight="1">
      <c r="A49" s="30" t="inlineStr">
        <is>
          <t>Advance Procurement / LLTM</t>
        </is>
      </c>
      <c r="B49" s="43">
        <f>IFERROR((SUMIFS(JB_27BV,JB_B,1,JB_W,"Submarines",JB_F,"Advance procurement / LLTM",JB_RC,"ADD"))/B$51,0)</f>
        <v/>
      </c>
      <c r="C49" s="37">
        <f>IFERROR((SUMIFS(JB_27BV,JB_B,1,JB_W,"Amphibious Warfare Ships",JB_F,"Advance procurement / LLTM",JB_RC,"ADD"))/C$51,0)</f>
        <v/>
      </c>
      <c r="D49" s="37">
        <f>IFERROR((SUMIFS(JB_27BV,JB_B,1,JB_W,"Surface Combatants",JB_F,"Advance procurement / LLTM",JB_RC,"ADD"))/D$51,0)</f>
        <v/>
      </c>
      <c r="E49" s="37">
        <f>IFERROR((SUMIFS(JB_27BV,JB_B,1,JB_W,"Material Support Ships",JB_F,"Advance procurement / LLTM",JB_RC,"ADD"))/E$51,0)</f>
        <v/>
      </c>
      <c r="F49" s="37">
        <f>IFERROR((SUMIFS(JB_27BV,JB_B,1,JB_W,"Aircraft Carriers",JB_F,"Advance procurement / LLTM",JB_RC,"ADD"))/F$51,0)</f>
        <v/>
      </c>
      <c r="G49" s="37">
        <f>IFERROR((SUMIFS(JB_27BV,JB_B,1,JB_W,"Combat Logistics Ships",JB_F,"Advance procurement / LLTM",JB_RC,"ADD"))/G$51,0)</f>
        <v/>
      </c>
      <c r="H49" s="37">
        <f>IFERROR((SUMIFS(JB_27BV,JB_B,1,JB_W,"Expeditionary &amp; Seabasing Ships",JB_F,"Advance procurement / LLTM",JB_RC,"ADD"))/H$51,0)</f>
        <v/>
      </c>
      <c r="I49" s="37">
        <f>IFERROR((SUMIFS(JB_27BV,JB_B,1,JB_W,"Surveillance Ships",JB_F,"Advance procurement / LLTM",JB_RC,"ADD"))/I$51,0)</f>
        <v/>
      </c>
      <c r="J49" s="37">
        <f>IFERROR((SUMIFS(JB_27BV,JB_B,1,JB_W,"Hospital Ship",JB_F,"Advance procurement / LLTM",JB_RC,"ADD"))/J$51,0)</f>
        <v/>
      </c>
      <c r="K49" s="37">
        <f>IFERROR((SUMIFS(JB_27BV,JB_B,1,JB_W,"Cargo &amp; Vehicle Cargo Ships",JB_F,"Advance procurement / LLTM",JB_RC,"ADD"))/K$51,0)</f>
        <v/>
      </c>
      <c r="L49" s="37">
        <f>IFERROR((SUMIFS(JB_27BV,JB_B,1,JB_W,"Unmanned Undersea Vehicles",JB_F,"Advance procurement / LLTM",JB_RC,"ADD"))/L$51,0)</f>
        <v/>
      </c>
      <c r="M49" s="37">
        <f>IFERROR((SUMIFS(JB_27BV,JB_B,1,JB_W,"Unmanned Surface Vehicles",JB_F,"Advance procurement / LLTM",JB_RC,"ADD"))/M$51,0)</f>
        <v/>
      </c>
      <c r="N49"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LLTM",JB_RC,"ADD"))/N$51,0)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37">
        <f>IFERROR(1-M48-M49,0)</f>
        <v/>
      </c>
      <c r="N50" s="43">
        <f>IFERROR(1-N48-N49,0)</f>
        <v/>
      </c>
    </row>
    <row r="51" ht="10" customHeight="1">
      <c r="A51" s="32" t="inlineStr">
        <is>
          <t>Total ($K)</t>
        </is>
      </c>
      <c r="B51" s="44">
        <f>SUMIFS(JB_27BV,JB_B,1,JB_W,"Submarines",JB_RC,"ADD")</f>
        <v/>
      </c>
      <c r="C51" s="33">
        <f>SUMIFS(JB_27BV,JB_B,1,JB_W,"Amphibious Warfare Ships",JB_RC,"ADD")</f>
        <v/>
      </c>
      <c r="D51" s="33">
        <f>SUMIFS(JB_27BV,JB_B,1,JB_W,"Surface Combatants",JB_RC,"ADD")</f>
        <v/>
      </c>
      <c r="E51" s="33">
        <f>SUMIFS(JB_27BV,JB_B,1,JB_W,"Material Support Ships",JB_RC,"ADD")</f>
        <v/>
      </c>
      <c r="F51" s="33">
        <f>SUMIFS(JB_27BV,JB_B,1,JB_W,"Aircraft Carriers",JB_RC,"ADD")</f>
        <v/>
      </c>
      <c r="G51" s="33">
        <f>SUMIFS(JB_27BV,JB_B,1,JB_W,"Combat Logistics Ships",JB_RC,"ADD")</f>
        <v/>
      </c>
      <c r="H51" s="33">
        <f>SUMIFS(JB_27BV,JB_B,1,JB_W,"Expeditionary &amp; Seabasing Ships",JB_RC,"ADD")</f>
        <v/>
      </c>
      <c r="I51" s="33">
        <f>SUMIFS(JB_27BV,JB_B,1,JB_W,"Surveillance Ships",JB_RC,"ADD")</f>
        <v/>
      </c>
      <c r="J51" s="33">
        <f>SUMIFS(JB_27BV,JB_B,1,JB_W,"Hospital Ship",JB_RC,"ADD")</f>
        <v/>
      </c>
      <c r="K51" s="33">
        <f>SUMIFS(JB_27BV,JB_B,1,JB_W,"Cargo &amp; Vehicle Cargo Ships",JB_RC,"ADD")</f>
        <v/>
      </c>
      <c r="L51" s="33">
        <f>SUMIFS(JB_27BV,JB_B,1,JB_W,"Unmanned Undersea Vehicles",JB_RC,"ADD")</f>
        <v/>
      </c>
      <c r="M51" s="33">
        <f>SUMIFS(JB_27BV,JB_B,1,JB_W,"Unmanned Surface Vehicles",JB_RC,"ADD")</f>
        <v/>
      </c>
      <c r="N51" s="44">
        <f>SUM(B51:M51)</f>
        <v/>
      </c>
    </row>
    <row r="52" ht="10" customHeight="1"/>
    <row r="53" ht="10" customHeight="1"/>
    <row r="54" ht="10" customHeight="1">
      <c r="A54" s="27" t="inlineStr">
        <is>
          <t>(D) Newbuild TAM by Hull Program — FY2027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FY2027 ($K)</t>
        </is>
      </c>
      <c r="D56" s="29" t="inlineStr">
        <is>
          <t>% of TAM</t>
        </is>
      </c>
    </row>
    <row r="57" ht="10" customHeight="1">
      <c r="A57" s="30" t="inlineStr">
        <is>
          <t>SSBN (Submarines)</t>
        </is>
      </c>
      <c r="B57" s="30" t="inlineStr">
        <is>
          <t>USN</t>
        </is>
      </c>
      <c r="C57" s="31">
        <f>SUMIFS(JB_27BV,JB_B,1,JB_H,"SSBN",JB_RC,"ADD")</f>
        <v/>
      </c>
      <c r="D57" s="37">
        <f>IFERROR(C57/C$72,0)</f>
        <v/>
      </c>
    </row>
    <row r="58" ht="10" customHeight="1">
      <c r="A58" s="30" t="inlineStr">
        <is>
          <t>SSN (Submarines)</t>
        </is>
      </c>
      <c r="B58" s="30" t="inlineStr">
        <is>
          <t>USN</t>
        </is>
      </c>
      <c r="C58" s="31">
        <f>SUMIFS(JB_27BV,JB_B,1,JB_H,"SSN",JB_RC,"ADD")</f>
        <v/>
      </c>
      <c r="D58" s="37">
        <f>IFERROR(C58/C$72,0)</f>
        <v/>
      </c>
    </row>
    <row r="59" ht="10" customHeight="1">
      <c r="A59" s="30" t="inlineStr">
        <is>
          <t>AS (Material Support Ships)</t>
        </is>
      </c>
      <c r="B59" s="30" t="inlineStr">
        <is>
          <t>USN</t>
        </is>
      </c>
      <c r="C59" s="31">
        <f>SUMIFS(JB_27BV,JB_B,1,JB_H,"AS",JB_RC,"ADD")</f>
        <v/>
      </c>
      <c r="D59" s="37">
        <f>IFERROR(C59/C$72,0)</f>
        <v/>
      </c>
    </row>
    <row r="60" ht="10" customHeight="1">
      <c r="A60" s="30" t="inlineStr">
        <is>
          <t>CVN (Aircraft Carriers)</t>
        </is>
      </c>
      <c r="B60" s="30" t="inlineStr">
        <is>
          <t>USN</t>
        </is>
      </c>
      <c r="C60" s="31">
        <f>SUMIFS(JB_27BV,JB_B,1,JB_H,"CVN",JB_RC,"ADD")</f>
        <v/>
      </c>
      <c r="D60" s="37">
        <f>IFERROR(C60/C$72,0)</f>
        <v/>
      </c>
    </row>
    <row r="61" ht="10" customHeight="1">
      <c r="A61" s="30" t="inlineStr">
        <is>
          <t>LHA (Amphibious Warfare Ships)</t>
        </is>
      </c>
      <c r="B61" s="30" t="inlineStr">
        <is>
          <t>USN</t>
        </is>
      </c>
      <c r="C61" s="31">
        <f>SUMIFS(JB_27BV,JB_B,1,JB_H,"LHA",JB_RC,"ADD")</f>
        <v/>
      </c>
      <c r="D61" s="37">
        <f>IFERROR(C61/C$72,0)</f>
        <v/>
      </c>
    </row>
    <row r="62" ht="10" customHeight="1">
      <c r="A62" s="30" t="inlineStr">
        <is>
          <t>DDG (Surface Combatants)</t>
        </is>
      </c>
      <c r="B62" s="30" t="inlineStr">
        <is>
          <t>USN</t>
        </is>
      </c>
      <c r="C62" s="31">
        <f>SUMIFS(JB_27BV,JB_B,1,JB_H,"DDG",JB_RC,"ADD")</f>
        <v/>
      </c>
      <c r="D62" s="37">
        <f>IFERROR(C62/C$72,0)</f>
        <v/>
      </c>
    </row>
    <row r="63" ht="10" customHeight="1">
      <c r="A63" s="30" t="inlineStr">
        <is>
          <t>LPD (Amphibious Warfare Ships)</t>
        </is>
      </c>
      <c r="B63" s="30" t="inlineStr">
        <is>
          <t>USN</t>
        </is>
      </c>
      <c r="C63" s="31">
        <f>SUMIFS(JB_27BV,JB_B,1,JB_H,"LPD",JB_RC,"ADD")</f>
        <v/>
      </c>
      <c r="D63" s="37">
        <f>IFERROR(C63/C$72,0)</f>
        <v/>
      </c>
    </row>
    <row r="64" ht="10" customHeight="1">
      <c r="A64" s="30" t="inlineStr">
        <is>
          <t>T-AO (Combat Logistics Ships)</t>
        </is>
      </c>
      <c r="B64" s="30" t="inlineStr">
        <is>
          <t>MSC</t>
        </is>
      </c>
      <c r="C64" s="31">
        <f>SUMIFS(JB_27BV,JB_B,1,JB_H,"T-AO",JB_RC,"ADD")</f>
        <v/>
      </c>
      <c r="D64" s="37">
        <f>IFERROR(C64/C$72,0)</f>
        <v/>
      </c>
    </row>
    <row r="65" ht="10" customHeight="1">
      <c r="A65" s="30" t="inlineStr">
        <is>
          <t>LSM (Expeditionary &amp; Seabasing Ships)</t>
        </is>
      </c>
      <c r="B65" s="30" t="inlineStr">
        <is>
          <t>USN</t>
        </is>
      </c>
      <c r="C65" s="31">
        <f>SUMIFS(JB_27BV,JB_B,1,JB_H,"LSM",JB_RC,"ADD")</f>
        <v/>
      </c>
      <c r="D65" s="37">
        <f>IFERROR(C65/C$72,0)</f>
        <v/>
      </c>
    </row>
    <row r="66" ht="10" customHeight="1">
      <c r="A66" s="30" t="inlineStr">
        <is>
          <t>FFG (Surface Combatants)</t>
        </is>
      </c>
      <c r="B66" s="30" t="inlineStr">
        <is>
          <t>USN</t>
        </is>
      </c>
      <c r="C66" s="31">
        <f>SUMIFS(JB_27BV,JB_B,1,JB_H,"FFG",JB_RC,"ADD")</f>
        <v/>
      </c>
      <c r="D66" s="37">
        <f>IFERROR(C66/C$72,0)</f>
        <v/>
      </c>
    </row>
    <row r="67" ht="10" customHeight="1">
      <c r="A67" s="30" t="inlineStr">
        <is>
          <t>T-AGOS (Surveillance Ships)</t>
        </is>
      </c>
      <c r="B67" s="30" t="inlineStr">
        <is>
          <t>MSC</t>
        </is>
      </c>
      <c r="C67" s="31">
        <f>SUMIFS(JB_27BV,JB_B,1,JB_H,"T-AGOS",JB_RC,"ADD")</f>
        <v/>
      </c>
      <c r="D67" s="37">
        <f>IFERROR(C67/C$72,0)</f>
        <v/>
      </c>
    </row>
    <row r="68" ht="10" customHeight="1">
      <c r="A68" s="30" t="inlineStr">
        <is>
          <t>T-AH (Hospital Ship)</t>
        </is>
      </c>
      <c r="B68" s="30" t="inlineStr">
        <is>
          <t>MSC</t>
        </is>
      </c>
      <c r="C68" s="31">
        <f>SUMIFS(JB_27BV,JB_B,1,JB_H,"T-AH",JB_RC,"ADD")</f>
        <v/>
      </c>
      <c r="D68" s="37">
        <f>IFERROR(C68/C$72,0)</f>
        <v/>
      </c>
    </row>
    <row r="69" ht="10" customHeight="1">
      <c r="A69" s="30" t="inlineStr">
        <is>
          <t>T-AK / T-AKR (Cargo &amp; Vehicle Cargo Ships)</t>
        </is>
      </c>
      <c r="B69" s="30" t="inlineStr">
        <is>
          <t>MSC</t>
        </is>
      </c>
      <c r="C69" s="31">
        <f>SUMIFS(JB_27BV,JB_B,1,JB_H,"T-AK / T-AKR",JB_RC,"ADD")</f>
        <v/>
      </c>
      <c r="D69" s="37">
        <f>IFERROR(C69/C$72,0)</f>
        <v/>
      </c>
    </row>
    <row r="70" ht="10" customHeight="1">
      <c r="A70" s="30" t="inlineStr">
        <is>
          <t>UUV (Unmanned Undersea Vehicles)</t>
        </is>
      </c>
      <c r="B70" s="30" t="inlineStr">
        <is>
          <t>USN</t>
        </is>
      </c>
      <c r="C70" s="31">
        <f>SUMIFS(JB_27BV,JB_B,1,JB_H,"UUV",JB_RC,"ADD")</f>
        <v/>
      </c>
      <c r="D70" s="37">
        <f>IFERROR(C70/C$72,0)</f>
        <v/>
      </c>
    </row>
    <row r="71" ht="10" customHeight="1">
      <c r="A71" s="30" t="inlineStr">
        <is>
          <t>MUSV (Unmanned Surface Vehicles)</t>
        </is>
      </c>
      <c r="B71" s="30" t="inlineStr">
        <is>
          <t>USN</t>
        </is>
      </c>
      <c r="C71" s="31">
        <f>SUMIFS(JB_27BV,JB_B,1,JB_H,"MUSV",JB_RC,"ADD")</f>
        <v/>
      </c>
      <c r="D71" s="37">
        <f>IFERROR(C71/C$72,0)</f>
        <v/>
      </c>
    </row>
    <row r="72" ht="10" customHeight="1">
      <c r="A72" s="32" t="inlineStr">
        <is>
          <t>Newbuild TAM</t>
        </is>
      </c>
      <c r="B72" s="32" t="inlineStr"/>
      <c r="C72" s="33">
        <f>SUM(C57:C71)</f>
        <v/>
      </c>
      <c r="D72" s="38" t="n">
        <v>1</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4"/>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Newbuild SAM — FY2027 ($K)</t>
        </is>
      </c>
      <c r="B1" s="25" t="n"/>
      <c r="C1" s="25" t="n"/>
      <c r="D1" s="25" t="n"/>
      <c r="E1" s="25" t="n"/>
      <c r="F1" s="25" t="n"/>
      <c r="G1" s="25" t="n"/>
      <c r="H1" s="25" t="n"/>
      <c r="I1" s="25" t="n"/>
      <c r="J1" s="25" t="n"/>
      <c r="K1" s="25" t="n"/>
      <c r="L1" s="25" t="n"/>
    </row>
    <row r="2" ht="10" customHeight="1">
      <c r="A2" s="26" t="inlineStr">
        <is>
          <t>Newbuild TAM excluding vessel types not addressable by PA</t>
        </is>
      </c>
    </row>
    <row r="3" ht="10" customHeight="1"/>
    <row r="4" ht="10" customHeight="1">
      <c r="A4" s="27" t="inlineStr">
        <is>
          <t>(A) Bridge: Newbuild TAM → Newbuild SAM</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FY2027 ($K)</t>
        </is>
      </c>
      <c r="D13" s="29" t="inlineStr">
        <is>
          <t>% of SAM</t>
        </is>
      </c>
    </row>
    <row r="14" ht="10" customHeight="1">
      <c r="A14" s="30" t="inlineStr">
        <is>
          <t>Amphibious Warfare Ships</t>
        </is>
      </c>
      <c r="B14" s="30" t="inlineStr">
        <is>
          <t>USN</t>
        </is>
      </c>
      <c r="C14" s="31">
        <f>SUMIFS(JB_27BV,JB_B,1,JB_W,"Amphibious Warfare Ships",JB_RC,"ADD")</f>
        <v/>
      </c>
      <c r="D14" s="37">
        <f>IFERROR(C14/C$39,0)</f>
        <v/>
      </c>
    </row>
    <row r="15" ht="10" customHeight="1">
      <c r="A15" s="30" t="inlineStr">
        <is>
          <t>Surface Combatants</t>
        </is>
      </c>
      <c r="B15" s="30" t="inlineStr">
        <is>
          <t>USN</t>
        </is>
      </c>
      <c r="C15" s="31">
        <f>SUMIFS(JB_27BV,JB_B,1,JB_W,"Surface Combatants",JB_RC,"ADD")</f>
        <v/>
      </c>
      <c r="D15" s="37">
        <f>IFERROR(C15/C$39,0)</f>
        <v/>
      </c>
    </row>
    <row r="16" ht="10" customHeight="1">
      <c r="A16" s="30" t="inlineStr">
        <is>
          <t>Material Support Ships</t>
        </is>
      </c>
      <c r="B16" s="30" t="inlineStr">
        <is>
          <t>USN</t>
        </is>
      </c>
      <c r="C16" s="31">
        <f>SUMIFS(JB_27BV,JB_B,1,JB_W,"Material Support Ships",JB_RC,"ADD")</f>
        <v/>
      </c>
      <c r="D16" s="37">
        <f>IFERROR(C16/C$39,0)</f>
        <v/>
      </c>
    </row>
    <row r="17" ht="10" customHeight="1">
      <c r="A17" s="30" t="inlineStr">
        <is>
          <t>Combat Logistics Ships</t>
        </is>
      </c>
      <c r="B17" s="30" t="inlineStr">
        <is>
          <t>MSC</t>
        </is>
      </c>
      <c r="C17" s="31">
        <f>SUMIFS(JB_27BV,JB_B,1,JB_W,"Combat Logistics Ships",JB_RC,"ADD")</f>
        <v/>
      </c>
      <c r="D17" s="37">
        <f>IFERROR(C17/C$39,0)</f>
        <v/>
      </c>
    </row>
    <row r="18" ht="10" customHeight="1">
      <c r="A18" s="30" t="inlineStr">
        <is>
          <t>Expeditionary &amp; Seabasing Ships</t>
        </is>
      </c>
      <c r="B18" s="30" t="inlineStr">
        <is>
          <t>USN</t>
        </is>
      </c>
      <c r="C18" s="31">
        <f>SUMIFS(JB_27BV,JB_B,1,JB_W,"Expeditionary &amp; Seabasing Ships",JB_RC,"ADD")</f>
        <v/>
      </c>
      <c r="D18" s="37">
        <f>IFERROR(C18/C$39,0)</f>
        <v/>
      </c>
    </row>
    <row r="19" ht="10" customHeight="1">
      <c r="A19" s="30" t="inlineStr">
        <is>
          <t>Surveillance Ships</t>
        </is>
      </c>
      <c r="B19" s="30" t="inlineStr">
        <is>
          <t>USN</t>
        </is>
      </c>
      <c r="C19" s="31">
        <f>SUMIFS(JB_27BV,JB_B,1,JB_W,"Surveillance Ships",JB_RC,"ADD")</f>
        <v/>
      </c>
      <c r="D19" s="37">
        <f>IFERROR(C19/C$39,0)</f>
        <v/>
      </c>
    </row>
    <row r="20" ht="10" customHeight="1">
      <c r="A20" s="30" t="inlineStr">
        <is>
          <t>Hospital Ship</t>
        </is>
      </c>
      <c r="B20" s="30" t="inlineStr">
        <is>
          <t>MSC</t>
        </is>
      </c>
      <c r="C20" s="31">
        <f>SUMIFS(JB_27BV,JB_B,1,JB_W,"Hospital Ship",JB_RC,"ADD")</f>
        <v/>
      </c>
      <c r="D20" s="37">
        <f>IFERROR(C20/C$39,0)</f>
        <v/>
      </c>
    </row>
    <row r="21" ht="10" customHeight="1">
      <c r="A21" s="30" t="inlineStr">
        <is>
          <t>Cargo &amp; Vehicle Cargo Ships</t>
        </is>
      </c>
      <c r="B21" s="30" t="inlineStr">
        <is>
          <t>USN</t>
        </is>
      </c>
      <c r="C21" s="31">
        <f>SUMIFS(JB_27BV,JB_B,1,JB_W,"Cargo &amp; Vehicle Cargo Ships",JB_RC,"ADD")</f>
        <v/>
      </c>
      <c r="D21" s="37">
        <f>IFERROR(C21/C$39,0)</f>
        <v/>
      </c>
    </row>
    <row r="22" ht="10" customHeight="1">
      <c r="A22" s="30" t="inlineStr">
        <is>
          <t>Unmanned Surface Vehicles</t>
        </is>
      </c>
      <c r="B22" s="30" t="inlineStr">
        <is>
          <t>USN</t>
        </is>
      </c>
      <c r="C22" s="31">
        <f>SUMIFS(JB_27BV,JB_B,1,JB_W,"Unmanned Surface Vehicles",JB_RC,"ADD")</f>
        <v/>
      </c>
      <c r="D22" s="37">
        <f>IFERROR(C22/C$39,0)</f>
        <v/>
      </c>
    </row>
    <row r="23" ht="10" customHeight="1">
      <c r="A23" s="30" t="inlineStr">
        <is>
          <t>Research, Survey &amp; Instrumentation Ships</t>
        </is>
      </c>
      <c r="B23" s="30" t="inlineStr">
        <is>
          <t>MSC</t>
        </is>
      </c>
      <c r="C23" s="31">
        <f>SUMIFS(JB_27BV,JB_B,1,JB_W,"Research, Survey &amp; Instrumentation Ships",JB_RC,"ADD")</f>
        <v/>
      </c>
      <c r="D23" s="37">
        <f>IFERROR(C23/C$39,0)</f>
        <v/>
      </c>
    </row>
    <row r="24" ht="10" customHeight="1">
      <c r="A24" s="30" t="inlineStr">
        <is>
          <t>Submarine Escort Ship</t>
        </is>
      </c>
      <c r="B24" s="30" t="inlineStr">
        <is>
          <t>USN</t>
        </is>
      </c>
      <c r="C24" s="31">
        <f>SUMIFS(JB_27BV,JB_B,1,JB_W,"Submarine Escort Ship",JB_RC,"ADD")</f>
        <v/>
      </c>
      <c r="D24" s="37">
        <f>IFERROR(C24/C$39,0)</f>
        <v/>
      </c>
    </row>
    <row r="25" ht="10" customHeight="1">
      <c r="A25" s="30" t="inlineStr">
        <is>
          <t>General Auxiliary</t>
        </is>
      </c>
      <c r="B25" s="30" t="inlineStr">
        <is>
          <t>USN</t>
        </is>
      </c>
      <c r="C25" s="31">
        <f>SUMIFS(JB_27BV,JB_B,1,JB_W,"General Auxiliary",JB_RC,"ADD")</f>
        <v/>
      </c>
      <c r="D25" s="37">
        <f>IFERROR(C25/C$39,0)</f>
        <v/>
      </c>
    </row>
    <row r="26" ht="10" customHeight="1">
      <c r="A26" s="30" t="inlineStr">
        <is>
          <t>High Speed Transport</t>
        </is>
      </c>
      <c r="B26" s="30" t="inlineStr">
        <is>
          <t>USN</t>
        </is>
      </c>
      <c r="C26" s="31">
        <f>SUMIFS(JB_27BV,JB_B,1,JB_W,"High Speed Transport",JB_RC,"ADD")</f>
        <v/>
      </c>
      <c r="D26" s="37">
        <f>IFERROR(C26/C$39,0)</f>
        <v/>
      </c>
    </row>
    <row r="27" ht="10" customHeight="1">
      <c r="A27" s="30" t="inlineStr">
        <is>
          <t>Salvage Ships &amp; Fleet Ocean Tugs</t>
        </is>
      </c>
      <c r="B27" s="30" t="inlineStr">
        <is>
          <t>MSC</t>
        </is>
      </c>
      <c r="C27" s="31">
        <f>SUMIFS(JB_27BV,JB_B,1,JB_W,"Salvage Ships &amp; Fleet Ocean Tugs",JB_RC,"ADD")</f>
        <v/>
      </c>
      <c r="D27" s="37">
        <f>IFERROR(C27/C$39,0)</f>
        <v/>
      </c>
    </row>
    <row r="28" ht="10" customHeight="1">
      <c r="A28" s="30" t="inlineStr">
        <is>
          <t>Aviation Logistics Support Ship</t>
        </is>
      </c>
      <c r="B28" s="30" t="inlineStr">
        <is>
          <t>USN</t>
        </is>
      </c>
      <c r="C28" s="31">
        <f>SUMIFS(JB_27BV,JB_B,1,JB_W,"Aviation Logistics Support Ship",JB_RC,"ADD")</f>
        <v/>
      </c>
      <c r="D28" s="37">
        <f>IFERROR(C28/C$39,0)</f>
        <v/>
      </c>
    </row>
    <row r="29" ht="10" customHeight="1">
      <c r="A29" s="30" t="inlineStr">
        <is>
          <t>Command Ships</t>
        </is>
      </c>
      <c r="B29" s="30" t="inlineStr">
        <is>
          <t>USN</t>
        </is>
      </c>
      <c r="C29" s="31">
        <f>SUMIFS(JB_27BV,JB_B,1,JB_W,"Command Ships",JB_RC,"ADD")</f>
        <v/>
      </c>
      <c r="D29" s="37">
        <f>IFERROR(C29/C$39,0)</f>
        <v/>
      </c>
    </row>
    <row r="30" ht="10" customHeight="1">
      <c r="A30" s="30" t="inlineStr">
        <is>
          <t>Mine Warfare</t>
        </is>
      </c>
      <c r="B30" s="30" t="inlineStr">
        <is>
          <t>USN</t>
        </is>
      </c>
      <c r="C30" s="31">
        <f>SUMIFS(JB_27BV,JB_B,1,JB_W,"Mine Warfare",JB_RC,"ADD")</f>
        <v/>
      </c>
      <c r="D30" s="37">
        <f>IFERROR(C30/C$39,0)</f>
        <v/>
      </c>
    </row>
    <row r="31" ht="10" customHeight="1">
      <c r="A31" s="30" t="inlineStr">
        <is>
          <t>Crane Ship</t>
        </is>
      </c>
      <c r="B31" s="30" t="inlineStr">
        <is>
          <t>USN</t>
        </is>
      </c>
      <c r="C31" s="31">
        <f>SUMIFS(JB_27BV,JB_B,1,JB_W,"Crane Ship",JB_RC,"ADD")</f>
        <v/>
      </c>
      <c r="D31" s="37">
        <f>IFERROR(C31/C$39,0)</f>
        <v/>
      </c>
    </row>
    <row r="32" ht="10" customHeight="1">
      <c r="A32" s="30" t="inlineStr">
        <is>
          <t>National Security Cutters</t>
        </is>
      </c>
      <c r="B32" s="30" t="inlineStr">
        <is>
          <t>USCG</t>
        </is>
      </c>
      <c r="C32" s="31">
        <f>SUMIFS(JB_27BV,JB_B,1,JB_W,"National Security Cutters",JB_RC,"ADD")</f>
        <v/>
      </c>
      <c r="D32" s="37">
        <f>IFERROR(C32/C$39,0)</f>
        <v/>
      </c>
    </row>
    <row r="33" ht="10" customHeight="1">
      <c r="A33" s="30" t="inlineStr">
        <is>
          <t>Coastal Buoy Tenders</t>
        </is>
      </c>
      <c r="B33" s="30" t="inlineStr">
        <is>
          <t>USCG</t>
        </is>
      </c>
      <c r="C33" s="31">
        <f>SUMIFS(JB_27BV,JB_B,1,JB_W,"Coastal Buoy Tenders",JB_RC,"ADD")</f>
        <v/>
      </c>
      <c r="D33" s="37">
        <f>IFERROR(C33/C$39,0)</f>
        <v/>
      </c>
    </row>
    <row r="34" ht="10" customHeight="1">
      <c r="A34" s="30" t="inlineStr">
        <is>
          <t>Fast Response Cutters</t>
        </is>
      </c>
      <c r="B34" s="30" t="inlineStr">
        <is>
          <t>USCG</t>
        </is>
      </c>
      <c r="C34" s="31">
        <f>SUMIFS(JB_27BV,JB_B,1,JB_W,"Fast Response Cutters",JB_RC,"ADD")</f>
        <v/>
      </c>
      <c r="D34" s="37">
        <f>IFERROR(C34/C$39,0)</f>
        <v/>
      </c>
    </row>
    <row r="35" ht="10" customHeight="1">
      <c r="A35" s="30" t="inlineStr">
        <is>
          <t>Icebreakers, Oceangoing</t>
        </is>
      </c>
      <c r="B35" s="30" t="inlineStr">
        <is>
          <t>USCG</t>
        </is>
      </c>
      <c r="C35" s="31">
        <f>SUMIFS(JB_27BV,JB_B,1,JB_W,"Icebreakers, Oceangoing",JB_RC,"ADD")</f>
        <v/>
      </c>
      <c r="D35" s="37">
        <f>IFERROR(C35/C$39,0)</f>
        <v/>
      </c>
    </row>
    <row r="36" ht="10" customHeight="1">
      <c r="A36" s="30" t="inlineStr">
        <is>
          <t>Waterways Commerce Cutters</t>
        </is>
      </c>
      <c r="B36" s="30" t="inlineStr">
        <is>
          <t>USCG</t>
        </is>
      </c>
      <c r="C36" s="31">
        <f>SUMIFS(JB_27BV,JB_B,1,JB_W,"Waterways Commerce Cutters",JB_RC,"ADD")</f>
        <v/>
      </c>
      <c r="D36" s="37">
        <f>IFERROR(C36/C$39,0)</f>
        <v/>
      </c>
    </row>
    <row r="37" ht="10" customHeight="1">
      <c r="A37" s="30" t="inlineStr">
        <is>
          <t>Icebreakers, Great Lakes</t>
        </is>
      </c>
      <c r="B37" s="30" t="inlineStr">
        <is>
          <t>USCG</t>
        </is>
      </c>
      <c r="C37" s="31">
        <f>SUMIFS(JB_27BV,JB_B,1,JB_W,"Icebreakers, Great Lakes",JB_RC,"ADD")</f>
        <v/>
      </c>
      <c r="D37" s="37">
        <f>IFERROR(C37/C$39,0)</f>
        <v/>
      </c>
    </row>
    <row r="38" ht="10" customHeight="1">
      <c r="A38" s="30" t="inlineStr">
        <is>
          <t>Offshore Patrol Cutter</t>
        </is>
      </c>
      <c r="B38" s="30" t="inlineStr">
        <is>
          <t>USCG</t>
        </is>
      </c>
      <c r="C38" s="31">
        <f>SUMIFS(JB_27BV,JB_B,1,JB_W,"Offshore Patrol Cutter",JB_RC,"ADD")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row>
    <row r="43" ht="10" customHeight="1">
      <c r="A43" s="39" t="n"/>
      <c r="B43" s="40" t="inlineStr">
        <is>
          <t>USN</t>
        </is>
      </c>
      <c r="C43" s="39" t="n"/>
      <c r="D43" s="39" t="n"/>
      <c r="E43" s="39" t="n"/>
      <c r="F43" s="39" t="n"/>
      <c r="G43" s="39" t="n"/>
      <c r="H43" s="39" t="n"/>
      <c r="I43" s="39" t="n"/>
      <c r="J43" s="39" t="n"/>
      <c r="K43" s="41" t="n"/>
    </row>
    <row r="44" ht="10" customHeight="1">
      <c r="A44" s="29" t="inlineStr">
        <is>
          <t>Sub-Category</t>
        </is>
      </c>
      <c r="B44" s="42" t="inlineStr">
        <is>
          <t>Amphibious Warfare Ships</t>
        </is>
      </c>
      <c r="C44" s="29" t="inlineStr">
        <is>
          <t>Surface Combatants</t>
        </is>
      </c>
      <c r="D44" s="29" t="inlineStr">
        <is>
          <t>Material Support Ships</t>
        </is>
      </c>
      <c r="E44" s="29" t="inlineStr">
        <is>
          <t>Combat Logistics Ships</t>
        </is>
      </c>
      <c r="F44" s="29" t="inlineStr">
        <is>
          <t>Expeditionary &amp; Seabasing Ships</t>
        </is>
      </c>
      <c r="G44" s="29" t="inlineStr">
        <is>
          <t>Surveillance Ships</t>
        </is>
      </c>
      <c r="H44" s="29" t="inlineStr">
        <is>
          <t>Hospital Ship</t>
        </is>
      </c>
      <c r="I44" s="29" t="inlineStr">
        <is>
          <t>Cargo &amp; Vehicle Cargo Ships</t>
        </is>
      </c>
      <c r="J44" s="29" t="inlineStr">
        <is>
          <t>Unmanned Surface Vehicles</t>
        </is>
      </c>
      <c r="K44" s="42" t="inlineStr">
        <is>
          <t>Total</t>
        </is>
      </c>
    </row>
    <row r="45" ht="10" customHeight="1">
      <c r="A45" s="30" t="inlineStr">
        <is>
          <t>Full Ship DD&amp;C</t>
        </is>
      </c>
      <c r="B45" s="43">
        <f>IFERROR((SUMIFS(JB_27BV,JB_B,1,JB_W,"Amphibious Warfare Ships",JB_F,"Full ship DD&amp;C",JB_RC,"ADD")+SUMIFS(JB_27BV,JB_B,1,JB_W,"Amphibious Warfare Ships",JB_F,"Full ship DD&amp;C / LLTM",JB_RC,"ADD")+SUMIFS(JB_27BV,JB_B,1,JB_W,"Amphibious Warfare Ships",JB_F,"Full vessel procurement",JB_RC,"ADD"))/B$47,0)</f>
        <v/>
      </c>
      <c r="C45" s="37">
        <f>IFERROR((SUMIFS(JB_27BV,JB_B,1,JB_W,"Surface Combatants",JB_F,"Full ship DD&amp;C",JB_RC,"ADD")+SUMIFS(JB_27BV,JB_B,1,JB_W,"Surface Combatants",JB_F,"Full ship DD&amp;C / LLTM",JB_RC,"ADD")+SUMIFS(JB_27BV,JB_B,1,JB_W,"Surface Combatants",JB_F,"Full vessel procurement",JB_RC,"ADD"))/C$47,0)</f>
        <v/>
      </c>
      <c r="D45" s="37">
        <f>IFERROR((SUMIFS(JB_27BV,JB_B,1,JB_W,"Material Support Ships",JB_F,"Full ship DD&amp;C",JB_RC,"ADD")+SUMIFS(JB_27BV,JB_B,1,JB_W,"Material Support Ships",JB_F,"Full ship DD&amp;C / LLTM",JB_RC,"ADD")+SUMIFS(JB_27BV,JB_B,1,JB_W,"Material Support Ships",JB_F,"Full vessel procurement",JB_RC,"ADD"))/D$47,0)</f>
        <v/>
      </c>
      <c r="E45" s="37">
        <f>IFERROR((SUMIFS(JB_27BV,JB_B,1,JB_W,"Combat Logistics Ships",JB_F,"Full ship DD&amp;C",JB_RC,"ADD")+SUMIFS(JB_27BV,JB_B,1,JB_W,"Combat Logistics Ships",JB_F,"Full ship DD&amp;C / LLTM",JB_RC,"ADD")+SUMIFS(JB_27BV,JB_B,1,JB_W,"Combat Logistics Ships",JB_F,"Full vessel procurement",JB_RC,"ADD"))/E$47,0)</f>
        <v/>
      </c>
      <c r="F45" s="37">
        <f>IFERROR((SUMIFS(JB_27BV,JB_B,1,JB_W,"Expeditionary &amp; Seabasing Ships",JB_F,"Full ship DD&amp;C",JB_RC,"ADD")+SUMIFS(JB_27BV,JB_B,1,JB_W,"Expeditionary &amp; Seabasing Ships",JB_F,"Full ship DD&amp;C / LLTM",JB_RC,"ADD")+SUMIFS(JB_27BV,JB_B,1,JB_W,"Expeditionary &amp; Seabasing Ships",JB_F,"Full vessel procurement",JB_RC,"ADD"))/F$47,0)</f>
        <v/>
      </c>
      <c r="G45" s="37">
        <f>IFERROR((SUMIFS(JB_27BV,JB_B,1,JB_W,"Surveillance Ships",JB_F,"Full ship DD&amp;C",JB_RC,"ADD")+SUMIFS(JB_27BV,JB_B,1,JB_W,"Surveillance Ships",JB_F,"Full ship DD&amp;C / LLTM",JB_RC,"ADD")+SUMIFS(JB_27BV,JB_B,1,JB_W,"Surveillance Ships",JB_F,"Full vessel procurement",JB_RC,"ADD"))/G$47,0)</f>
        <v/>
      </c>
      <c r="H45" s="37">
        <f>IFERROR((SUMIFS(JB_27BV,JB_B,1,JB_W,"Hospital Ship",JB_F,"Full ship DD&amp;C",JB_RC,"ADD")+SUMIFS(JB_27BV,JB_B,1,JB_W,"Hospital Ship",JB_F,"Full ship DD&amp;C / LLTM",JB_RC,"ADD")+SUMIFS(JB_27BV,JB_B,1,JB_W,"Hospital Ship",JB_F,"Full vessel procurement",JB_RC,"ADD"))/H$47,0)</f>
        <v/>
      </c>
      <c r="I45" s="37">
        <f>IFERROR((SUMIFS(JB_27BV,JB_B,1,JB_W,"Cargo &amp; Vehicle Cargo Ships",JB_F,"Full ship DD&amp;C",JB_RC,"ADD")+SUMIFS(JB_27BV,JB_B,1,JB_W,"Cargo &amp; Vehicle Cargo Ships",JB_F,"Full ship DD&amp;C / LLTM",JB_RC,"ADD")+SUMIFS(JB_27BV,JB_B,1,JB_W,"Cargo &amp; Vehicle Cargo Ships",JB_F,"Full vessel procurement",JB_RC,"ADD"))/I$47,0)</f>
        <v/>
      </c>
      <c r="J45" s="37">
        <f>IFERROR((SUMIFS(JB_27BV,JB_B,1,JB_W,"Unmanned Surface Vehicles",JB_F,"Full ship DD&amp;C",JB_RC,"ADD")+SUMIFS(JB_27BV,JB_B,1,JB_W,"Unmanned Surface Vehicles",JB_F,"Full ship DD&amp;C / LLTM",JB_RC,"ADD")+SUMIFS(JB_27BV,JB_B,1,JB_W,"Unmanned Surface Vehicles",JB_F,"Full vessel procurement",JB_RC,"ADD"))/J$47,0)</f>
        <v/>
      </c>
      <c r="K45" s="43">
        <f>IFERROR(1-K46,0)</f>
        <v/>
      </c>
    </row>
    <row r="46" ht="10" customHeight="1">
      <c r="A46" s="30" t="inlineStr">
        <is>
          <t>Advance Procurement / LLTM</t>
        </is>
      </c>
      <c r="B46" s="43">
        <f>IFERROR((SUMIFS(JB_27BV,JB_B,1,JB_W,"Amphibious Warfare Ships",JB_F,"Advance procurement / LLTM",JB_RC,"ADD"))/B$47,0)</f>
        <v/>
      </c>
      <c r="C46" s="37">
        <f>IFERROR((SUMIFS(JB_27BV,JB_B,1,JB_W,"Surface Combatants",JB_F,"Advance procurement / LLTM",JB_RC,"ADD"))/C$47,0)</f>
        <v/>
      </c>
      <c r="D46" s="37">
        <f>IFERROR((SUMIFS(JB_27BV,JB_B,1,JB_W,"Material Support Ships",JB_F,"Advance procurement / LLTM",JB_RC,"ADD"))/D$47,0)</f>
        <v/>
      </c>
      <c r="E46" s="37">
        <f>IFERROR((SUMIFS(JB_27BV,JB_B,1,JB_W,"Combat Logistics Ships",JB_F,"Advance procurement / LLTM",JB_RC,"ADD"))/E$47,0)</f>
        <v/>
      </c>
      <c r="F46" s="37">
        <f>IFERROR((SUMIFS(JB_27BV,JB_B,1,JB_W,"Expeditionary &amp; Seabasing Ships",JB_F,"Advance procurement / LLTM",JB_RC,"ADD"))/F$47,0)</f>
        <v/>
      </c>
      <c r="G46" s="37">
        <f>IFERROR((SUMIFS(JB_27BV,JB_B,1,JB_W,"Surveillance Ships",JB_F,"Advance procurement / LLTM",JB_RC,"ADD"))/G$47,0)</f>
        <v/>
      </c>
      <c r="H46" s="37">
        <f>IFERROR((SUMIFS(JB_27BV,JB_B,1,JB_W,"Hospital Ship",JB_F,"Advance procurement / LLTM",JB_RC,"ADD"))/H$47,0)</f>
        <v/>
      </c>
      <c r="I46" s="37">
        <f>IFERROR((SUMIFS(JB_27BV,JB_B,1,JB_W,"Cargo &amp; Vehicle Cargo Ships",JB_F,"Advance procurement / LLTM",JB_RC,"ADD"))/I$47,0)</f>
        <v/>
      </c>
      <c r="J46" s="37">
        <f>IFERROR((SUMIFS(JB_27BV,JB_B,1,JB_W,"Unmanned Surface Vehicles",JB_F,"Advance procurement / LLTM",JB_RC,"ADD"))/J$47,0)</f>
        <v/>
      </c>
      <c r="K46"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LLTM",JB_RC,"ADD"))/K$47,0)</f>
        <v/>
      </c>
    </row>
    <row r="47" ht="10" customHeight="1">
      <c r="A47" s="32" t="inlineStr">
        <is>
          <t>Total ($K)</t>
        </is>
      </c>
      <c r="B47" s="44">
        <f>SUMIFS(JB_27BV,JB_B,1,JB_W,"Amphibious Warfare Ships",JB_RC,"ADD")</f>
        <v/>
      </c>
      <c r="C47" s="33">
        <f>SUMIFS(JB_27BV,JB_B,1,JB_W,"Surface Combatants",JB_RC,"ADD")</f>
        <v/>
      </c>
      <c r="D47" s="33">
        <f>SUMIFS(JB_27BV,JB_B,1,JB_W,"Material Support Ships",JB_RC,"ADD")</f>
        <v/>
      </c>
      <c r="E47" s="33">
        <f>SUMIFS(JB_27BV,JB_B,1,JB_W,"Combat Logistics Ships",JB_RC,"ADD")</f>
        <v/>
      </c>
      <c r="F47" s="33">
        <f>SUMIFS(JB_27BV,JB_B,1,JB_W,"Expeditionary &amp; Seabasing Ships",JB_RC,"ADD")</f>
        <v/>
      </c>
      <c r="G47" s="33">
        <f>SUMIFS(JB_27BV,JB_B,1,JB_W,"Surveillance Ships",JB_RC,"ADD")</f>
        <v/>
      </c>
      <c r="H47" s="33">
        <f>SUMIFS(JB_27BV,JB_B,1,JB_W,"Hospital Ship",JB_RC,"ADD")</f>
        <v/>
      </c>
      <c r="I47" s="33">
        <f>SUMIFS(JB_27BV,JB_B,1,JB_W,"Cargo &amp; Vehicle Cargo Ships",JB_RC,"ADD")</f>
        <v/>
      </c>
      <c r="J47" s="33">
        <f>SUMIFS(JB_27BV,JB_B,1,JB_W,"Unmanned Surface Vehicles",JB_RC,"ADD")</f>
        <v/>
      </c>
      <c r="K47" s="44">
        <f>SUM(B47:J47)</f>
        <v/>
      </c>
    </row>
    <row r="48" ht="10" customHeight="1"/>
    <row r="49" ht="10" customHeight="1"/>
    <row r="50" ht="10" customHeight="1">
      <c r="A50" s="27" t="inlineStr">
        <is>
          <t>(D) Newbuild SAM by Hull Program — FY2027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FY2027 ($K)</t>
        </is>
      </c>
      <c r="D52" s="29" t="inlineStr">
        <is>
          <t>% of SAM</t>
        </is>
      </c>
    </row>
    <row r="53" ht="10" customHeight="1">
      <c r="A53" s="30" t="inlineStr">
        <is>
          <t>AS (Material Support Ships)</t>
        </is>
      </c>
      <c r="B53" s="30" t="inlineStr">
        <is>
          <t>USN</t>
        </is>
      </c>
      <c r="C53" s="31">
        <f>SUMIFS(JB_27BV,JB_B,1,JB_H,"AS",JB_RC,"ADD")</f>
        <v/>
      </c>
      <c r="D53" s="37">
        <f>IFERROR(C53/C$64,0)</f>
        <v/>
      </c>
    </row>
    <row r="54" ht="10" customHeight="1">
      <c r="A54" s="30" t="inlineStr">
        <is>
          <t>LHA (Amphibious Warfare Ships)</t>
        </is>
      </c>
      <c r="B54" s="30" t="inlineStr">
        <is>
          <t>USN</t>
        </is>
      </c>
      <c r="C54" s="31">
        <f>SUMIFS(JB_27BV,JB_B,1,JB_H,"LHA",JB_RC,"ADD")</f>
        <v/>
      </c>
      <c r="D54" s="37">
        <f>IFERROR(C54/C$64,0)</f>
        <v/>
      </c>
    </row>
    <row r="55" ht="10" customHeight="1">
      <c r="A55" s="30" t="inlineStr">
        <is>
          <t>DDG (Surface Combatants)</t>
        </is>
      </c>
      <c r="B55" s="30" t="inlineStr">
        <is>
          <t>USN</t>
        </is>
      </c>
      <c r="C55" s="31">
        <f>SUMIFS(JB_27BV,JB_B,1,JB_H,"DDG",JB_RC,"ADD")</f>
        <v/>
      </c>
      <c r="D55" s="37">
        <f>IFERROR(C55/C$64,0)</f>
        <v/>
      </c>
    </row>
    <row r="56" ht="10" customHeight="1">
      <c r="A56" s="30" t="inlineStr">
        <is>
          <t>LPD (Amphibious Warfare Ships)</t>
        </is>
      </c>
      <c r="B56" s="30" t="inlineStr">
        <is>
          <t>USN</t>
        </is>
      </c>
      <c r="C56" s="31">
        <f>SUMIFS(JB_27BV,JB_B,1,JB_H,"LPD",JB_RC,"ADD")</f>
        <v/>
      </c>
      <c r="D56" s="37">
        <f>IFERROR(C56/C$64,0)</f>
        <v/>
      </c>
    </row>
    <row r="57" ht="10" customHeight="1">
      <c r="A57" s="30" t="inlineStr">
        <is>
          <t>T-AO (Combat Logistics Ships)</t>
        </is>
      </c>
      <c r="B57" s="30" t="inlineStr">
        <is>
          <t>MSC</t>
        </is>
      </c>
      <c r="C57" s="31">
        <f>SUMIFS(JB_27BV,JB_B,1,JB_H,"T-AO",JB_RC,"ADD")</f>
        <v/>
      </c>
      <c r="D57" s="37">
        <f>IFERROR(C57/C$64,0)</f>
        <v/>
      </c>
    </row>
    <row r="58" ht="10" customHeight="1">
      <c r="A58" s="30" t="inlineStr">
        <is>
          <t>LSM (Expeditionary &amp; Seabasing Ships)</t>
        </is>
      </c>
      <c r="B58" s="30" t="inlineStr">
        <is>
          <t>USN</t>
        </is>
      </c>
      <c r="C58" s="31">
        <f>SUMIFS(JB_27BV,JB_B,1,JB_H,"LSM",JB_RC,"ADD")</f>
        <v/>
      </c>
      <c r="D58" s="37">
        <f>IFERROR(C58/C$64,0)</f>
        <v/>
      </c>
    </row>
    <row r="59" ht="10" customHeight="1">
      <c r="A59" s="30" t="inlineStr">
        <is>
          <t>FFG (Surface Combatants)</t>
        </is>
      </c>
      <c r="B59" s="30" t="inlineStr">
        <is>
          <t>USN</t>
        </is>
      </c>
      <c r="C59" s="31">
        <f>SUMIFS(JB_27BV,JB_B,1,JB_H,"FFG",JB_RC,"ADD")</f>
        <v/>
      </c>
      <c r="D59" s="37">
        <f>IFERROR(C59/C$64,0)</f>
        <v/>
      </c>
    </row>
    <row r="60" ht="10" customHeight="1">
      <c r="A60" s="30" t="inlineStr">
        <is>
          <t>T-AGOS (Surveillance Ships)</t>
        </is>
      </c>
      <c r="B60" s="30" t="inlineStr">
        <is>
          <t>MSC</t>
        </is>
      </c>
      <c r="C60" s="31">
        <f>SUMIFS(JB_27BV,JB_B,1,JB_H,"T-AGOS",JB_RC,"ADD")</f>
        <v/>
      </c>
      <c r="D60" s="37">
        <f>IFERROR(C60/C$64,0)</f>
        <v/>
      </c>
    </row>
    <row r="61" ht="10" customHeight="1">
      <c r="A61" s="30" t="inlineStr">
        <is>
          <t>T-AH (Hospital Ship)</t>
        </is>
      </c>
      <c r="B61" s="30" t="inlineStr">
        <is>
          <t>MSC</t>
        </is>
      </c>
      <c r="C61" s="31">
        <f>SUMIFS(JB_27BV,JB_B,1,JB_H,"T-AH",JB_RC,"ADD")</f>
        <v/>
      </c>
      <c r="D61" s="37">
        <f>IFERROR(C61/C$64,0)</f>
        <v/>
      </c>
    </row>
    <row r="62" ht="10" customHeight="1">
      <c r="A62" s="30" t="inlineStr">
        <is>
          <t>T-AK / T-AKR (Cargo &amp; Vehicle Cargo Ships)</t>
        </is>
      </c>
      <c r="B62" s="30" t="inlineStr">
        <is>
          <t>MSC</t>
        </is>
      </c>
      <c r="C62" s="31">
        <f>SUMIFS(JB_27BV,JB_B,1,JB_H,"T-AK / T-AKR",JB_RC,"ADD")</f>
        <v/>
      </c>
      <c r="D62" s="37">
        <f>IFERROR(C62/C$64,0)</f>
        <v/>
      </c>
    </row>
    <row r="63" ht="10" customHeight="1">
      <c r="A63" s="30" t="inlineStr">
        <is>
          <t>MUSV (Unmanned Surface Vehicles)</t>
        </is>
      </c>
      <c r="B63" s="30" t="inlineStr">
        <is>
          <t>USN</t>
        </is>
      </c>
      <c r="C63" s="31">
        <f>SUMIFS(JB_27BV,JB_B,1,JB_H,"MUSV",JB_RC,"ADD")</f>
        <v/>
      </c>
      <c r="D63" s="37">
        <f>IFERROR(C63/C$64,0)</f>
        <v/>
      </c>
    </row>
    <row r="64" ht="10" customHeight="1">
      <c r="A64" s="32" t="inlineStr">
        <is>
          <t>Newbuild SAM</t>
        </is>
      </c>
      <c r="B64" s="32" t="inlineStr"/>
      <c r="C64" s="33">
        <f>SUM(C53:C63)</f>
        <v/>
      </c>
      <c r="D64" s="38"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MRO &amp; sustainment scoped to Combatant Ships, Auxiliary Ships, USCG Cutters &amp; Unmanned Platforms</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2" t="inlineStr">
        <is>
          <t>MRO TAM</t>
        </is>
      </c>
      <c r="B9" s="33">
        <f>B18</f>
        <v/>
      </c>
    </row>
    <row r="10" ht="10" customHeight="1"/>
    <row r="11" ht="10" customHeight="1"/>
    <row r="12" ht="10" customHeight="1">
      <c r="A12" s="27" t="inlineStr">
        <is>
          <t>(B) MRO TAM by Work Type</t>
        </is>
      </c>
      <c r="B12" s="28" t="n"/>
      <c r="C12" s="28" t="n"/>
    </row>
    <row r="13" ht="10" customHeight="1">
      <c r="A13" s="29" t="inlineStr">
        <is>
          <t>Work Type</t>
        </is>
      </c>
      <c r="B13" s="29" t="inlineStr">
        <is>
          <t>FY2027 ($K)</t>
        </is>
      </c>
      <c r="C13" s="29" t="inlineStr">
        <is>
          <t>% of TAM</t>
        </is>
      </c>
    </row>
    <row r="14" ht="10" customHeight="1">
      <c r="A14" s="30" t="inlineStr">
        <is>
          <t>Modernization</t>
        </is>
      </c>
      <c r="B14" s="31">
        <f>SUMIFS(JB_27BV,JB_B,4,JB_V,"Auxiliary Ships",JB_RC,"ADD")+SUMIFS(JB_27BV,JB_B,4,JB_V,"Combatant Ships",JB_RC,"ADD")+SUMIFS(JB_27BV,JB_B,4,JB_V,"Cutters",JB_RC,"ADD")+SUMIFS(JB_27BV,JB_B,4,JB_V,"Unmanned Maritime Platforms",JB_RC,"ADD")</f>
        <v/>
      </c>
      <c r="C14" s="37">
        <f>IFERROR(B14/B$18,0)</f>
        <v/>
      </c>
    </row>
    <row r="15" ht="10" customHeight="1">
      <c r="A15" s="30" t="inlineStr">
        <is>
          <t>Major Life-Cycle Events / RCOH</t>
        </is>
      </c>
      <c r="B15" s="31">
        <f>SUMIFS(JB_27BV,JB_B,5,JB_V,"Auxiliary Ships",JB_RC,"ADD")+SUMIFS(JB_27BV,JB_B,5,JB_V,"Combatant Ships",JB_RC,"ADD")+SUMIFS(JB_27BV,JB_B,5,JB_V,"Cutters",JB_RC,"ADD")+SUMIFS(JB_27BV,JB_B,5,JB_V,"Unmanned Maritime Platforms",JB_RC,"ADD")</f>
        <v/>
      </c>
      <c r="C15" s="37">
        <f>IFERROR(B15/B$18,0)</f>
        <v/>
      </c>
    </row>
    <row r="16" ht="10" customHeight="1">
      <c r="A16" s="30" t="inlineStr">
        <is>
          <t>Sustainment Engineering</t>
        </is>
      </c>
      <c r="B16" s="31">
        <f>SUMIFS(JB_27BV,JB_B,6,JB_V,"Auxiliary Ships",JB_RC,"ADD")+SUMIFS(JB_27BV,JB_B,6,JB_V,"Combatant Ships",JB_RC,"ADD")+SUMIFS(JB_27BV,JB_B,6,JB_V,"Cutters",JB_RC,"ADD")+SUMIFS(JB_27BV,JB_B,6,JB_V,"Unmanned Maritime Platforms",JB_RC,"ADD")</f>
        <v/>
      </c>
      <c r="C16" s="37">
        <f>IFERROR(B16/B$18,0)</f>
        <v/>
      </c>
    </row>
    <row r="17" ht="10" customHeight="1">
      <c r="A17" s="30" t="inlineStr">
        <is>
          <t>Availability Support</t>
        </is>
      </c>
      <c r="B17" s="31">
        <f>SUMIFS(JB_27BV,JB_B,7,JB_V,"Auxiliary Ships",JB_RC,"ADD")+SUMIFS(JB_27BV,JB_B,7,JB_V,"Combatant Ships",JB_RC,"ADD")+SUMIFS(JB_27BV,JB_B,7,JB_V,"Cutters",JB_RC,"ADD")+SUMIFS(JB_27BV,JB_B,7,JB_V,"Unmanned Maritime Platforms",JB_RC,"ADD")</f>
        <v/>
      </c>
      <c r="C17" s="37">
        <f>IFERROR(B17/B$18,0)</f>
        <v/>
      </c>
    </row>
    <row r="18" ht="10" customHeight="1">
      <c r="A18" s="32" t="inlineStr">
        <is>
          <t>MRO TAM</t>
        </is>
      </c>
      <c r="B18" s="33">
        <f>SUM(B14:B17)</f>
        <v/>
      </c>
      <c r="C18" s="38" t="n">
        <v>1</v>
      </c>
    </row>
    <row r="19" ht="10" customHeight="1"/>
    <row r="20" ht="10" customHeight="1"/>
    <row r="21" ht="10" customHeight="1">
      <c r="A21" s="27" t="inlineStr">
        <is>
          <t>(C) MRO TAM by Vessel Type</t>
        </is>
      </c>
      <c r="B21" s="28" t="n"/>
      <c r="C21" s="28" t="n"/>
      <c r="D21" s="28" t="n"/>
    </row>
    <row r="22" ht="10" customHeight="1">
      <c r="A22" s="29" t="inlineStr">
        <is>
          <t>Vessel Type</t>
        </is>
      </c>
      <c r="B22" s="29" t="inlineStr">
        <is>
          <t>Service</t>
        </is>
      </c>
      <c r="C22" s="29" t="inlineStr">
        <is>
          <t>FY2027 ($K)</t>
        </is>
      </c>
      <c r="D22" s="29" t="inlineStr">
        <is>
          <t>% of TAM</t>
        </is>
      </c>
    </row>
    <row r="23" ht="10" customHeight="1">
      <c r="A23" s="30" t="inlineStr">
        <is>
          <t>Submarines</t>
        </is>
      </c>
      <c r="B23" s="30" t="inlineStr">
        <is>
          <t>USN</t>
        </is>
      </c>
      <c r="C23" s="31">
        <f>SUMIFS(JB_27BV,JB_B,2,JB_W,"Submarines",JB_RC,"ADD")+SUMIFS(JB_27BV,JB_B,3,JB_W,"Submarines",JB_RC,"ADD")+SUMIFS(JB_27BV,JB_B,4,JB_W,"Submarines",JB_RC,"ADD")+SUMIFS(JB_27BV,JB_B,5,JB_W,"Submarines",JB_RC,"ADD")+SUMIFS(JB_27BV,JB_B,6,JB_W,"Submarines",JB_RC,"ADD")+SUMIFS(JB_27BV,JB_B,7,JB_W,"Submarines",JB_RC,"ADD")</f>
        <v/>
      </c>
      <c r="D23" s="37">
        <f>IFERROR(C23/C$51,0)</f>
        <v/>
      </c>
    </row>
    <row r="24" ht="10" customHeight="1">
      <c r="A24" s="30" t="inlineStr">
        <is>
          <t>Surface Combatants</t>
        </is>
      </c>
      <c r="B24" s="30" t="inlineStr">
        <is>
          <t>USN</t>
        </is>
      </c>
      <c r="C24"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4" s="37">
        <f>IFERROR(C24/C$51,0)</f>
        <v/>
      </c>
    </row>
    <row r="25" ht="10" customHeight="1">
      <c r="A25" s="30" t="inlineStr">
        <is>
          <t>Aircraft Carriers</t>
        </is>
      </c>
      <c r="B25" s="30" t="inlineStr">
        <is>
          <t>USN</t>
        </is>
      </c>
      <c r="C25"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5" s="37">
        <f>IFERROR(C25/C$51,0)</f>
        <v/>
      </c>
    </row>
    <row r="26" ht="10" customHeight="1">
      <c r="A26" s="30" t="inlineStr">
        <is>
          <t>Amphibious Warfare Ships</t>
        </is>
      </c>
      <c r="B26" s="30" t="inlineStr">
        <is>
          <t>USN</t>
        </is>
      </c>
      <c r="C26"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6" s="37">
        <f>IFERROR(C26/C$51,0)</f>
        <v/>
      </c>
    </row>
    <row r="27" ht="10" customHeight="1">
      <c r="A27" s="30" t="inlineStr">
        <is>
          <t>Surveillance Ships</t>
        </is>
      </c>
      <c r="B27" s="30" t="inlineStr">
        <is>
          <t>USN</t>
        </is>
      </c>
      <c r="C27"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7" s="37">
        <f>IFERROR(C27/C$51,0)</f>
        <v/>
      </c>
    </row>
    <row r="28" ht="10" customHeight="1">
      <c r="A28" s="30" t="inlineStr">
        <is>
          <t>Expeditionary &amp; Seabasing Ships</t>
        </is>
      </c>
      <c r="B28" s="30" t="inlineStr">
        <is>
          <t>USN</t>
        </is>
      </c>
      <c r="C28"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8" s="37">
        <f>IFERROR(C28/C$51,0)</f>
        <v/>
      </c>
    </row>
    <row r="29" ht="10" customHeight="1">
      <c r="A29" s="30" t="inlineStr">
        <is>
          <t>Command Ships</t>
        </is>
      </c>
      <c r="B29" s="30" t="inlineStr">
        <is>
          <t>USN</t>
        </is>
      </c>
      <c r="C29" s="31">
        <f>SUMIFS(JB_27BV,JB_B,2,JB_W,"Command Ships",JB_RC,"ADD")+SUMIFS(JB_27BV,JB_B,3,JB_W,"Command Ships",JB_RC,"ADD")+SUMIFS(JB_27BV,JB_B,4,JB_W,"Command Ships",JB_RC,"ADD")+SUMIFS(JB_27BV,JB_B,5,JB_W,"Command Ships",JB_RC,"ADD")+SUMIFS(JB_27BV,JB_B,6,JB_W,"Command Ships",JB_RC,"ADD")+SUMIFS(JB_27BV,JB_B,7,JB_W,"Command Ships",JB_RC,"ADD")</f>
        <v/>
      </c>
      <c r="D29" s="37">
        <f>IFERROR(C29/C$51,0)</f>
        <v/>
      </c>
    </row>
    <row r="30" ht="10" customHeight="1">
      <c r="A30" s="30" t="inlineStr">
        <is>
          <t>Research, Survey &amp; Instrumentation Ships</t>
        </is>
      </c>
      <c r="B30" s="30" t="inlineStr">
        <is>
          <t>MSC</t>
        </is>
      </c>
      <c r="C30"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0" s="37">
        <f>IFERROR(C30/C$51,0)</f>
        <v/>
      </c>
    </row>
    <row r="31" ht="10" customHeight="1">
      <c r="A31" s="30" t="inlineStr">
        <is>
          <t>Cargo &amp; Vehicle Cargo Ships</t>
        </is>
      </c>
      <c r="B31" s="30" t="inlineStr">
        <is>
          <t>USN</t>
        </is>
      </c>
      <c r="C31"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1" s="37">
        <f>IFERROR(C31/C$51,0)</f>
        <v/>
      </c>
    </row>
    <row r="32" ht="10" customHeight="1">
      <c r="A32" s="30" t="inlineStr">
        <is>
          <t>Unmanned Surface Vehicles</t>
        </is>
      </c>
      <c r="B32" s="30" t="inlineStr">
        <is>
          <t>USN</t>
        </is>
      </c>
      <c r="C32"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2" s="37">
        <f>IFERROR(C32/C$51,0)</f>
        <v/>
      </c>
    </row>
    <row r="33" ht="10" customHeight="1">
      <c r="A33" s="30" t="inlineStr">
        <is>
          <t>Salvage Ships &amp; Fleet Ocean Tugs</t>
        </is>
      </c>
      <c r="B33" s="30" t="inlineStr">
        <is>
          <t>MSC</t>
        </is>
      </c>
      <c r="C33"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3" s="37">
        <f>IFERROR(C33/C$51,0)</f>
        <v/>
      </c>
    </row>
    <row r="34" ht="10" customHeight="1">
      <c r="A34" s="30" t="inlineStr">
        <is>
          <t>Aviation Logistics Support Ship</t>
        </is>
      </c>
      <c r="B34" s="30" t="inlineStr">
        <is>
          <t>USN</t>
        </is>
      </c>
      <c r="C34"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4" s="37">
        <f>IFERROR(C34/C$51,0)</f>
        <v/>
      </c>
    </row>
    <row r="35" ht="10" customHeight="1">
      <c r="A35" s="30" t="inlineStr">
        <is>
          <t>Combat Logistics Ships</t>
        </is>
      </c>
      <c r="B35" s="30" t="inlineStr">
        <is>
          <t>MSC</t>
        </is>
      </c>
      <c r="C35"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5" s="37">
        <f>IFERROR(C35/C$51,0)</f>
        <v/>
      </c>
    </row>
    <row r="36" ht="10" customHeight="1">
      <c r="A36" s="30" t="inlineStr">
        <is>
          <t>Hospital Ship</t>
        </is>
      </c>
      <c r="B36" s="30" t="inlineStr">
        <is>
          <t>MSC</t>
        </is>
      </c>
      <c r="C36" s="31">
        <f>SUMIFS(JB_27BV,JB_B,2,JB_W,"Hospital Ship",JB_RC,"ADD")+SUMIFS(JB_27BV,JB_B,3,JB_W,"Hospital Ship",JB_RC,"ADD")+SUMIFS(JB_27BV,JB_B,4,JB_W,"Hospital Ship",JB_RC,"ADD")+SUMIFS(JB_27BV,JB_B,5,JB_W,"Hospital Ship",JB_RC,"ADD")+SUMIFS(JB_27BV,JB_B,6,JB_W,"Hospital Ship",JB_RC,"ADD")+SUMIFS(JB_27BV,JB_B,7,JB_W,"Hospital Ship",JB_RC,"ADD")</f>
        <v/>
      </c>
      <c r="D36" s="37">
        <f>IFERROR(C36/C$51,0)</f>
        <v/>
      </c>
    </row>
    <row r="37" ht="10" customHeight="1">
      <c r="A37" s="30" t="inlineStr">
        <is>
          <t>Mine Warfare</t>
        </is>
      </c>
      <c r="B37" s="30" t="inlineStr">
        <is>
          <t>USN</t>
        </is>
      </c>
      <c r="C37" s="31">
        <f>SUMIFS(JB_27BV,JB_B,2,JB_W,"Mine Warfare",JB_RC,"ADD")+SUMIFS(JB_27BV,JB_B,3,JB_W,"Mine Warfare",JB_RC,"ADD")+SUMIFS(JB_27BV,JB_B,4,JB_W,"Mine Warfare",JB_RC,"ADD")+SUMIFS(JB_27BV,JB_B,5,JB_W,"Mine Warfare",JB_RC,"ADD")+SUMIFS(JB_27BV,JB_B,6,JB_W,"Mine Warfare",JB_RC,"ADD")+SUMIFS(JB_27BV,JB_B,7,JB_W,"Mine Warfare",JB_RC,"ADD")</f>
        <v/>
      </c>
      <c r="D37" s="37">
        <f>IFERROR(C37/C$51,0)</f>
        <v/>
      </c>
    </row>
    <row r="38" ht="10" customHeight="1">
      <c r="A38" s="30" t="inlineStr">
        <is>
          <t>Unmanned Undersea Vehicles</t>
        </is>
      </c>
      <c r="B38" s="30" t="inlineStr">
        <is>
          <t>USN</t>
        </is>
      </c>
      <c r="C3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8" s="37">
        <f>IFERROR(C38/C$51,0)</f>
        <v/>
      </c>
    </row>
    <row r="39" ht="10" customHeight="1">
      <c r="A39" s="30" t="inlineStr">
        <is>
          <t>Submarine Escort Ship</t>
        </is>
      </c>
      <c r="B39" s="30" t="inlineStr">
        <is>
          <t>USN</t>
        </is>
      </c>
      <c r="C39"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9" s="37">
        <f>IFERROR(C39/C$51,0)</f>
        <v/>
      </c>
    </row>
    <row r="40" ht="10" customHeight="1">
      <c r="A40" s="30" t="inlineStr">
        <is>
          <t>General Auxiliary</t>
        </is>
      </c>
      <c r="B40" s="30" t="inlineStr">
        <is>
          <t>USN</t>
        </is>
      </c>
      <c r="C40"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40" s="37">
        <f>IFERROR(C40/C$51,0)</f>
        <v/>
      </c>
    </row>
    <row r="41" ht="10" customHeight="1">
      <c r="A41" s="30" t="inlineStr">
        <is>
          <t>High Speed Transport</t>
        </is>
      </c>
      <c r="B41" s="30" t="inlineStr">
        <is>
          <t>USN</t>
        </is>
      </c>
      <c r="C41"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1" s="37">
        <f>IFERROR(C41/C$51,0)</f>
        <v/>
      </c>
    </row>
    <row r="42" ht="10" customHeight="1">
      <c r="A42" s="30" t="inlineStr">
        <is>
          <t>Material Support Ships</t>
        </is>
      </c>
      <c r="B42" s="30" t="inlineStr">
        <is>
          <t>USN</t>
        </is>
      </c>
      <c r="C42"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2" s="37">
        <f>IFERROR(C42/C$51,0)</f>
        <v/>
      </c>
    </row>
    <row r="43" ht="10" customHeight="1">
      <c r="A43" s="30" t="inlineStr">
        <is>
          <t>Crane Ship</t>
        </is>
      </c>
      <c r="B43" s="30" t="inlineStr">
        <is>
          <t>USN</t>
        </is>
      </c>
      <c r="C43" s="31">
        <f>SUMIFS(JB_27BV,JB_B,2,JB_W,"Crane Ship",JB_RC,"ADD")+SUMIFS(JB_27BV,JB_B,3,JB_W,"Crane Ship",JB_RC,"ADD")+SUMIFS(JB_27BV,JB_B,4,JB_W,"Crane Ship",JB_RC,"ADD")+SUMIFS(JB_27BV,JB_B,5,JB_W,"Crane Ship",JB_RC,"ADD")+SUMIFS(JB_27BV,JB_B,6,JB_W,"Crane Ship",JB_RC,"ADD")+SUMIFS(JB_27BV,JB_B,7,JB_W,"Crane Ship",JB_RC,"ADD")</f>
        <v/>
      </c>
      <c r="D43" s="37">
        <f>IFERROR(C43/C$51,0)</f>
        <v/>
      </c>
    </row>
    <row r="44" ht="10" customHeight="1">
      <c r="A44" s="30" t="inlineStr">
        <is>
          <t>National Security Cutters</t>
        </is>
      </c>
      <c r="B44" s="30" t="inlineStr">
        <is>
          <t>USCG</t>
        </is>
      </c>
      <c r="C44"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4" s="37">
        <f>IFERROR(C44/C$51,0)</f>
        <v/>
      </c>
    </row>
    <row r="45" ht="10" customHeight="1">
      <c r="A45" s="30" t="inlineStr">
        <is>
          <t>Coastal Buoy Tenders</t>
        </is>
      </c>
      <c r="B45" s="30" t="inlineStr">
        <is>
          <t>USCG</t>
        </is>
      </c>
      <c r="C45"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5" s="37">
        <f>IFERROR(C45/C$51,0)</f>
        <v/>
      </c>
    </row>
    <row r="46" ht="10" customHeight="1">
      <c r="A46" s="30" t="inlineStr">
        <is>
          <t>Fast Response Cutters</t>
        </is>
      </c>
      <c r="B46" s="30" t="inlineStr">
        <is>
          <t>USCG</t>
        </is>
      </c>
      <c r="C46"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6" s="37">
        <f>IFERROR(C46/C$51,0)</f>
        <v/>
      </c>
    </row>
    <row r="47" ht="10" customHeight="1">
      <c r="A47" s="30" t="inlineStr">
        <is>
          <t>Icebreakers, Oceangoing</t>
        </is>
      </c>
      <c r="B47" s="30" t="inlineStr">
        <is>
          <t>USCG</t>
        </is>
      </c>
      <c r="C47"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7" s="37">
        <f>IFERROR(C47/C$51,0)</f>
        <v/>
      </c>
    </row>
    <row r="48" ht="10" customHeight="1">
      <c r="A48" s="30" t="inlineStr">
        <is>
          <t>Icebreakers, Great Lakes</t>
        </is>
      </c>
      <c r="B48" s="30" t="inlineStr">
        <is>
          <t>USCG</t>
        </is>
      </c>
      <c r="C48"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8" s="37">
        <f>IFERROR(C48/C$51,0)</f>
        <v/>
      </c>
    </row>
    <row r="49" ht="10" customHeight="1">
      <c r="A49" s="30" t="inlineStr">
        <is>
          <t>Offshore Patrol Cutter</t>
        </is>
      </c>
      <c r="B49" s="30" t="inlineStr">
        <is>
          <t>USCG</t>
        </is>
      </c>
      <c r="C49"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9" s="37">
        <f>IFERROR(C49/C$51,0)</f>
        <v/>
      </c>
    </row>
    <row r="50" ht="10" customHeight="1">
      <c r="A50" s="30" t="inlineStr">
        <is>
          <t>Waterways Commerce Cutters</t>
        </is>
      </c>
      <c r="B50" s="30" t="inlineStr">
        <is>
          <t>USCG</t>
        </is>
      </c>
      <c r="C50"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50" s="37">
        <f>IFERROR(C50/C$51,0)</f>
        <v/>
      </c>
    </row>
    <row r="51" ht="10" customHeight="1">
      <c r="A51" s="32" t="inlineStr">
        <is>
          <t>MRO TAM</t>
        </is>
      </c>
      <c r="B51" s="32" t="inlineStr"/>
      <c r="C51" s="33">
        <f>SUM(C23:C50)</f>
        <v/>
      </c>
      <c r="D51" s="38" t="n">
        <v>1</v>
      </c>
    </row>
    <row r="52" ht="10" customHeight="1"/>
    <row r="53" ht="10" customHeight="1"/>
    <row r="54" ht="10" customHeight="1">
      <c r="A54" s="27" t="inlineStr">
        <is>
          <t>(D) MRO TAM — Work Type by Vessel Type (Mekko)</t>
        </is>
      </c>
      <c r="B54" s="28" t="n"/>
      <c r="C54" s="28" t="n"/>
      <c r="D54" s="28" t="n"/>
      <c r="E54" s="28" t="n"/>
      <c r="F54" s="28" t="n"/>
      <c r="G54" s="28" t="n"/>
      <c r="H54" s="28" t="n"/>
      <c r="I54" s="28" t="n"/>
    </row>
    <row r="55" ht="10" customHeight="1">
      <c r="A55" s="39" t="n"/>
      <c r="B55" s="40" t="inlineStr">
        <is>
          <t>USN</t>
        </is>
      </c>
      <c r="C55" s="39" t="n"/>
      <c r="D55" s="39" t="n"/>
      <c r="E55" s="39" t="n"/>
      <c r="F55" s="39" t="n"/>
      <c r="G55" s="39" t="n"/>
      <c r="H55" s="39" t="n"/>
      <c r="I55" s="41" t="n"/>
    </row>
    <row r="56" ht="10" customHeight="1">
      <c r="A56" s="29" t="inlineStr">
        <is>
          <t>Work Type</t>
        </is>
      </c>
      <c r="B56" s="42" t="inlineStr">
        <is>
          <t>Submarines</t>
        </is>
      </c>
      <c r="C56" s="29" t="inlineStr">
        <is>
          <t>Surface Combatants</t>
        </is>
      </c>
      <c r="D56" s="29" t="inlineStr">
        <is>
          <t>Aircraft Carriers</t>
        </is>
      </c>
      <c r="E56" s="29" t="inlineStr">
        <is>
          <t>Amphibious Warfare Ships</t>
        </is>
      </c>
      <c r="F56" s="29" t="inlineStr">
        <is>
          <t>Surveillance Ships</t>
        </is>
      </c>
      <c r="G56" s="29" t="inlineStr">
        <is>
          <t>Expeditionary &amp; Seabasing Ships</t>
        </is>
      </c>
      <c r="H56" s="29" t="inlineStr">
        <is>
          <t>Command Ships</t>
        </is>
      </c>
      <c r="I56" s="42" t="inlineStr">
        <is>
          <t>Total</t>
        </is>
      </c>
    </row>
    <row r="57" ht="10" customHeight="1">
      <c r="A57" s="30" t="inlineStr">
        <is>
          <t>Modernization</t>
        </is>
      </c>
      <c r="B57" s="43">
        <f>IFERROR((SUMIFS(JB_27BV,JB_B,4,JB_W,"Submarines",JB_RC,"ADD"))/B$61,0)</f>
        <v/>
      </c>
      <c r="C57" s="37">
        <f>IFERROR((SUMIFS(JB_27BV,JB_B,4,JB_W,"Surface Combatants",JB_RC,"ADD"))/C$61,0)</f>
        <v/>
      </c>
      <c r="D57" s="37">
        <f>IFERROR((SUMIFS(JB_27BV,JB_B,4,JB_W,"Aircraft Carriers",JB_RC,"ADD"))/D$61,0)</f>
        <v/>
      </c>
      <c r="E57" s="37">
        <f>IFERROR((SUMIFS(JB_27BV,JB_B,4,JB_W,"Amphibious Warfare Ships",JB_RC,"ADD"))/E$61,0)</f>
        <v/>
      </c>
      <c r="F57" s="37">
        <f>IFERROR((SUMIFS(JB_27BV,JB_B,4,JB_W,"Surveillance Ships",JB_RC,"ADD"))/F$61,0)</f>
        <v/>
      </c>
      <c r="G57" s="37">
        <f>IFERROR((SUMIFS(JB_27BV,JB_B,4,JB_W,"Expeditionary &amp; Seabasing Ships",JB_RC,"ADD"))/G$61,0)</f>
        <v/>
      </c>
      <c r="H57" s="37">
        <f>IFERROR((SUMIFS(JB_27BV,JB_B,4,JB_W,"Command Ships",JB_RC,"ADD"))/H$61,0)</f>
        <v/>
      </c>
      <c r="I57" s="43">
        <f>IFERROR((SUMIFS(JB_27BV,JB_B,4,JB_V,"Auxiliary Ships",JB_RC,"ADD")+SUMIFS(JB_27BV,JB_B,4,JB_V,"Combatant Ships",JB_RC,"ADD")+SUMIFS(JB_27BV,JB_B,4,JB_V,"Cutters",JB_RC,"ADD")+SUMIFS(JB_27BV,JB_B,4,JB_V,"Unmanned Maritime Platforms",JB_RC,"ADD"))/I$61,0)</f>
        <v/>
      </c>
    </row>
    <row r="58" ht="10" customHeight="1">
      <c r="A58" s="30" t="inlineStr">
        <is>
          <t>Major Life-Cycle Events / RCOH</t>
        </is>
      </c>
      <c r="B58" s="43">
        <f>IFERROR((SUMIFS(JB_27BV,JB_B,5,JB_W,"Submarines",JB_RC,"ADD"))/B$61,0)</f>
        <v/>
      </c>
      <c r="C58" s="37">
        <f>IFERROR((SUMIFS(JB_27BV,JB_B,5,JB_W,"Surface Combatants",JB_RC,"ADD"))/C$61,0)</f>
        <v/>
      </c>
      <c r="D58" s="37">
        <f>IFERROR((SUMIFS(JB_27BV,JB_B,5,JB_W,"Aircraft Carriers",JB_RC,"ADD"))/D$61,0)</f>
        <v/>
      </c>
      <c r="E58" s="37">
        <f>IFERROR((SUMIFS(JB_27BV,JB_B,5,JB_W,"Amphibious Warfare Ships",JB_RC,"ADD"))/E$61,0)</f>
        <v/>
      </c>
      <c r="F58" s="37">
        <f>IFERROR((SUMIFS(JB_27BV,JB_B,5,JB_W,"Surveillance Ships",JB_RC,"ADD"))/F$61,0)</f>
        <v/>
      </c>
      <c r="G58" s="37">
        <f>IFERROR((SUMIFS(JB_27BV,JB_B,5,JB_W,"Expeditionary &amp; Seabasing Ships",JB_RC,"ADD"))/G$61,0)</f>
        <v/>
      </c>
      <c r="H58" s="37">
        <f>IFERROR((SUMIFS(JB_27BV,JB_B,5,JB_W,"Command Ships",JB_RC,"ADD"))/H$61,0)</f>
        <v/>
      </c>
      <c r="I58" s="43">
        <f>IFERROR((SUMIFS(JB_27BV,JB_B,5,JB_V,"Auxiliary Ships",JB_RC,"ADD")+SUMIFS(JB_27BV,JB_B,5,JB_V,"Combatant Ships",JB_RC,"ADD")+SUMIFS(JB_27BV,JB_B,5,JB_V,"Cutters",JB_RC,"ADD")+SUMIFS(JB_27BV,JB_B,5,JB_V,"Unmanned Maritime Platforms",JB_RC,"ADD"))/I$61,0)</f>
        <v/>
      </c>
    </row>
    <row r="59" ht="10" customHeight="1">
      <c r="A59" s="30" t="inlineStr">
        <is>
          <t>Sustainment Engineering</t>
        </is>
      </c>
      <c r="B59" s="43">
        <f>IFERROR((SUMIFS(JB_27BV,JB_B,6,JB_W,"Submarines",JB_RC,"ADD"))/B$61,0)</f>
        <v/>
      </c>
      <c r="C59" s="37">
        <f>IFERROR((SUMIFS(JB_27BV,JB_B,6,JB_W,"Surface Combatants",JB_RC,"ADD"))/C$61,0)</f>
        <v/>
      </c>
      <c r="D59" s="37">
        <f>IFERROR((SUMIFS(JB_27BV,JB_B,6,JB_W,"Aircraft Carriers",JB_RC,"ADD"))/D$61,0)</f>
        <v/>
      </c>
      <c r="E59" s="37">
        <f>IFERROR((SUMIFS(JB_27BV,JB_B,6,JB_W,"Amphibious Warfare Ships",JB_RC,"ADD"))/E$61,0)</f>
        <v/>
      </c>
      <c r="F59" s="37">
        <f>IFERROR((SUMIFS(JB_27BV,JB_B,6,JB_W,"Surveillance Ships",JB_RC,"ADD"))/F$61,0)</f>
        <v/>
      </c>
      <c r="G59" s="37">
        <f>IFERROR((SUMIFS(JB_27BV,JB_B,6,JB_W,"Expeditionary &amp; Seabasing Ships",JB_RC,"ADD"))/G$61,0)</f>
        <v/>
      </c>
      <c r="H59" s="37">
        <f>IFERROR((SUMIFS(JB_27BV,JB_B,6,JB_W,"Command Ships",JB_RC,"ADD"))/H$61,0)</f>
        <v/>
      </c>
      <c r="I59" s="43">
        <f>IFERROR((SUMIFS(JB_27BV,JB_B,6,JB_V,"Auxiliary Ships",JB_RC,"ADD")+SUMIFS(JB_27BV,JB_B,6,JB_V,"Combatant Ships",JB_RC,"ADD")+SUMIFS(JB_27BV,JB_B,6,JB_V,"Cutters",JB_RC,"ADD")+SUMIFS(JB_27BV,JB_B,6,JB_V,"Unmanned Maritime Platforms",JB_RC,"ADD"))/I$61,0)</f>
        <v/>
      </c>
    </row>
    <row r="60" ht="10" customHeight="1">
      <c r="A60" s="30" t="inlineStr">
        <is>
          <t>Availability Support</t>
        </is>
      </c>
      <c r="B60" s="43">
        <f>IFERROR((SUMIFS(JB_27BV,JB_B,7,JB_W,"Submarines",JB_RC,"ADD"))/B$61,0)</f>
        <v/>
      </c>
      <c r="C60" s="37">
        <f>IFERROR((SUMIFS(JB_27BV,JB_B,7,JB_W,"Surface Combatants",JB_RC,"ADD"))/C$61,0)</f>
        <v/>
      </c>
      <c r="D60" s="37">
        <f>IFERROR((SUMIFS(JB_27BV,JB_B,7,JB_W,"Aircraft Carriers",JB_RC,"ADD"))/D$61,0)</f>
        <v/>
      </c>
      <c r="E60" s="37">
        <f>IFERROR((SUMIFS(JB_27BV,JB_B,7,JB_W,"Amphibious Warfare Ships",JB_RC,"ADD"))/E$61,0)</f>
        <v/>
      </c>
      <c r="F60" s="37">
        <f>IFERROR((SUMIFS(JB_27BV,JB_B,7,JB_W,"Surveillance Ships",JB_RC,"ADD"))/F$61,0)</f>
        <v/>
      </c>
      <c r="G60" s="37">
        <f>IFERROR((SUMIFS(JB_27BV,JB_B,7,JB_W,"Expeditionary &amp; Seabasing Ships",JB_RC,"ADD"))/G$61,0)</f>
        <v/>
      </c>
      <c r="H60" s="37">
        <f>IFERROR((SUMIFS(JB_27BV,JB_B,7,JB_W,"Command Ships",JB_RC,"ADD"))/H$61,0)</f>
        <v/>
      </c>
      <c r="I60" s="43">
        <f>IFERROR((SUMIFS(JB_27BV,JB_B,7,JB_V,"Auxiliary Ships",JB_RC,"ADD")+SUMIFS(JB_27BV,JB_B,7,JB_V,"Combatant Ships",JB_RC,"ADD")+SUMIFS(JB_27BV,JB_B,7,JB_V,"Cutters",JB_RC,"ADD")+SUMIFS(JB_27BV,JB_B,7,JB_V,"Unmanned Maritime Platforms",JB_RC,"ADD"))/I$61,0)</f>
        <v/>
      </c>
    </row>
    <row r="61" ht="10" customHeight="1">
      <c r="A61" s="32" t="inlineStr">
        <is>
          <t>Total ($K)</t>
        </is>
      </c>
      <c r="B61" s="44">
        <f>SUMIFS(JB_27BV,JB_B,2,JB_W,"Submarines",JB_RC,"ADD")+SUMIFS(JB_27BV,JB_B,3,JB_W,"Submarines",JB_RC,"ADD")+SUMIFS(JB_27BV,JB_B,4,JB_W,"Submarines",JB_RC,"ADD")+SUMIFS(JB_27BV,JB_B,5,JB_W,"Submarines",JB_RC,"ADD")+SUMIFS(JB_27BV,JB_B,6,JB_W,"Submarines",JB_RC,"ADD")+SUMIFS(JB_27BV,JB_B,7,JB_W,"Submarines",JB_RC,"ADD")</f>
        <v/>
      </c>
      <c r="C61"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1"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1"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1"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1"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1" s="33">
        <f>SUMIFS(JB_27BV,JB_B,2,JB_W,"Command Ships",JB_RC,"ADD")+SUMIFS(JB_27BV,JB_B,3,JB_W,"Command Ships",JB_RC,"ADD")+SUMIFS(JB_27BV,JB_B,4,JB_W,"Command Ships",JB_RC,"ADD")+SUMIFS(JB_27BV,JB_B,5,JB_W,"Command Ships",JB_RC,"ADD")+SUMIFS(JB_27BV,JB_B,6,JB_W,"Command Ships",JB_RC,"ADD")+SUMIFS(JB_27BV,JB_B,7,JB_W,"Command Ships",JB_RC,"ADD")</f>
        <v/>
      </c>
      <c r="I61" s="44">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24" t="inlineStr">
        <is>
          <t>MRO SAM — FY2027 ($K)</t>
        </is>
      </c>
      <c r="B1" s="25" t="n"/>
      <c r="C1" s="25" t="n"/>
      <c r="D1" s="25" t="n"/>
      <c r="E1" s="25" t="n"/>
      <c r="F1" s="25" t="n"/>
    </row>
    <row r="2" ht="10" customHeight="1">
      <c r="A2" s="26" t="inlineStr">
        <is>
          <t>Outsourceable MRO: SDM + Modernization, excluding non-addressable vessel types</t>
        </is>
      </c>
    </row>
    <row r="3" ht="10" customHeight="1"/>
    <row r="4" ht="10" customHeight="1">
      <c r="A4" s="27" t="inlineStr">
        <is>
          <t>(A) Bridge: MRO TAM → MRO SAM</t>
        </is>
      </c>
      <c r="B4" s="28" t="n"/>
    </row>
    <row r="5" ht="10" customHeight="1">
      <c r="A5" s="30" t="inlineStr">
        <is>
          <t>MRO TAM</t>
        </is>
      </c>
      <c r="B5" s="49">
        <f>'FY27 MRO TAM'!B18</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Research, Survey &amp; Instrumentation Ships</t>
        </is>
      </c>
      <c r="B18" s="30" t="inlineStr">
        <is>
          <t>MSC</t>
        </is>
      </c>
      <c r="C18" s="31">
        <f>SUMIFS(JB_27BV,JB_B,2,JB_W,"Research, Survey &amp; Instrumentation Ships",JB_RC,"ADD")</f>
        <v/>
      </c>
      <c r="D18" s="31">
        <f>SUMIFS(JB_27BV,JB_B,4,JB_W,"Research, Survey &amp; Instrumentation Ships",JB_RC,"ADD")</f>
        <v/>
      </c>
      <c r="E18" s="31">
        <f>C18+D18</f>
        <v/>
      </c>
      <c r="F18" s="37">
        <f>IFERROR(E18/E$40,0)</f>
        <v/>
      </c>
    </row>
    <row r="19" ht="10" customHeight="1">
      <c r="A19" s="30" t="inlineStr">
        <is>
          <t>Submarine Escort Ship</t>
        </is>
      </c>
      <c r="B19" s="30" t="inlineStr">
        <is>
          <t>USN</t>
        </is>
      </c>
      <c r="C19" s="31">
        <f>SUMIFS(JB_27BV,JB_B,2,JB_W,"Submarine Escort Ship",JB_RC,"ADD")</f>
        <v/>
      </c>
      <c r="D19" s="31">
        <f>SUMIFS(JB_27BV,JB_B,4,JB_W,"Submarine Escort Ship",JB_RC,"ADD")</f>
        <v/>
      </c>
      <c r="E19" s="31">
        <f>C19+D19</f>
        <v/>
      </c>
      <c r="F19" s="37">
        <f>IFERROR(E19/E$40,0)</f>
        <v/>
      </c>
    </row>
    <row r="20" ht="10" customHeight="1">
      <c r="A20" s="30" t="inlineStr">
        <is>
          <t>General Auxiliary</t>
        </is>
      </c>
      <c r="B20" s="30" t="inlineStr">
        <is>
          <t>USN</t>
        </is>
      </c>
      <c r="C20" s="31">
        <f>SUMIFS(JB_27BV,JB_B,2,JB_W,"General Auxiliary",JB_RC,"ADD")</f>
        <v/>
      </c>
      <c r="D20" s="31">
        <f>SUMIFS(JB_27BV,JB_B,4,JB_W,"General Auxiliary",JB_RC,"ADD")</f>
        <v/>
      </c>
      <c r="E20" s="31">
        <f>C20+D20</f>
        <v/>
      </c>
      <c r="F20" s="37">
        <f>IFERROR(E20/E$40,0)</f>
        <v/>
      </c>
    </row>
    <row r="21" ht="10" customHeight="1">
      <c r="A21" s="30" t="inlineStr">
        <is>
          <t>Cargo &amp; Vehicle Cargo Ships</t>
        </is>
      </c>
      <c r="B21" s="30" t="inlineStr">
        <is>
          <t>USN</t>
        </is>
      </c>
      <c r="C21" s="31">
        <f>SUMIFS(JB_27BV,JB_B,2,JB_W,"Cargo &amp; Vehicle Cargo Ships",JB_RC,"ADD")</f>
        <v/>
      </c>
      <c r="D21" s="31">
        <f>SUMIFS(JB_27BV,JB_B,4,JB_W,"Cargo &amp; Vehicle Cargo Ships",JB_RC,"ADD")</f>
        <v/>
      </c>
      <c r="E21" s="31">
        <f>C21+D21</f>
        <v/>
      </c>
      <c r="F21" s="37">
        <f>IFERROR(E21/E$40,0)</f>
        <v/>
      </c>
    </row>
    <row r="22" ht="10" customHeight="1">
      <c r="A22" s="30" t="inlineStr">
        <is>
          <t>High Speed Transport</t>
        </is>
      </c>
      <c r="B22" s="30" t="inlineStr">
        <is>
          <t>USN</t>
        </is>
      </c>
      <c r="C22" s="31">
        <f>SUMIFS(JB_27BV,JB_B,2,JB_W,"High Speed Transport",JB_RC,"ADD")</f>
        <v/>
      </c>
      <c r="D22" s="31">
        <f>SUMIFS(JB_27BV,JB_B,4,JB_W,"High Speed Transport",JB_RC,"ADD")</f>
        <v/>
      </c>
      <c r="E22" s="31">
        <f>C22+D22</f>
        <v/>
      </c>
      <c r="F22" s="37">
        <f>IFERROR(E22/E$40,0)</f>
        <v/>
      </c>
    </row>
    <row r="23" ht="10" customHeight="1">
      <c r="A23" s="30" t="inlineStr">
        <is>
          <t>Unmanned Surface Vehicles</t>
        </is>
      </c>
      <c r="B23" s="30" t="inlineStr">
        <is>
          <t>USN</t>
        </is>
      </c>
      <c r="C23" s="31">
        <f>SUMIFS(JB_27BV,JB_B,2,JB_W,"Unmanned Surface Vehicles",JB_RC,"ADD")</f>
        <v/>
      </c>
      <c r="D23" s="31">
        <f>SUMIFS(JB_27BV,JB_B,4,JB_W,"Unmanned Surface Vehicles",JB_RC,"ADD")</f>
        <v/>
      </c>
      <c r="E23" s="31">
        <f>C23+D23</f>
        <v/>
      </c>
      <c r="F23" s="37">
        <f>IFERROR(E23/E$40,0)</f>
        <v/>
      </c>
    </row>
    <row r="24" ht="10" customHeight="1">
      <c r="A24" s="30" t="inlineStr">
        <is>
          <t>Material Support Ships</t>
        </is>
      </c>
      <c r="B24" s="30" t="inlineStr">
        <is>
          <t>USN</t>
        </is>
      </c>
      <c r="C24" s="31">
        <f>SUMIFS(JB_27BV,JB_B,2,JB_W,"Material Support Ships",JB_RC,"ADD")</f>
        <v/>
      </c>
      <c r="D24" s="31">
        <f>SUMIFS(JB_27BV,JB_B,4,JB_W,"Material Support Ships",JB_RC,"ADD")</f>
        <v/>
      </c>
      <c r="E24" s="31">
        <f>C24+D24</f>
        <v/>
      </c>
      <c r="F24" s="37">
        <f>IFERROR(E24/E$40,0)</f>
        <v/>
      </c>
    </row>
    <row r="25" ht="10" customHeight="1">
      <c r="A25" s="30" t="inlineStr">
        <is>
          <t>Salvage Ships &amp; Fleet Ocean Tugs</t>
        </is>
      </c>
      <c r="B25" s="30" t="inlineStr">
        <is>
          <t>MSC</t>
        </is>
      </c>
      <c r="C25" s="31">
        <f>SUMIFS(JB_27BV,JB_B,2,JB_W,"Salvage Ships &amp; Fleet Ocean Tugs",JB_RC,"ADD")</f>
        <v/>
      </c>
      <c r="D25" s="31">
        <f>SUMIFS(JB_27BV,JB_B,4,JB_W,"Salvage Ships &amp; Fleet Ocean Tugs",JB_RC,"ADD")</f>
        <v/>
      </c>
      <c r="E25" s="31">
        <f>C25+D25</f>
        <v/>
      </c>
      <c r="F25" s="37">
        <f>IFERROR(E25/E$40,0)</f>
        <v/>
      </c>
    </row>
    <row r="26" ht="10" customHeight="1">
      <c r="A26" s="30" t="inlineStr">
        <is>
          <t>Expeditionary &amp; Seabasing Ships</t>
        </is>
      </c>
      <c r="B26" s="30" t="inlineStr">
        <is>
          <t>USN</t>
        </is>
      </c>
      <c r="C26" s="31">
        <f>SUMIFS(JB_27BV,JB_B,2,JB_W,"Expeditionary &amp; Seabasing Ships",JB_RC,"ADD")</f>
        <v/>
      </c>
      <c r="D26" s="31">
        <f>SUMIFS(JB_27BV,JB_B,4,JB_W,"Expeditionary &amp; Seabasing Ships",JB_RC,"ADD")</f>
        <v/>
      </c>
      <c r="E26" s="31">
        <f>C26+D26</f>
        <v/>
      </c>
      <c r="F26" s="37">
        <f>IFERROR(E26/E$40,0)</f>
        <v/>
      </c>
    </row>
    <row r="27" ht="10" customHeight="1">
      <c r="A27" s="30" t="inlineStr">
        <is>
          <t>Aviation Logistics Support Ship</t>
        </is>
      </c>
      <c r="B27" s="30" t="inlineStr">
        <is>
          <t>USN</t>
        </is>
      </c>
      <c r="C27" s="31">
        <f>SUMIFS(JB_27BV,JB_B,2,JB_W,"Aviation Logistics Support Ship",JB_RC,"ADD")</f>
        <v/>
      </c>
      <c r="D27" s="31">
        <f>SUMIFS(JB_27BV,JB_B,4,JB_W,"Aviation Logistics Support Ship",JB_RC,"ADD")</f>
        <v/>
      </c>
      <c r="E27" s="31">
        <f>C27+D27</f>
        <v/>
      </c>
      <c r="F27" s="37">
        <f>IFERROR(E27/E$40,0)</f>
        <v/>
      </c>
    </row>
    <row r="28" ht="10" customHeight="1">
      <c r="A28" s="30" t="inlineStr">
        <is>
          <t>Command Ships</t>
        </is>
      </c>
      <c r="B28" s="30" t="inlineStr">
        <is>
          <t>USN</t>
        </is>
      </c>
      <c r="C28" s="31">
        <f>SUMIFS(JB_27BV,JB_B,2,JB_W,"Command Ships",JB_RC,"ADD")</f>
        <v/>
      </c>
      <c r="D28" s="31">
        <f>SUMIFS(JB_27BV,JB_B,4,JB_W,"Command Ships",JB_RC,"ADD")</f>
        <v/>
      </c>
      <c r="E28" s="31">
        <f>C28+D28</f>
        <v/>
      </c>
      <c r="F28" s="37">
        <f>IFERROR(E28/E$40,0)</f>
        <v/>
      </c>
    </row>
    <row r="29" ht="10" customHeight="1">
      <c r="A29" s="30" t="inlineStr">
        <is>
          <t>Combat Logistics Ships</t>
        </is>
      </c>
      <c r="B29" s="30" t="inlineStr">
        <is>
          <t>MSC</t>
        </is>
      </c>
      <c r="C29" s="31">
        <f>SUMIFS(JB_27BV,JB_B,2,JB_W,"Combat Logistics Ships",JB_RC,"ADD")</f>
        <v/>
      </c>
      <c r="D29" s="31">
        <f>SUMIFS(JB_27BV,JB_B,4,JB_W,"Combat Logistics Ships",JB_RC,"ADD")</f>
        <v/>
      </c>
      <c r="E29" s="31">
        <f>C29+D29</f>
        <v/>
      </c>
      <c r="F29" s="37">
        <f>IFERROR(E29/E$40,0)</f>
        <v/>
      </c>
    </row>
    <row r="30" ht="10" customHeight="1">
      <c r="A30" s="30" t="inlineStr">
        <is>
          <t>Hospital Ship</t>
        </is>
      </c>
      <c r="B30" s="30" t="inlineStr">
        <is>
          <t>MSC</t>
        </is>
      </c>
      <c r="C30" s="31">
        <f>SUMIFS(JB_27BV,JB_B,2,JB_W,"Hospital Ship",JB_RC,"ADD")</f>
        <v/>
      </c>
      <c r="D30" s="31">
        <f>SUMIFS(JB_27BV,JB_B,4,JB_W,"Hospital Ship",JB_RC,"ADD")</f>
        <v/>
      </c>
      <c r="E30" s="31">
        <f>C30+D30</f>
        <v/>
      </c>
      <c r="F30" s="37">
        <f>IFERROR(E30/E$40,0)</f>
        <v/>
      </c>
    </row>
    <row r="31" ht="10" customHeight="1">
      <c r="A31" s="30" t="inlineStr">
        <is>
          <t>Mine Warfare</t>
        </is>
      </c>
      <c r="B31" s="30" t="inlineStr">
        <is>
          <t>USN</t>
        </is>
      </c>
      <c r="C31" s="31">
        <f>SUMIFS(JB_27BV,JB_B,2,JB_W,"Mine Warfare",JB_RC,"ADD")</f>
        <v/>
      </c>
      <c r="D31" s="31">
        <f>SUMIFS(JB_27BV,JB_B,4,JB_W,"Mine Warfare",JB_RC,"ADD")</f>
        <v/>
      </c>
      <c r="E31" s="31">
        <f>C31+D31</f>
        <v/>
      </c>
      <c r="F31" s="37">
        <f>IFERROR(E31/E$40,0)</f>
        <v/>
      </c>
    </row>
    <row r="32" ht="10" customHeight="1">
      <c r="A32" s="30" t="inlineStr">
        <is>
          <t>Crane Ship</t>
        </is>
      </c>
      <c r="B32" s="30" t="inlineStr">
        <is>
          <t>USN</t>
        </is>
      </c>
      <c r="C32" s="31">
        <f>SUMIFS(JB_27BV,JB_B,2,JB_W,"Crane Ship",JB_RC,"ADD")</f>
        <v/>
      </c>
      <c r="D32" s="31">
        <f>SUMIFS(JB_27BV,JB_B,4,JB_W,"Crane Ship",JB_RC,"ADD")</f>
        <v/>
      </c>
      <c r="E32" s="31">
        <f>C32+D32</f>
        <v/>
      </c>
      <c r="F32" s="37">
        <f>IFERROR(E32/E$40,0)</f>
        <v/>
      </c>
    </row>
    <row r="33" ht="10" customHeight="1">
      <c r="A33" s="30" t="inlineStr">
        <is>
          <t>National Security Cutters</t>
        </is>
      </c>
      <c r="B33" s="30" t="inlineStr">
        <is>
          <t>USCG</t>
        </is>
      </c>
      <c r="C33" s="31">
        <f>SUMIFS(JB_27BV,JB_B,2,JB_W,"National Security Cutters",JB_RC,"ADD")</f>
        <v/>
      </c>
      <c r="D33" s="31">
        <f>SUMIFS(JB_27BV,JB_B,4,JB_W,"National Security Cutters",JB_RC,"ADD")</f>
        <v/>
      </c>
      <c r="E33" s="31">
        <f>C33+D33</f>
        <v/>
      </c>
      <c r="F33" s="37">
        <f>IFERROR(E33/E$40,0)</f>
        <v/>
      </c>
    </row>
    <row r="34" ht="10" customHeight="1">
      <c r="A34" s="30" t="inlineStr">
        <is>
          <t>Coastal Buoy Tenders</t>
        </is>
      </c>
      <c r="B34" s="30" t="inlineStr">
        <is>
          <t>USCG</t>
        </is>
      </c>
      <c r="C34" s="31">
        <f>SUMIFS(JB_27BV,JB_B,2,JB_W,"Coastal Buoy Tenders",JB_RC,"ADD")</f>
        <v/>
      </c>
      <c r="D34" s="31">
        <f>SUMIFS(JB_27BV,JB_B,4,JB_W,"Coastal Buoy Tenders",JB_RC,"ADD")</f>
        <v/>
      </c>
      <c r="E34" s="31">
        <f>C34+D34</f>
        <v/>
      </c>
      <c r="F34" s="37">
        <f>IFERROR(E34/E$40,0)</f>
        <v/>
      </c>
    </row>
    <row r="35" ht="10" customHeight="1">
      <c r="A35" s="30" t="inlineStr">
        <is>
          <t>Fast Response Cutters</t>
        </is>
      </c>
      <c r="B35" s="30" t="inlineStr">
        <is>
          <t>USCG</t>
        </is>
      </c>
      <c r="C35" s="31">
        <f>SUMIFS(JB_27BV,JB_B,2,JB_W,"Fast Response Cutters",JB_RC,"ADD")</f>
        <v/>
      </c>
      <c r="D35" s="31">
        <f>SUMIFS(JB_27BV,JB_B,4,JB_W,"Fast Response Cutters",JB_RC,"ADD")</f>
        <v/>
      </c>
      <c r="E35" s="31">
        <f>C35+D35</f>
        <v/>
      </c>
      <c r="F35" s="37">
        <f>IFERROR(E35/E$40,0)</f>
        <v/>
      </c>
    </row>
    <row r="36" ht="10" customHeight="1">
      <c r="A36" s="30" t="inlineStr">
        <is>
          <t>Icebreakers, Oceangoing</t>
        </is>
      </c>
      <c r="B36" s="30" t="inlineStr">
        <is>
          <t>USCG</t>
        </is>
      </c>
      <c r="C36" s="31">
        <f>SUMIFS(JB_27BV,JB_B,2,JB_W,"Icebreakers, Oceangoing",JB_RC,"ADD")</f>
        <v/>
      </c>
      <c r="D36" s="31">
        <f>SUMIFS(JB_27BV,JB_B,4,JB_W,"Icebreakers, Oceangoing",JB_RC,"ADD")</f>
        <v/>
      </c>
      <c r="E36" s="31">
        <f>C36+D36</f>
        <v/>
      </c>
      <c r="F36" s="37">
        <f>IFERROR(E36/E$40,0)</f>
        <v/>
      </c>
    </row>
    <row r="37" ht="10" customHeight="1">
      <c r="A37" s="30" t="inlineStr">
        <is>
          <t>Waterways Commerce Cutters</t>
        </is>
      </c>
      <c r="B37" s="30" t="inlineStr">
        <is>
          <t>USCG</t>
        </is>
      </c>
      <c r="C37" s="31">
        <f>SUMIFS(JB_27BV,JB_B,2,JB_W,"Waterways Commerce Cutters",JB_RC,"ADD")</f>
        <v/>
      </c>
      <c r="D37" s="31">
        <f>SUMIFS(JB_27BV,JB_B,4,JB_W,"Waterways Commerce Cutters",JB_RC,"ADD")</f>
        <v/>
      </c>
      <c r="E37" s="31">
        <f>C37+D37</f>
        <v/>
      </c>
      <c r="F37" s="37">
        <f>IFERROR(E37/E$40,0)</f>
        <v/>
      </c>
    </row>
    <row r="38" ht="10" customHeight="1">
      <c r="A38" s="30" t="inlineStr">
        <is>
          <t>Icebreakers, Great Lakes</t>
        </is>
      </c>
      <c r="B38" s="30" t="inlineStr">
        <is>
          <t>USCG</t>
        </is>
      </c>
      <c r="C38" s="31">
        <f>SUMIFS(JB_27BV,JB_B,2,JB_W,"Icebreakers, Great Lakes",JB_RC,"ADD")</f>
        <v/>
      </c>
      <c r="D38" s="31">
        <f>SUMIFS(JB_27BV,JB_B,4,JB_W,"Icebreakers, Great Lakes",JB_RC,"ADD")</f>
        <v/>
      </c>
      <c r="E38" s="31">
        <f>C38+D38</f>
        <v/>
      </c>
      <c r="F38" s="37">
        <f>IFERROR(E38/E$40,0)</f>
        <v/>
      </c>
    </row>
    <row r="39" ht="10" customHeight="1">
      <c r="A39" s="30" t="inlineStr">
        <is>
          <t>Offshore Patrol Cutter</t>
        </is>
      </c>
      <c r="B39" s="30" t="inlineStr">
        <is>
          <t>USCG</t>
        </is>
      </c>
      <c r="C39" s="31">
        <f>SUMIFS(JB_27BV,JB_B,2,JB_W,"Offshore Patrol Cutter",JB_RC,"ADD")</f>
        <v/>
      </c>
      <c r="D39" s="31">
        <f>SUMIFS(JB_27BV,JB_B,4,JB_W,"Offshore Patrol Cutter",JB_RC,"ADD")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row>
    <row r="44" ht="10" customHeight="1">
      <c r="A44" s="39" t="n"/>
      <c r="B44" s="40" t="inlineStr">
        <is>
          <t>USN</t>
        </is>
      </c>
      <c r="C44" s="39" t="n"/>
      <c r="D44" s="39" t="n"/>
      <c r="E44" s="41" t="n"/>
    </row>
    <row r="45" ht="10" customHeight="1">
      <c r="A45" s="29" t="inlineStr">
        <is>
          <t>Work Type</t>
        </is>
      </c>
      <c r="B45" s="42" t="inlineStr">
        <is>
          <t>Surface Combatants</t>
        </is>
      </c>
      <c r="C45" s="29" t="inlineStr">
        <is>
          <t>Amphibious Warfare Ships</t>
        </is>
      </c>
      <c r="D45" s="29" t="inlineStr">
        <is>
          <t>Surveillance Ships</t>
        </is>
      </c>
      <c r="E45" s="42" t="inlineStr">
        <is>
          <t>Total</t>
        </is>
      </c>
    </row>
    <row r="46" ht="10" customHeight="1">
      <c r="A46" s="30" t="inlineStr">
        <is>
          <t>Scheduled Depot Maintenance</t>
        </is>
      </c>
      <c r="B46" s="43">
        <f>IFERROR((SUMIFS(JB_27BV,JB_B,2,JB_W,"Surface Combatants",JB_RC,"ADD"))/B$48,0)</f>
        <v/>
      </c>
      <c r="C46" s="37">
        <f>IFERROR((SUMIFS(JB_27BV,JB_B,2,JB_W,"Amphibious Warfare Ships",JB_RC,"ADD"))/C$48,0)</f>
        <v/>
      </c>
      <c r="D46" s="37">
        <f>IFERROR((SUMIFS(JB_27BV,JB_B,2,JB_W,"Surveillance Ships",JB_RC,"ADD"))/D$48,0)</f>
        <v/>
      </c>
      <c r="E46" s="43">
        <f>IFERROR(1-E47,0)</f>
        <v/>
      </c>
    </row>
    <row r="47" ht="10" customHeight="1">
      <c r="A47" s="30" t="inlineStr">
        <is>
          <t>Modernization</t>
        </is>
      </c>
      <c r="B47" s="43">
        <f>IFERROR((SUMIFS(JB_27BV,JB_B,4,JB_W,"Surface Combatants",JB_RC,"ADD"))/B$48,0)</f>
        <v/>
      </c>
      <c r="C47" s="37">
        <f>IFERROR((SUMIFS(JB_27BV,JB_B,4,JB_W,"Amphibious Warfare Ships",JB_RC,"ADD"))/C$48,0)</f>
        <v/>
      </c>
      <c r="D47" s="37">
        <f>IFERROR((SUMIFS(JB_27BV,JB_B,4,JB_W,"Surveillance Ships",JB_RC,"ADD"))/D$48,0)</f>
        <v/>
      </c>
      <c r="E47" s="43">
        <f>IFERROR((SUMIFS(JB_27BV,JB_B,4,JB_W,"Surface Combatants",JB_RC,"ADD")+SUMIFS(JB_27BV,JB_B,4,JB_W,"Amphibious Warfare Ships",JB_RC,"ADD")+SUMIFS(JB_27BV,JB_B,4,JB_W,"Surveillance Ships",JB_RC,"ADD"))/E$48,0)</f>
        <v/>
      </c>
    </row>
    <row r="48" ht="10" customHeight="1">
      <c r="A48" s="32" t="inlineStr">
        <is>
          <t>Total ($K)</t>
        </is>
      </c>
      <c r="B48" s="44">
        <f>SUMIFS(JB_27BV,JB_B,2,JB_W,"Surface Combatants",JB_RC,"ADD")+SUMIFS(JB_27BV,JB_B,4,JB_W,"Surface Combatants",JB_RC,"ADD")</f>
        <v/>
      </c>
      <c r="C48" s="33">
        <f>SUMIFS(JB_27BV,JB_B,2,JB_W,"Amphibious Warfare Ships",JB_RC,"ADD")+SUMIFS(JB_27BV,JB_B,4,JB_W,"Amphibious Warfare Ships",JB_RC,"ADD")</f>
        <v/>
      </c>
      <c r="D48" s="33">
        <f>SUMIFS(JB_27BV,JB_B,2,JB_W,"Surveillance Ships",JB_RC,"ADD")+SUMIFS(JB_27BV,JB_B,4,JB_W,"Surveillance Ships",JB_RC,"ADD")</f>
        <v/>
      </c>
      <c r="E48" s="44">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06"/>
  <sheetViews>
    <sheetView showGridLines="0" workbookViewId="0">
      <selection activeCell="A1" sqref="A1"/>
    </sheetView>
  </sheetViews>
  <sheetFormatPr baseColWidth="8" defaultRowHeight="15"/>
  <cols>
    <col width="18" customWidth="1" min="1" max="1"/>
    <col width="14" customWidth="1" min="2" max="2"/>
    <col width="24" customWidth="1" min="3" max="3"/>
    <col width="34" customWidth="1" min="4" max="4"/>
    <col width="8.6640625" customWidth="1" min="6" max="6"/>
    <col width="8.6640625" customWidth="1" min="20" max="20"/>
  </cols>
  <sheetData>
    <row r="1" ht="10" customHeight="1">
      <c r="A1" s="51" t="inlineStr">
        <is>
          <t>Validation</t>
        </is>
      </c>
      <c r="B1" s="51" t="n"/>
      <c r="C1" s="51" t="n"/>
      <c r="D1" s="51" t="n"/>
      <c r="E1" s="51" t="n"/>
    </row>
    <row r="2" ht="10" customHeight="1">
      <c r="A2" s="52" t="inlineStr">
        <is>
          <t>Data dictionary and validation rules for the consolidated line-item dataset</t>
        </is>
      </c>
      <c r="B2" s="53" t="n"/>
      <c r="C2" s="53" t="n"/>
      <c r="D2" s="53" t="n"/>
      <c r="E2" s="53" t="n"/>
    </row>
    <row r="3" ht="10" customHeight="1">
      <c r="A3" s="54" t="n"/>
      <c r="B3" s="54" t="n"/>
      <c r="C3" s="54" t="n"/>
      <c r="D3" s="54" t="n"/>
      <c r="E3" s="54" t="n"/>
    </row>
    <row r="4" ht="10" customHeight="1">
      <c r="A4" s="55" t="inlineStr">
        <is>
          <t>Sheet</t>
        </is>
      </c>
      <c r="B4" s="55" t="inlineStr">
        <is>
          <t>Field</t>
        </is>
      </c>
      <c r="C4" s="55" t="inlineStr">
        <is>
          <t>Value</t>
        </is>
      </c>
      <c r="D4" s="55" t="inlineStr">
        <is>
          <t>Description</t>
        </is>
      </c>
      <c r="E4" s="55" t="inlineStr">
        <is>
          <t>Notes</t>
        </is>
      </c>
    </row>
    <row r="5" ht="10" customHeight="1">
      <c r="A5" s="54" t="n"/>
      <c r="B5" s="54" t="n"/>
      <c r="C5" s="54" t="n"/>
      <c r="D5" s="54" t="n"/>
      <c r="E5" s="54" t="n"/>
    </row>
    <row r="6" ht="10" customHeight="1">
      <c r="A6" s="56" t="inlineStr">
        <is>
          <t>ROW TYPES</t>
        </is>
      </c>
      <c r="B6" s="56" t="n"/>
      <c r="C6" s="56" t="n"/>
      <c r="D6" s="57" t="n"/>
      <c r="E6" s="57" t="n"/>
    </row>
    <row r="7" ht="10" customHeight="1">
      <c r="A7" s="58" t="n"/>
      <c r="B7" s="58" t="n"/>
      <c r="C7" s="58" t="n"/>
      <c r="D7" s="58" t="n"/>
      <c r="E7" s="58" t="n"/>
    </row>
    <row r="8" ht="10" customHeight="1">
      <c r="A8" s="58" t="inlineStr">
        <is>
          <t>Row Types</t>
        </is>
      </c>
      <c r="B8" s="58" t="inlineStr">
        <is>
          <t>Tag</t>
        </is>
      </c>
      <c r="C8" s="58" t="inlineStr">
        <is>
          <t>(no tag)</t>
        </is>
      </c>
      <c r="D8" s="58" t="inlineStr">
        <is>
          <t>Additive — safe to sum for TAM totals. This row represents a standalone budget line item whose funding is not double-counted elsewhere in the file.</t>
        </is>
      </c>
      <c r="E8" s="58" t="inlineStr">
        <is>
          <t>TAM = sum of all (no tag) + [PARENT] rows</t>
        </is>
      </c>
    </row>
    <row r="9" ht="10" customHeight="1">
      <c r="A9" s="58" t="inlineStr">
        <is>
          <t>Row Types</t>
        </is>
      </c>
      <c r="B9" s="58" t="inlineStr">
        <is>
          <t>Tag</t>
        </is>
      </c>
      <c r="C9" s="58" t="inlineStr">
        <is>
          <t>[PARENT]</t>
        </is>
      </c>
      <c r="D9" s="58" t="inlineStr">
        <is>
          <t>Parent row whose children carry the detail. The parent holds the aggregate total; its [SUB] children break that total into components.</t>
        </is>
      </c>
      <c r="E9" s="58" t="inlineStr">
        <is>
          <t>Include in TAM sum alongside (no tag). Do NOT also sum the [SUB] children — that would double-count.</t>
        </is>
      </c>
    </row>
    <row r="10" ht="10" customHeight="1">
      <c r="A10" s="58" t="inlineStr">
        <is>
          <t>Row Types</t>
        </is>
      </c>
      <c r="B10" s="58" t="inlineStr">
        <is>
          <t>Tag</t>
        </is>
      </c>
      <c r="C10" s="58" t="inlineStr">
        <is>
          <t>[SUB]</t>
        </is>
      </c>
      <c r="D10" s="58" t="inlineStr">
        <is>
          <t>Sub-item breakdown of a parent. Provides granular detail but double-counts if summed with the parent row.</t>
        </is>
      </c>
      <c r="E10" s="58" t="inlineStr">
        <is>
          <t>Parent Item column points to the parent row (by Line Number and/or Title). Exclude from TAM sum if you are already summing [PARENT].</t>
        </is>
      </c>
    </row>
    <row r="11" ht="10" customHeight="1">
      <c r="A11" s="58" t="inlineStr">
        <is>
          <t>Row Types</t>
        </is>
      </c>
      <c r="B11" s="58" t="inlineStr">
        <is>
          <t>Tag</t>
        </is>
      </c>
      <c r="C11" s="58" t="inlineStr">
        <is>
          <t>[ALT_VIEW]</t>
        </is>
      </c>
      <c r="D11" s="58" t="inlineStr">
        <is>
          <t>Alternative cut of the same money — e.g., availability types vs. individual hulls, or P-5c cost breakdowns vs. P-40 line items.</t>
        </is>
      </c>
      <c r="E11" s="58" t="inlineStr">
        <is>
          <t>Parent Item column indicates what this is an alternative view of. Always exclude from TAM sums.</t>
        </is>
      </c>
    </row>
    <row r="12" ht="10" customHeight="1">
      <c r="A12" s="58" t="inlineStr">
        <is>
          <t>Row Types</t>
        </is>
      </c>
      <c r="B12" s="58" t="inlineStr">
        <is>
          <t>Tag</t>
        </is>
      </c>
      <c r="C12" s="58" t="inlineStr">
        <is>
          <t>[UNFUNDED]</t>
        </is>
      </c>
      <c r="D12" s="58" t="inlineStr">
        <is>
          <t>Deferred maintenance or unfunded requirements — real need identified in the budget justification but NOT included in the enacted/requested funding.</t>
        </is>
      </c>
      <c r="E12" s="58" t="inlineStr">
        <is>
          <t>Exclude from TAM. Useful for gap analysis (funded vs. required).</t>
        </is>
      </c>
    </row>
    <row r="13" ht="10" customHeight="1">
      <c r="A13" s="58" t="inlineStr">
        <is>
          <t>Row Types</t>
        </is>
      </c>
      <c r="B13" s="58" t="inlineStr">
        <is>
          <t>Tag</t>
        </is>
      </c>
      <c r="C13" s="58" t="inlineStr">
        <is>
          <t>[REFERENCE]</t>
        </is>
      </c>
      <c r="D13" s="58" t="inlineStr">
        <is>
          <t>Context data that is not additive — unit costs, O&amp;S program changes, revolving fund notes, weapon system cost tables.</t>
        </is>
      </c>
      <c r="E13" s="58" t="inlineStr">
        <is>
          <t>Exclude from TAM. Included for analytical context only.</t>
        </is>
      </c>
    </row>
    <row r="14" ht="10" customHeight="1">
      <c r="A14" s="54" t="n"/>
      <c r="B14" s="54" t="n"/>
      <c r="C14" s="54" t="n"/>
      <c r="D14" s="54" t="n"/>
      <c r="E14" s="54" t="n"/>
    </row>
    <row r="15" ht="10" customHeight="1">
      <c r="A15" s="56" t="inlineStr">
        <is>
          <t>TAM FORMULA</t>
        </is>
      </c>
      <c r="B15" s="56" t="n"/>
      <c r="C15" s="56" t="n"/>
      <c r="D15" s="57" t="n"/>
      <c r="E15" s="57" t="n"/>
    </row>
    <row r="16" ht="10" customHeight="1">
      <c r="A16" s="58" t="n"/>
      <c r="B16" s="58" t="n"/>
      <c r="C16" s="58" t="n"/>
      <c r="D16" s="58" t="n"/>
      <c r="E16" s="58" t="n"/>
    </row>
    <row r="17" ht="10" customHeight="1">
      <c r="A17" s="58" t="inlineStr">
        <is>
          <t>TAM Formula</t>
        </is>
      </c>
      <c r="B17" s="58" t="inlineStr">
        <is>
          <t>Formula</t>
        </is>
      </c>
      <c r="C17" s="58" t="inlineStr">
        <is>
          <t>FY2026 TAM = SUM(FY2026_Funding_K) WHERE Row_Type IN ('', '[PARENT]')</t>
        </is>
      </c>
      <c r="D17" s="58" t="inlineStr">
        <is>
          <t>Rows with no tag (additive) plus [PARENT] rows give non-overlapping TAM totals. FY2026_Funding_K for each row is selected from the first non-blank column in the priority order below.</t>
        </is>
      </c>
      <c r="E17" s="58" t="inlineStr">
        <is>
          <t>Column priority for per-row FY2026 funding: (1) FY2026_DAA_Enacted_Total_K [col R] first, (2) FY2026_Total_K [col N] if (1) is blank, (3) FY2026_Request_K [col L] if (1) and (2) are blank.</t>
        </is>
      </c>
    </row>
    <row r="18" ht="10" customHeight="1">
      <c r="A18" s="58" t="inlineStr">
        <is>
          <t>TAM Formula</t>
        </is>
      </c>
      <c r="B18" s="58" t="inlineStr">
        <is>
          <t>Note</t>
        </is>
      </c>
      <c r="C18" s="58" t="inlineStr">
        <is>
          <t>Double-counting guard</t>
        </is>
      </c>
      <c r="D18" s="58" t="inlineStr">
        <is>
          <t>Never sum [PARENT] and its [SUB] children together. Never sum [ALT_VIEW] with either [PARENT] or (no tag) rows.</t>
        </is>
      </c>
      <c r="E18" s="58" t="n"/>
    </row>
    <row r="19" ht="10" customHeight="1">
      <c r="A19" s="58" t="inlineStr">
        <is>
          <t>TAM Formula</t>
        </is>
      </c>
      <c r="B19" s="58" t="inlineStr">
        <is>
          <t>Note</t>
        </is>
      </c>
      <c r="C19" s="58" t="inlineStr">
        <is>
          <t>OPN_BA4 convention</t>
        </is>
      </c>
      <c r="D19" s="58" t="inlineStr">
        <is>
          <t>OPN_BA4 has zero (no tag) rows — all items are [PARENT] or [SUB]. TAM for BA4 = sum of [PARENT] rows only.</t>
        </is>
      </c>
      <c r="E19" s="58" t="n"/>
    </row>
    <row r="20" ht="10" customHeight="1">
      <c r="A20" s="58" t="inlineStr">
        <is>
          <t>TAM Formula</t>
        </is>
      </c>
      <c r="B20" s="58" t="inlineStr">
        <is>
          <t>Note</t>
        </is>
      </c>
      <c r="C20" s="58" t="inlineStr">
        <is>
          <t>Cross-book overlap</t>
        </is>
      </c>
      <c r="D20" s="58" t="inlineStr">
        <is>
          <t>NWCF and OMN fund some of the same activities (NWCF is a revolving fund reimbursed by OMN). Use Source_Book to isolate when needed.</t>
        </is>
      </c>
      <c r="E20" s="58" t="n"/>
    </row>
    <row r="21" ht="10" customHeight="1">
      <c r="A21" s="54" t="n"/>
      <c r="B21" s="54" t="n"/>
      <c r="C21" s="54" t="n"/>
      <c r="D21" s="54" t="n"/>
      <c r="E21" s="54" t="n"/>
    </row>
    <row r="22" ht="10" customHeight="1">
      <c r="A22" s="56" t="inlineStr">
        <is>
          <t>BUCKET DEFINITIONS</t>
        </is>
      </c>
      <c r="B22" s="56" t="n"/>
      <c r="C22" s="56" t="n"/>
      <c r="D22" s="57" t="n"/>
      <c r="E22" s="57" t="n"/>
    </row>
    <row r="23" ht="10" customHeight="1">
      <c r="A23" s="58" t="n"/>
      <c r="B23" s="58" t="n"/>
      <c r="C23" s="58" t="n"/>
      <c r="D23" s="58" t="n"/>
      <c r="E23" s="58" t="n"/>
    </row>
    <row r="24" ht="10" customHeight="1">
      <c r="A24" s="58" t="inlineStr">
        <is>
          <t>Buckets</t>
        </is>
      </c>
      <c r="B24" s="58" t="inlineStr">
        <is>
          <t>Bucket #</t>
        </is>
      </c>
      <c r="C24" s="58" t="inlineStr">
        <is>
          <t>1</t>
        </is>
      </c>
      <c r="D24" s="58" t="inlineStr">
        <is>
          <t>New Construction — Design, construction, and delivery of new vessels from detail design through sea trials.</t>
        </is>
      </c>
      <c r="E24" s="58" t="inlineStr">
        <is>
          <t>Primary budget anchors: SCN (Navy), PC&amp;I (USCG). Keywords: DD&amp;C, LLTM, advance procurement.</t>
        </is>
      </c>
    </row>
    <row r="25" ht="10" customHeight="1">
      <c r="A25" s="58" t="inlineStr">
        <is>
          <t>Buckets</t>
        </is>
      </c>
      <c r="B25" s="58" t="inlineStr">
        <is>
          <t>Bucket #</t>
        </is>
      </c>
      <c r="C25" s="58" t="inlineStr">
        <is>
          <t>2</t>
        </is>
      </c>
      <c r="D25" s="58" t="inlineStr">
        <is>
          <t>Scheduled Depot Maintenance &amp; Repair — Planned depot-level work to restore/sustain material condition during CNO-scheduled availabilities.</t>
        </is>
      </c>
      <c r="E25" s="58" t="inlineStr">
        <is>
          <t>Primary budget anchor: O&amp;M,N SAG 1B4B Ship Depot Maintenance. Keywords: DSRA, SRA, DPMA, PMA, PIA, ROH, overhaul, drydock.</t>
        </is>
      </c>
    </row>
    <row r="26" ht="10" customHeight="1">
      <c r="A26" s="58" t="inlineStr">
        <is>
          <t>Buckets</t>
        </is>
      </c>
      <c r="B26" s="58" t="inlineStr">
        <is>
          <t>Bucket #</t>
        </is>
      </c>
      <c r="C26" s="58" t="inlineStr">
        <is>
          <t>3</t>
        </is>
      </c>
      <c r="D26" s="58" t="inlineStr">
        <is>
          <t>Continuous / Intermediate / Emergent Maintenance — Shorter-duration, intermediate-level, continuous, and emergent/casualty work outside the big depot event.</t>
        </is>
      </c>
      <c r="E26" s="58" t="inlineStr">
        <is>
          <t>Keywords: CMAV, WOO, EM, emergent, casualty repair, voyage repair, dockside. Same mission as Bucket 2 but different rhythm.</t>
        </is>
      </c>
    </row>
    <row r="27" ht="10" customHeight="1">
      <c r="A27" s="58" t="inlineStr">
        <is>
          <t>Buckets</t>
        </is>
      </c>
      <c r="B27" s="58" t="inlineStr">
        <is>
          <t>Bucket #</t>
        </is>
      </c>
      <c r="C27" s="58" t="inlineStr">
        <is>
          <t>4</t>
        </is>
      </c>
      <c r="D27" s="58" t="inlineStr">
        <is>
          <t>Modernization &amp; Alteration Installation — Work that changes configuration or adds capability beyond restore-only repair. Funded primarily through procurement.</t>
        </is>
      </c>
      <c r="E27" s="58" t="inlineStr">
        <is>
          <t>Primary budget anchors: OPN P-40 line items (DDG Mod, CG Mod, LCS Mod, etc.). Keywords: SHIPALT, ORDALT, MACHALT, tech refresh, backfit, retrofit.</t>
        </is>
      </c>
    </row>
    <row r="28" ht="10" customHeight="1">
      <c r="A28" s="58" t="inlineStr">
        <is>
          <t>Buckets</t>
        </is>
      </c>
      <c r="B28" s="58" t="inlineStr">
        <is>
          <t>Bucket #</t>
        </is>
      </c>
      <c r="C28" s="58" t="inlineStr">
        <is>
          <t>5</t>
        </is>
      </c>
      <c r="D28" s="58" t="inlineStr">
        <is>
          <t>Major Life-Cycle Events / SLEP / MMA / RCOH — Multi-year platform- or class-scale recapitalization that gets its own budget line.</t>
        </is>
      </c>
      <c r="E28" s="58" t="inlineStr">
        <is>
          <t>Keywords: RCOH, EOH, SLEP, MMA, midlife. Separate from routine depot maintenance (Bucket 2).</t>
        </is>
      </c>
    </row>
    <row r="29" ht="10" customHeight="1">
      <c r="A29" s="58" t="inlineStr">
        <is>
          <t>Buckets</t>
        </is>
      </c>
      <c r="B29" s="58" t="inlineStr">
        <is>
          <t>Bucket #</t>
        </is>
      </c>
      <c r="C29" s="58" t="inlineStr">
        <is>
          <t>6</t>
        </is>
      </c>
      <c r="D29" s="58" t="inlineStr">
        <is>
          <t>Sustainment Engineering / Planning / Obsolescence Support — Engineering, planning, DMSMS/obsolescence, and program support for in-service vessels.</t>
        </is>
      </c>
      <c r="E29" s="58" t="inlineStr">
        <is>
          <t>Primary budget anchor: O&amp;M,N SAG 1B5B Ship Depot Operations Support. Also includes OPN spares (BA08). Keywords: SETA, DMSMS, survey &amp; design.</t>
        </is>
      </c>
    </row>
    <row r="30" ht="10" customHeight="1">
      <c r="A30" s="58" t="inlineStr">
        <is>
          <t>Buckets</t>
        </is>
      </c>
      <c r="B30" s="58" t="inlineStr">
        <is>
          <t>Bucket #</t>
        </is>
      </c>
      <c r="C30" s="58" t="inlineStr">
        <is>
          <t>7</t>
        </is>
      </c>
      <c r="D30" s="58" t="inlineStr">
        <is>
          <t>Availability Support / Husbanding / Port Services — Services that enable repair/modernization but are not themselves repair or upgrade work.</t>
        </is>
      </c>
      <c r="E30" s="58" t="inlineStr">
        <is>
          <t>Keywords: husbanding, pilot, tug, berthing, crane, shore power, scaffolding, environmental. Adjacent to MRO, not core MRO.</t>
        </is>
      </c>
    </row>
    <row r="31" ht="10" customHeight="1">
      <c r="A31" s="54" t="n"/>
      <c r="B31" s="54" t="n"/>
      <c r="C31" s="54" t="n"/>
      <c r="D31" s="54" t="n"/>
      <c r="E31" s="54" t="n"/>
    </row>
    <row r="32" ht="10" customHeight="1">
      <c r="A32" s="56" t="inlineStr">
        <is>
          <t>BUCKET 1 SUB-CATEGORIES</t>
        </is>
      </c>
      <c r="B32" s="56" t="n"/>
      <c r="C32" s="56" t="n"/>
      <c r="D32" s="57" t="n"/>
      <c r="E32" s="57" t="n"/>
    </row>
    <row r="33" ht="10" customHeight="1">
      <c r="A33" s="58" t="n"/>
      <c r="B33" s="58" t="n"/>
      <c r="C33" s="58" t="n"/>
      <c r="D33" s="58" t="n"/>
      <c r="E33" s="58" t="n"/>
    </row>
    <row r="34" ht="10" customHeight="1">
      <c r="A34" s="58" t="inlineStr">
        <is>
          <t>Bucket 1 Subs</t>
        </is>
      </c>
      <c r="B34" s="58" t="inlineStr">
        <is>
          <t>Sub-Category</t>
        </is>
      </c>
      <c r="C34" s="58" t="inlineStr">
        <is>
          <t>Full ship DD&amp;C</t>
        </is>
      </c>
      <c r="D34" s="58" t="inlineStr">
        <is>
          <t>Detail design and construction of a complete vessel.</t>
        </is>
      </c>
      <c r="E34" s="58" t="inlineStr">
        <is>
          <t>Examples: DDG-51, FFG-62, CVN-79, LPD, LHA, T-AO, OPC, FRC, PSC</t>
        </is>
      </c>
    </row>
    <row r="35" ht="10" customHeight="1">
      <c r="A35" s="58" t="inlineStr">
        <is>
          <t>Bucket 1 Subs</t>
        </is>
      </c>
      <c r="B35" s="58" t="inlineStr">
        <is>
          <t>Sub-Category</t>
        </is>
      </c>
      <c r="C35" s="58" t="inlineStr">
        <is>
          <t>Advance procurement / LLTM</t>
        </is>
      </c>
      <c r="D35" s="58" t="inlineStr">
        <is>
          <t>Long-lead time material and advance procurement funded 1-2 years ahead of DD&amp;C.</t>
        </is>
      </c>
      <c r="E35" s="58" t="inlineStr">
        <is>
          <t>Examples: reactor components, propulsion equipment, combat system long-lead items</t>
        </is>
      </c>
    </row>
    <row r="36" ht="10" customHeight="1">
      <c r="A36" s="58" t="inlineStr">
        <is>
          <t>Bucket 1 Subs</t>
        </is>
      </c>
      <c r="B36" s="58" t="inlineStr">
        <is>
          <t>Sub-Category</t>
        </is>
      </c>
      <c r="C36" s="58" t="inlineStr">
        <is>
          <t>Construction engineering / planning yard</t>
        </is>
      </c>
      <c r="D36" s="58" t="inlineStr">
        <is>
          <t>Lead yard support, planning yard services, and design completion work.</t>
        </is>
      </c>
      <c r="E36" s="58" t="inlineStr">
        <is>
          <t>Examples: EB submarine planning yard, Columbia design completion</t>
        </is>
      </c>
    </row>
    <row r="37" ht="10" customHeight="1">
      <c r="A37" s="58" t="inlineStr">
        <is>
          <t>Bucket 1 Subs</t>
        </is>
      </c>
      <c r="B37" s="58" t="inlineStr">
        <is>
          <t>Sub-Category</t>
        </is>
      </c>
      <c r="C37" s="58" t="inlineStr">
        <is>
          <t>GFE / combat systems for newbuild</t>
        </is>
      </c>
      <c r="D37" s="58" t="inlineStr">
        <is>
          <t>Government-furnished equipment / combat systems procured separately from hull construction (via OPN or RDT&amp;E).</t>
        </is>
      </c>
      <c r="E37" s="58" t="inlineStr">
        <is>
          <t>Funded through OPN, not SCN — but supports new construction.</t>
        </is>
      </c>
    </row>
    <row r="38" ht="10" customHeight="1">
      <c r="A38" s="54" t="n"/>
      <c r="B38" s="54" t="n"/>
      <c r="C38" s="54" t="n"/>
      <c r="D38" s="54" t="n"/>
      <c r="E38" s="54" t="n"/>
    </row>
    <row r="39" ht="10" customHeight="1">
      <c r="A39" s="56" t="inlineStr">
        <is>
          <t>VESSEL SERVICE, CATEGORY, TYPE &amp; HULL TAXONOMY</t>
        </is>
      </c>
      <c r="B39" s="56" t="n"/>
      <c r="C39" s="56" t="n"/>
      <c r="D39" s="57" t="n"/>
      <c r="E39" s="57" t="n"/>
    </row>
    <row r="40" ht="10" customHeight="1">
      <c r="A40" s="58" t="n"/>
      <c r="B40" s="58" t="n"/>
      <c r="C40" s="58" t="n"/>
      <c r="D40" s="58" t="n"/>
      <c r="E40" s="58" t="n"/>
    </row>
    <row r="41" ht="10" customHeight="1">
      <c r="A41" s="58" t="inlineStr">
        <is>
          <t>Vessel Taxonomy</t>
        </is>
      </c>
      <c r="B41" s="58" t="inlineStr">
        <is>
          <t>Service</t>
        </is>
      </c>
      <c r="C41" s="58" t="inlineStr">
        <is>
          <t>USN</t>
        </is>
      </c>
      <c r="D41" s="58" t="inlineStr">
        <is>
          <t>United States Navy — commissioned warships and support craft with Navy crews.</t>
        </is>
      </c>
      <c r="E41" s="58" t="n"/>
    </row>
    <row r="42" ht="10" customHeight="1">
      <c r="A42" s="58" t="n"/>
      <c r="B42" s="58" t="n"/>
      <c r="C42" s="58" t="n"/>
      <c r="D42" s="58" t="n"/>
      <c r="E42" s="58" t="n"/>
    </row>
    <row r="43" ht="10" customHeight="1">
      <c r="A43" s="58" t="inlineStr">
        <is>
          <t>Vessel Taxonomy</t>
        </is>
      </c>
      <c r="B43" s="58" t="inlineStr">
        <is>
          <t>Category</t>
        </is>
      </c>
      <c r="C43" s="58" t="inlineStr">
        <is>
          <t>Combatant Ships</t>
        </is>
      </c>
      <c r="D43" s="58" t="inlineStr">
        <is>
          <t>Warships and other combatant vessels — the core fighting and logistics fleet.</t>
        </is>
      </c>
      <c r="E43" s="58" t="n"/>
    </row>
    <row r="44" ht="10" customHeight="1">
      <c r="A44" s="58" t="inlineStr">
        <is>
          <t>Vessel Taxonomy</t>
        </is>
      </c>
      <c r="B44" s="58" t="inlineStr">
        <is>
          <t>Type</t>
        </is>
      </c>
      <c r="C44" s="58" t="inlineStr">
        <is>
          <t>Aircraft Carriers</t>
        </is>
      </c>
      <c r="D44" s="58" t="inlineStr">
        <is>
          <t>Nuclear-powered aircraft carriers</t>
        </is>
      </c>
      <c r="E44" s="58" t="inlineStr">
        <is>
          <t>Hulls: CVN</t>
        </is>
      </c>
    </row>
    <row r="45" ht="10" customHeight="1">
      <c r="A45" s="58" t="inlineStr">
        <is>
          <t>Vessel Taxonomy</t>
        </is>
      </c>
      <c r="B45" s="58" t="inlineStr">
        <is>
          <t>Type</t>
        </is>
      </c>
      <c r="C45" s="58" t="inlineStr">
        <is>
          <t>Surface Combatants</t>
        </is>
      </c>
      <c r="D45" s="58" t="inlineStr">
        <is>
          <t>Guided-missile cruisers, destroyers, frigates, littoral combat ships</t>
        </is>
      </c>
      <c r="E45" s="58" t="inlineStr">
        <is>
          <t>Hulls: CG, DDG, FFG, LCS</t>
        </is>
      </c>
    </row>
    <row r="46" ht="10" customHeight="1">
      <c r="A46" s="58" t="inlineStr">
        <is>
          <t>Vessel Taxonomy</t>
        </is>
      </c>
      <c r="B46" s="58" t="inlineStr">
        <is>
          <t>Type</t>
        </is>
      </c>
      <c r="C46" s="58" t="inlineStr">
        <is>
          <t>Submarines</t>
        </is>
      </c>
      <c r="D46" s="58" t="inlineStr">
        <is>
          <t>Attack submarines, ballistic missile submarines, guided-missile submarines</t>
        </is>
      </c>
      <c r="E46" s="58" t="inlineStr">
        <is>
          <t>Hulls: SSN, SSBN, SSGN</t>
        </is>
      </c>
    </row>
    <row r="47" ht="10" customHeight="1">
      <c r="A47" s="58" t="inlineStr">
        <is>
          <t>Vessel Taxonomy</t>
        </is>
      </c>
      <c r="B47" s="58" t="inlineStr">
        <is>
          <t>Type</t>
        </is>
      </c>
      <c r="C47" s="58" t="inlineStr">
        <is>
          <t>Amphibious Warfare Ships</t>
        </is>
      </c>
      <c r="D47" s="58" t="inlineStr">
        <is>
          <t>Amphibious assault ships and transport docks</t>
        </is>
      </c>
      <c r="E47" s="58" t="inlineStr">
        <is>
          <t>Hulls: LHA, LHD, LPD, LSD</t>
        </is>
      </c>
    </row>
    <row r="48" ht="10" customHeight="1">
      <c r="A48" s="58" t="inlineStr">
        <is>
          <t>Vessel Taxonomy</t>
        </is>
      </c>
      <c r="B48" s="58" t="inlineStr">
        <is>
          <t>Type</t>
        </is>
      </c>
      <c r="C48" s="58" t="inlineStr">
        <is>
          <t>Mine Warfare</t>
        </is>
      </c>
      <c r="D48" s="58" t="inlineStr">
        <is>
          <t>Mine countermeasure ships</t>
        </is>
      </c>
      <c r="E48" s="58" t="inlineStr">
        <is>
          <t>Hulls: MCM</t>
        </is>
      </c>
    </row>
    <row r="49" ht="10" customHeight="1">
      <c r="A49" s="58" t="inlineStr">
        <is>
          <t>Vessel Taxonomy</t>
        </is>
      </c>
      <c r="B49" s="58" t="inlineStr">
        <is>
          <t>Type</t>
        </is>
      </c>
      <c r="C49" s="58" t="inlineStr">
        <is>
          <t>Combat Logistics Ships</t>
        </is>
      </c>
      <c r="D49" s="58" t="inlineStr">
        <is>
          <t>Oilers, ammunition ships, dry cargo/ammunition ships</t>
        </is>
      </c>
      <c r="E49" s="58" t="inlineStr">
        <is>
          <t>Hulls: AO, AOE, AOL, AKE</t>
        </is>
      </c>
    </row>
    <row r="50" ht="10" customHeight="1">
      <c r="A50" s="58" t="inlineStr">
        <is>
          <t>Vessel Taxonomy</t>
        </is>
      </c>
      <c r="B50" s="58" t="inlineStr">
        <is>
          <t>Type</t>
        </is>
      </c>
      <c r="C50" s="58" t="inlineStr">
        <is>
          <t>Command Ships</t>
        </is>
      </c>
      <c r="D50" s="58" t="inlineStr">
        <is>
          <t>Afloat command and control platforms</t>
        </is>
      </c>
      <c r="E50" s="58" t="inlineStr">
        <is>
          <t>Hulls: LCC</t>
        </is>
      </c>
    </row>
    <row r="51" ht="10" customHeight="1">
      <c r="A51" s="58" t="inlineStr">
        <is>
          <t>Vessel Taxonomy</t>
        </is>
      </c>
      <c r="B51" s="58" t="inlineStr">
        <is>
          <t>Type</t>
        </is>
      </c>
      <c r="C51" s="58" t="inlineStr">
        <is>
          <t>Material Support Ships</t>
        </is>
      </c>
      <c r="D51" s="58" t="inlineStr">
        <is>
          <t>Submarine tenders</t>
        </is>
      </c>
      <c r="E51" s="58" t="inlineStr">
        <is>
          <t>Hulls: AS</t>
        </is>
      </c>
    </row>
    <row r="52" ht="10" customHeight="1">
      <c r="A52" s="58" t="inlineStr">
        <is>
          <t>Vessel Taxonomy</t>
        </is>
      </c>
      <c r="B52" s="58" t="inlineStr">
        <is>
          <t>Type</t>
        </is>
      </c>
      <c r="C52" s="58" t="inlineStr">
        <is>
          <t>Surveillance Ships</t>
        </is>
      </c>
      <c r="D52" s="58" t="inlineStr">
        <is>
          <t>Ocean surveillance ships</t>
        </is>
      </c>
      <c r="E52" s="58" t="inlineStr">
        <is>
          <t>Hulls: AGOS</t>
        </is>
      </c>
    </row>
    <row r="53" ht="10" customHeight="1">
      <c r="A53" s="58" t="inlineStr">
        <is>
          <t>Vessel Taxonomy</t>
        </is>
      </c>
      <c r="B53" s="58" t="inlineStr">
        <is>
          <t>Type</t>
        </is>
      </c>
      <c r="C53" s="58" t="inlineStr">
        <is>
          <t>Salvage Ships &amp; Fleet Ocean Tugs</t>
        </is>
      </c>
      <c r="D53" s="58" t="inlineStr">
        <is>
          <t>Rescue/salvage ships and fleet tugs</t>
        </is>
      </c>
      <c r="E53" s="58" t="inlineStr">
        <is>
          <t>Hulls: ARS, ATF, ATS</t>
        </is>
      </c>
    </row>
    <row r="54" ht="10" customHeight="1">
      <c r="A54" s="58" t="inlineStr">
        <is>
          <t>Vessel Taxonomy</t>
        </is>
      </c>
      <c r="B54" s="58" t="inlineStr">
        <is>
          <t>Type</t>
        </is>
      </c>
      <c r="C54" s="58" t="inlineStr">
        <is>
          <t>Expeditionary &amp; Seabasing Ships</t>
        </is>
      </c>
      <c r="D54" s="58" t="inlineStr">
        <is>
          <t>Expeditionary fast transports, sea bases, medium landing ships</t>
        </is>
      </c>
      <c r="E54" s="58" t="inlineStr">
        <is>
          <t>Hulls: EPF, ESB, ESD, LSM</t>
        </is>
      </c>
    </row>
    <row r="55" ht="10" customHeight="1">
      <c r="A55" s="58" t="n"/>
      <c r="B55" s="58" t="n"/>
      <c r="C55" s="58" t="n"/>
      <c r="D55" s="58" t="n"/>
      <c r="E55" s="58" t="n"/>
    </row>
    <row r="56" ht="10" customHeight="1">
      <c r="A56" s="58" t="inlineStr">
        <is>
          <t>Vessel Taxonomy</t>
        </is>
      </c>
      <c r="B56" s="58" t="inlineStr">
        <is>
          <t>Category</t>
        </is>
      </c>
      <c r="C56" s="58" t="inlineStr">
        <is>
          <t>Auxiliary Ships</t>
        </is>
      </c>
      <c r="D56" s="58" t="inlineStr">
        <is>
          <t>Non-combatant support vessels — research, cargo, hospital, and special-purpose ships.</t>
        </is>
      </c>
      <c r="E56" s="58" t="n"/>
    </row>
    <row r="57" ht="10" customHeight="1">
      <c r="A57" s="58" t="inlineStr">
        <is>
          <t>Vessel Taxonomy</t>
        </is>
      </c>
      <c r="B57" s="58" t="inlineStr">
        <is>
          <t>Type</t>
        </is>
      </c>
      <c r="C57" s="58" t="inlineStr">
        <is>
          <t>Crane Ship</t>
        </is>
      </c>
      <c r="D57" s="58" t="inlineStr">
        <is>
          <t>Floating crane ship</t>
        </is>
      </c>
      <c r="E57" s="58" t="inlineStr">
        <is>
          <t>Hulls: ACS</t>
        </is>
      </c>
    </row>
    <row r="58" ht="10" customHeight="1">
      <c r="A58" s="58" t="inlineStr">
        <is>
          <t>Vessel Taxonomy</t>
        </is>
      </c>
      <c r="B58" s="58" t="inlineStr">
        <is>
          <t>Type</t>
        </is>
      </c>
      <c r="C58" s="58" t="inlineStr">
        <is>
          <t>General Auxiliary</t>
        </is>
      </c>
      <c r="D58" s="58" t="inlineStr">
        <is>
          <t>Multi-purpose auxiliary vessels</t>
        </is>
      </c>
      <c r="E58" s="58" t="inlineStr">
        <is>
          <t>Hulls: AG</t>
        </is>
      </c>
    </row>
    <row r="59" ht="10" customHeight="1">
      <c r="A59" s="58" t="inlineStr">
        <is>
          <t>Vessel Taxonomy</t>
        </is>
      </c>
      <c r="B59" s="58" t="inlineStr">
        <is>
          <t>Type</t>
        </is>
      </c>
      <c r="C59" s="58" t="inlineStr">
        <is>
          <t>Research, Survey &amp; Instrumentation Ships</t>
        </is>
      </c>
      <c r="D59" s="58" t="inlineStr">
        <is>
          <t>Oceanographic and survey ships</t>
        </is>
      </c>
      <c r="E59" s="58" t="inlineStr">
        <is>
          <t>Hulls: AGM, AGOR, AGS</t>
        </is>
      </c>
    </row>
    <row r="60" ht="10" customHeight="1">
      <c r="A60" s="58" t="inlineStr">
        <is>
          <t>Vessel Taxonomy</t>
        </is>
      </c>
      <c r="B60" s="58" t="inlineStr">
        <is>
          <t>Type</t>
        </is>
      </c>
      <c r="C60" s="58" t="inlineStr">
        <is>
          <t>Hospital Ship</t>
        </is>
      </c>
      <c r="D60" s="58" t="inlineStr">
        <is>
          <t>Hospital ships</t>
        </is>
      </c>
      <c r="E60" s="58" t="inlineStr">
        <is>
          <t>Hulls: AH</t>
        </is>
      </c>
    </row>
    <row r="61" ht="10" customHeight="1">
      <c r="A61" s="58" t="inlineStr">
        <is>
          <t>Vessel Taxonomy</t>
        </is>
      </c>
      <c r="B61" s="58" t="inlineStr">
        <is>
          <t>Type</t>
        </is>
      </c>
      <c r="C61" s="58" t="inlineStr">
        <is>
          <t>Cargo &amp; Vehicle Cargo Ships</t>
        </is>
      </c>
      <c r="D61" s="58" t="inlineStr">
        <is>
          <t>Cargo and vehicle transport ships</t>
        </is>
      </c>
      <c r="E61" s="58" t="inlineStr">
        <is>
          <t>Hulls: AK, AKR</t>
        </is>
      </c>
    </row>
    <row r="62" ht="10" customHeight="1">
      <c r="A62" s="58" t="inlineStr">
        <is>
          <t>Vessel Taxonomy</t>
        </is>
      </c>
      <c r="B62" s="58" t="inlineStr">
        <is>
          <t>Type</t>
        </is>
      </c>
      <c r="C62" s="58" t="inlineStr">
        <is>
          <t>Transport Oiler</t>
        </is>
      </c>
      <c r="D62" s="58" t="inlineStr">
        <is>
          <t>Transport oilers</t>
        </is>
      </c>
      <c r="E62" s="58" t="inlineStr">
        <is>
          <t>Hulls: AOT</t>
        </is>
      </c>
    </row>
    <row r="63" ht="10" customHeight="1">
      <c r="A63" s="58" t="inlineStr">
        <is>
          <t>Vessel Taxonomy</t>
        </is>
      </c>
      <c r="B63" s="58" t="inlineStr">
        <is>
          <t>Type</t>
        </is>
      </c>
      <c r="C63" s="58" t="inlineStr">
        <is>
          <t>Cable Repairing Ship</t>
        </is>
      </c>
      <c r="D63" s="58" t="inlineStr">
        <is>
          <t>Submarine cable repair ships</t>
        </is>
      </c>
      <c r="E63" s="58" t="inlineStr">
        <is>
          <t>Hulls: ARC</t>
        </is>
      </c>
    </row>
    <row r="64" ht="10" customHeight="1">
      <c r="A64" s="58" t="inlineStr">
        <is>
          <t>Vessel Taxonomy</t>
        </is>
      </c>
      <c r="B64" s="58" t="inlineStr">
        <is>
          <t>Type</t>
        </is>
      </c>
      <c r="C64" s="58" t="inlineStr">
        <is>
          <t>Aviation Logistics Support Ship</t>
        </is>
      </c>
      <c r="D64" s="58" t="inlineStr">
        <is>
          <t>Aviation support ships</t>
        </is>
      </c>
      <c r="E64" s="58" t="inlineStr">
        <is>
          <t>Hulls: AVB</t>
        </is>
      </c>
    </row>
    <row r="65" ht="10" customHeight="1">
      <c r="A65" s="58" t="inlineStr">
        <is>
          <t>Vessel Taxonomy</t>
        </is>
      </c>
      <c r="B65" s="58" t="inlineStr">
        <is>
          <t>Type</t>
        </is>
      </c>
      <c r="C65" s="58" t="inlineStr">
        <is>
          <t>High Speed Transport</t>
        </is>
      </c>
      <c r="D65" s="58" t="inlineStr">
        <is>
          <t>High speed transports</t>
        </is>
      </c>
      <c r="E65" s="58" t="inlineStr">
        <is>
          <t>Hulls: HST</t>
        </is>
      </c>
    </row>
    <row r="66" ht="10" customHeight="1">
      <c r="A66" s="58" t="inlineStr">
        <is>
          <t>Vessel Taxonomy</t>
        </is>
      </c>
      <c r="B66" s="58" t="inlineStr">
        <is>
          <t>Type</t>
        </is>
      </c>
      <c r="C66" s="58" t="inlineStr">
        <is>
          <t>Submarine Escort Ship</t>
        </is>
      </c>
      <c r="D66" s="58" t="inlineStr">
        <is>
          <t>Submarine escort/support vessels</t>
        </is>
      </c>
      <c r="E66" s="58" t="inlineStr">
        <is>
          <t>Hulls: AGSE</t>
        </is>
      </c>
    </row>
    <row r="67" ht="10" customHeight="1">
      <c r="A67" s="58" t="inlineStr">
        <is>
          <t>Vessel Taxonomy</t>
        </is>
      </c>
      <c r="B67" s="58" t="inlineStr">
        <is>
          <t>Type</t>
        </is>
      </c>
      <c r="C67" s="58" t="inlineStr">
        <is>
          <t>USS Constitution</t>
        </is>
      </c>
      <c r="D67" s="58" t="inlineStr">
        <is>
          <t>Historic warship — not operationally classified</t>
        </is>
      </c>
      <c r="E67" s="58" t="inlineStr">
        <is>
          <t>Hulls: None</t>
        </is>
      </c>
    </row>
    <row r="68" ht="10" customHeight="1">
      <c r="A68" s="58" t="n"/>
      <c r="B68" s="58" t="n"/>
      <c r="C68" s="58" t="n"/>
      <c r="D68" s="58" t="n"/>
      <c r="E68" s="58" t="n"/>
    </row>
    <row r="69" ht="10" customHeight="1">
      <c r="A69" s="58" t="inlineStr">
        <is>
          <t>Vessel Taxonomy</t>
        </is>
      </c>
      <c r="B69" s="58" t="inlineStr">
        <is>
          <t>Category</t>
        </is>
      </c>
      <c r="C69" s="58" t="inlineStr">
        <is>
          <t>Combatant Crafts</t>
        </is>
      </c>
      <c r="D69" s="58" t="inlineStr">
        <is>
          <t>Smaller combatant craft — patrol, landing, and special warfare.</t>
        </is>
      </c>
      <c r="E69" s="58" t="n"/>
    </row>
    <row r="70" ht="10" customHeight="1">
      <c r="A70" s="58" t="inlineStr">
        <is>
          <t>Vessel Taxonomy</t>
        </is>
      </c>
      <c r="B70" s="58" t="inlineStr">
        <is>
          <t>Type</t>
        </is>
      </c>
      <c r="C70" s="58" t="inlineStr">
        <is>
          <t>Patrol Combatant</t>
        </is>
      </c>
      <c r="D70" s="58" t="inlineStr">
        <is>
          <t>Coastal patrol craft</t>
        </is>
      </c>
      <c r="E70" s="58" t="inlineStr">
        <is>
          <t>Hulls: PC</t>
        </is>
      </c>
    </row>
    <row r="71" ht="10" customHeight="1">
      <c r="A71" s="58" t="inlineStr">
        <is>
          <t>Vessel Taxonomy</t>
        </is>
      </c>
      <c r="B71" s="58" t="inlineStr">
        <is>
          <t>Type</t>
        </is>
      </c>
      <c r="C71" s="58" t="inlineStr">
        <is>
          <t>Amphibious Warfare Craft</t>
        </is>
      </c>
      <c r="D71" s="58" t="inlineStr">
        <is>
          <t>Landing craft — air cushion and utility</t>
        </is>
      </c>
      <c r="E71" s="58" t="inlineStr">
        <is>
          <t>Hulls: LCAC, LCU</t>
        </is>
      </c>
    </row>
    <row r="72" ht="10" customHeight="1">
      <c r="A72" s="58" t="inlineStr">
        <is>
          <t>Vessel Taxonomy</t>
        </is>
      </c>
      <c r="B72" s="58" t="inlineStr">
        <is>
          <t>Type</t>
        </is>
      </c>
      <c r="C72" s="58" t="inlineStr">
        <is>
          <t>Patrol Boats</t>
        </is>
      </c>
      <c r="D72" s="58" t="inlineStr">
        <is>
          <t>Various patrol boats by length</t>
        </is>
      </c>
      <c r="E72" s="58" t="inlineStr">
        <is>
          <t>Hulls: 36PB, 64PB, 87PB</t>
        </is>
      </c>
    </row>
    <row r="73" ht="10" customHeight="1">
      <c r="A73" s="58" t="inlineStr">
        <is>
          <t>Vessel Taxonomy</t>
        </is>
      </c>
      <c r="B73" s="58" t="inlineStr">
        <is>
          <t>Type</t>
        </is>
      </c>
      <c r="C73" s="58" t="inlineStr">
        <is>
          <t>Special Warfare Craft</t>
        </is>
      </c>
      <c r="D73" s="58" t="inlineStr">
        <is>
          <t>Naval Special Warfare craft and swimmer delivery vehicles</t>
        </is>
      </c>
      <c r="E73" s="58" t="inlineStr">
        <is>
          <t>Hulls: DSB, CCA, CCM, CCH, NSW RHIB, SDV, SWCS, SSC</t>
        </is>
      </c>
    </row>
    <row r="74" ht="10" customHeight="1">
      <c r="A74" s="58" t="n"/>
      <c r="B74" s="58" t="n"/>
      <c r="C74" s="58" t="n"/>
      <c r="D74" s="58" t="n"/>
      <c r="E74" s="58" t="n"/>
    </row>
    <row r="75" ht="10" customHeight="1">
      <c r="A75" s="58" t="inlineStr">
        <is>
          <t>Vessel Taxonomy</t>
        </is>
      </c>
      <c r="B75" s="58" t="inlineStr">
        <is>
          <t>Category</t>
        </is>
      </c>
      <c r="C75" s="58" t="inlineStr">
        <is>
          <t>Unmanned Maritime Platforms</t>
        </is>
      </c>
      <c r="D75" s="58" t="inlineStr">
        <is>
          <t>Unmanned surface and undersea vehicles.</t>
        </is>
      </c>
      <c r="E75" s="58" t="n"/>
    </row>
    <row r="76" ht="10" customHeight="1">
      <c r="A76" s="58" t="inlineStr">
        <is>
          <t>Vessel Taxonomy</t>
        </is>
      </c>
      <c r="B76" s="58" t="inlineStr">
        <is>
          <t>Type</t>
        </is>
      </c>
      <c r="C76" s="58" t="inlineStr">
        <is>
          <t>Unmanned Surface Vehicles</t>
        </is>
      </c>
      <c r="D76" s="58" t="inlineStr">
        <is>
          <t>Large, medium, small, and very small unmanned surface vehicles</t>
        </is>
      </c>
      <c r="E76" s="58" t="inlineStr">
        <is>
          <t>Hulls: LUSV, MUSV, SUSV, VSUSV</t>
        </is>
      </c>
    </row>
    <row r="77" ht="10" customHeight="1">
      <c r="A77" s="58" t="inlineStr">
        <is>
          <t>Vessel Taxonomy</t>
        </is>
      </c>
      <c r="B77" s="58" t="inlineStr">
        <is>
          <t>Type</t>
        </is>
      </c>
      <c r="C77" s="58" t="inlineStr">
        <is>
          <t>Unmanned Undersea Vehicles</t>
        </is>
      </c>
      <c r="D77" s="58" t="inlineStr">
        <is>
          <t>Extra-large, large, medium, and small unmanned undersea vehicles</t>
        </is>
      </c>
      <c r="E77" s="58" t="inlineStr">
        <is>
          <t>Hulls: XLUUV, LUUV, MUUV, SUUV</t>
        </is>
      </c>
    </row>
    <row r="78" ht="10" customHeight="1">
      <c r="A78" s="58" t="n"/>
      <c r="B78" s="58" t="n"/>
      <c r="C78" s="58" t="n"/>
      <c r="D78" s="58" t="n"/>
      <c r="E78" s="58" t="n"/>
    </row>
    <row r="79" ht="10" customHeight="1">
      <c r="A79" s="58" t="inlineStr">
        <is>
          <t>Vessel Taxonomy</t>
        </is>
      </c>
      <c r="B79" s="58" t="inlineStr">
        <is>
          <t>Category</t>
        </is>
      </c>
      <c r="C79" s="58" t="inlineStr">
        <is>
          <t>Support Crafts</t>
        </is>
      </c>
      <c r="D79" s="58" t="inlineStr">
        <is>
          <t>Yard craft, barges, tugs, and harbor support vessels.</t>
        </is>
      </c>
      <c r="E79" s="58" t="n"/>
    </row>
    <row r="80" ht="10" customHeight="1">
      <c r="A80" s="58" t="inlineStr">
        <is>
          <t>Vessel Taxonomy</t>
        </is>
      </c>
      <c r="B80" s="58" t="inlineStr">
        <is>
          <t>Type</t>
        </is>
      </c>
      <c r="C80" s="58" t="inlineStr">
        <is>
          <t>Dry Docks</t>
        </is>
      </c>
      <c r="D80" s="58" t="inlineStr">
        <is>
          <t>Floating dry docks</t>
        </is>
      </c>
      <c r="E80" s="58" t="inlineStr">
        <is>
          <t>Hulls: AFDL, ARDM, AFDM</t>
        </is>
      </c>
    </row>
    <row r="81" ht="10" customHeight="1">
      <c r="A81" s="58" t="inlineStr">
        <is>
          <t>Vessel Taxonomy</t>
        </is>
      </c>
      <c r="B81" s="58" t="inlineStr">
        <is>
          <t>Type</t>
        </is>
      </c>
      <c r="C81" s="58" t="inlineStr">
        <is>
          <t>Harbor Tugs</t>
        </is>
      </c>
      <c r="D81" s="58" t="inlineStr">
        <is>
          <t>Yard and harbor tugboats</t>
        </is>
      </c>
      <c r="E81" s="58" t="inlineStr">
        <is>
          <t>Hulls: YT, YTB, YTL</t>
        </is>
      </c>
    </row>
    <row r="82" ht="10" customHeight="1">
      <c r="A82" s="58" t="inlineStr">
        <is>
          <t>Vessel Taxonomy</t>
        </is>
      </c>
      <c r="B82" s="58" t="inlineStr">
        <is>
          <t>Type</t>
        </is>
      </c>
      <c r="C82" s="58" t="inlineStr">
        <is>
          <t>Lighters &amp; Barges</t>
        </is>
      </c>
      <c r="D82" s="58" t="inlineStr">
        <is>
          <t>Non-self-propelled barges and lighters</t>
        </is>
      </c>
      <c r="E82" s="58" t="inlineStr">
        <is>
          <t>Hulls: YC, YCV, YFN, YFNX, YFNB, YON, YOS, YWN, YWO</t>
        </is>
      </c>
    </row>
    <row r="83" ht="10" customHeight="1">
      <c r="A83" s="58" t="inlineStr">
        <is>
          <t>Vessel Taxonomy</t>
        </is>
      </c>
      <c r="B83" s="58" t="inlineStr">
        <is>
          <t>Type</t>
        </is>
      </c>
      <c r="C83" s="58" t="inlineStr">
        <is>
          <t>Other Craft, Self-Propelled</t>
        </is>
      </c>
      <c r="D83" s="58" t="inlineStr">
        <is>
          <t>Miscellaneous self-propelled yard and special craft</t>
        </is>
      </c>
      <c r="E83" s="58" t="inlineStr">
        <is>
          <t>Hulls: FSF, SBX, YFB, YP, YSD, YDT, YTT</t>
        </is>
      </c>
    </row>
    <row r="84" ht="10" customHeight="1">
      <c r="A84" s="58" t="inlineStr">
        <is>
          <t>Vessel Taxonomy</t>
        </is>
      </c>
      <c r="B84" s="58" t="inlineStr">
        <is>
          <t>Type</t>
        </is>
      </c>
      <c r="C84" s="58" t="inlineStr">
        <is>
          <t>Other Craft, Non-Self-Propelled</t>
        </is>
      </c>
      <c r="D84" s="58" t="inlineStr">
        <is>
          <t>Berthing barges, floating workshops, miscellaneous non-propelled craft</t>
        </is>
      </c>
      <c r="E84" s="58" t="inlineStr">
        <is>
          <t>Hulls: APL, YD, YFND, YFP, YR, YRB, YRBM, YRDH, YRDM, IX</t>
        </is>
      </c>
    </row>
    <row r="85" ht="10" customHeight="1">
      <c r="A85" s="58" t="inlineStr">
        <is>
          <t>Vessel Taxonomy</t>
        </is>
      </c>
      <c r="B85" s="58" t="inlineStr">
        <is>
          <t>Type</t>
        </is>
      </c>
      <c r="C85" s="58" t="inlineStr">
        <is>
          <t>Sealift Support Craft</t>
        </is>
      </c>
      <c r="D85" s="58" t="inlineStr">
        <is>
          <t>Sealift and marine pre-positioning support craft</t>
        </is>
      </c>
      <c r="E85" s="58" t="inlineStr">
        <is>
          <t>Hulls: INLS, LCM 8, LARC V, MPF UB, OPDS UB</t>
        </is>
      </c>
    </row>
    <row r="86" ht="10" customHeight="1">
      <c r="A86" s="58" t="inlineStr">
        <is>
          <t>Vessel Taxonomy</t>
        </is>
      </c>
      <c r="B86" s="58" t="inlineStr">
        <is>
          <t>Type</t>
        </is>
      </c>
      <c r="C86" s="58" t="inlineStr">
        <is>
          <t>Ships Boats</t>
        </is>
      </c>
      <c r="D86" s="58" t="inlineStr">
        <is>
          <t>Motor rescue boats carried aboard ships</t>
        </is>
      </c>
      <c r="E86" s="58" t="inlineStr">
        <is>
          <t>Hulls: 5MRB, 7MRB, 11MRB</t>
        </is>
      </c>
    </row>
    <row r="87" ht="10" customHeight="1">
      <c r="A87" s="58" t="inlineStr">
        <is>
          <t>Vessel Taxonomy</t>
        </is>
      </c>
      <c r="B87" s="58" t="inlineStr">
        <is>
          <t>Type</t>
        </is>
      </c>
      <c r="C87" s="58" t="inlineStr">
        <is>
          <t>Shore-Based Harbor Security Boats</t>
        </is>
      </c>
      <c r="D87" s="58" t="inlineStr">
        <is>
          <t>Harbor security patrol boats</t>
        </is>
      </c>
      <c r="E87" s="58" t="inlineStr">
        <is>
          <t>Hulls: 27HS, 28HS, 32HS, 33HS, 11MHS, 35HS, 36HS</t>
        </is>
      </c>
    </row>
    <row r="88" ht="10" customHeight="1">
      <c r="A88" s="58" t="n"/>
      <c r="B88" s="58" t="n"/>
      <c r="C88" s="58" t="n"/>
      <c r="D88" s="58" t="n"/>
      <c r="E88" s="58" t="n"/>
    </row>
    <row r="89" ht="10" customHeight="1">
      <c r="A89" s="58" t="inlineStr">
        <is>
          <t>Vessel Taxonomy</t>
        </is>
      </c>
      <c r="B89" s="58" t="inlineStr">
        <is>
          <t>Service</t>
        </is>
      </c>
      <c r="C89" s="58" t="inlineStr">
        <is>
          <t>MSC</t>
        </is>
      </c>
      <c r="D89" s="58" t="inlineStr">
        <is>
          <t>Military Sealift Command — civilian-crewed ships using T- prefix before hull symbol (e.g., T-AO, T-AKE, T-EPF).</t>
        </is>
      </c>
      <c r="E89" s="58" t="n"/>
    </row>
    <row r="90" ht="10" customHeight="1">
      <c r="A90" s="58" t="inlineStr">
        <is>
          <t>Vessel Taxonomy</t>
        </is>
      </c>
      <c r="B90" s="58" t="inlineStr">
        <is>
          <t>Note</t>
        </is>
      </c>
      <c r="C90" s="58" t="inlineStr">
        <is>
          <t>MSC shares USN categories and types</t>
        </is>
      </c>
      <c r="D90" s="58" t="inlineStr">
        <is>
          <t>MSC vessels fall under the same Category and Type as their USN counterparts. The T- prefix on the hull designator distinguishes them. Service column = MSC when hull starts with T-.</t>
        </is>
      </c>
      <c r="E90" s="58" t="inlineStr">
        <is>
          <t>Examples: T-AO (Combat Logistics Ships), T-AGOS (Surveillance Ships), T-EPF (Expeditionary &amp; Seabasing Ships)</t>
        </is>
      </c>
    </row>
    <row r="91" ht="10" customHeight="1">
      <c r="A91" s="58" t="n"/>
      <c r="B91" s="58" t="n"/>
      <c r="C91" s="58" t="n"/>
      <c r="D91" s="58" t="n"/>
      <c r="E91" s="58" t="n"/>
    </row>
    <row r="92" ht="10" customHeight="1">
      <c r="A92" s="58" t="inlineStr">
        <is>
          <t>Vessel Taxonomy</t>
        </is>
      </c>
      <c r="B92" s="58" t="inlineStr">
        <is>
          <t>Service</t>
        </is>
      </c>
      <c r="C92" s="58" t="inlineStr">
        <is>
          <t>USCG</t>
        </is>
      </c>
      <c r="D92" s="58" t="inlineStr">
        <is>
          <t>United States Coast Guard — cutters and boats.</t>
        </is>
      </c>
      <c r="E92" s="58" t="n"/>
    </row>
    <row r="93" ht="10" customHeight="1">
      <c r="A93" s="58" t="n"/>
      <c r="B93" s="58" t="n"/>
      <c r="C93" s="58" t="n"/>
      <c r="D93" s="58" t="n"/>
      <c r="E93" s="58" t="n"/>
    </row>
    <row r="94" ht="10" customHeight="1">
      <c r="A94" s="58" t="inlineStr">
        <is>
          <t>Vessel Taxonomy</t>
        </is>
      </c>
      <c r="B94" s="58" t="inlineStr">
        <is>
          <t>Category</t>
        </is>
      </c>
      <c r="C94" s="58" t="inlineStr">
        <is>
          <t>Cutters</t>
        </is>
      </c>
      <c r="D94" s="58" t="inlineStr">
        <is>
          <t>Coast Guard cutters — 65 feet and larger.</t>
        </is>
      </c>
      <c r="E94" s="58" t="n"/>
    </row>
    <row r="95" ht="10" customHeight="1">
      <c r="A95" s="58" t="inlineStr">
        <is>
          <t>Vessel Taxonomy</t>
        </is>
      </c>
      <c r="B95" s="58" t="inlineStr">
        <is>
          <t>Type</t>
        </is>
      </c>
      <c r="C95" s="58" t="inlineStr">
        <is>
          <t>Icebreakers, Oceangoing</t>
        </is>
      </c>
      <c r="D95" s="58" t="inlineStr">
        <is>
          <t>Heavy polar icebreakers</t>
        </is>
      </c>
      <c r="E95" s="58" t="inlineStr">
        <is>
          <t>Hull: WAGB</t>
        </is>
      </c>
    </row>
    <row r="96" ht="10" customHeight="1">
      <c r="A96" s="58" t="inlineStr">
        <is>
          <t>Vessel Taxonomy</t>
        </is>
      </c>
      <c r="B96" s="58" t="inlineStr">
        <is>
          <t>Type</t>
        </is>
      </c>
      <c r="C96" s="58" t="inlineStr">
        <is>
          <t>Icebreakers, Great Lakes</t>
        </is>
      </c>
      <c r="D96" s="58" t="inlineStr">
        <is>
          <t>Great Lakes icebreaking cutters</t>
        </is>
      </c>
      <c r="E96" s="58" t="inlineStr">
        <is>
          <t>Hull: WLBB</t>
        </is>
      </c>
    </row>
    <row r="97" ht="10" customHeight="1">
      <c r="A97" s="58" t="inlineStr">
        <is>
          <t>Vessel Taxonomy</t>
        </is>
      </c>
      <c r="B97" s="58" t="inlineStr">
        <is>
          <t>Type</t>
        </is>
      </c>
      <c r="C97" s="58" t="inlineStr">
        <is>
          <t>National Security Cutters</t>
        </is>
      </c>
      <c r="D97" s="58" t="inlineStr">
        <is>
          <t>Legend-class national security cutters</t>
        </is>
      </c>
      <c r="E97" s="58" t="inlineStr">
        <is>
          <t>Hull: WMSL</t>
        </is>
      </c>
    </row>
    <row r="98" ht="10" customHeight="1">
      <c r="A98" s="58" t="inlineStr">
        <is>
          <t>Vessel Taxonomy</t>
        </is>
      </c>
      <c r="B98" s="58" t="inlineStr">
        <is>
          <t>Type</t>
        </is>
      </c>
      <c r="C98" s="58" t="inlineStr">
        <is>
          <t>High Endurance Cutters</t>
        </is>
      </c>
      <c r="D98" s="58" t="inlineStr">
        <is>
          <t>Hamilton-class high endurance cutters (retiring)</t>
        </is>
      </c>
      <c r="E98" s="58" t="inlineStr">
        <is>
          <t>Hull: WHEC</t>
        </is>
      </c>
    </row>
    <row r="99" ht="10" customHeight="1">
      <c r="A99" s="58" t="inlineStr">
        <is>
          <t>Vessel Taxonomy</t>
        </is>
      </c>
      <c r="B99" s="58" t="inlineStr">
        <is>
          <t>Type</t>
        </is>
      </c>
      <c r="C99" s="58" t="inlineStr">
        <is>
          <t>Medium Endurance Cutters</t>
        </is>
      </c>
      <c r="D99" s="58" t="inlineStr">
        <is>
          <t>270-foot and 210-foot medium endurance cutters</t>
        </is>
      </c>
      <c r="E99" s="58" t="inlineStr">
        <is>
          <t>Hull: WMEC</t>
        </is>
      </c>
    </row>
    <row r="100" ht="10" customHeight="1">
      <c r="A100" s="58" t="inlineStr">
        <is>
          <t>Vessel Taxonomy</t>
        </is>
      </c>
      <c r="B100" s="58" t="inlineStr">
        <is>
          <t>Type</t>
        </is>
      </c>
      <c r="C100" s="58" t="inlineStr">
        <is>
          <t>Offshore Patrol Cutter</t>
        </is>
      </c>
      <c r="D100" s="58" t="inlineStr">
        <is>
          <t>Heritage-class offshore patrol cutters</t>
        </is>
      </c>
      <c r="E100" s="58" t="inlineStr">
        <is>
          <t>Hull: WMSM</t>
        </is>
      </c>
    </row>
    <row r="101" ht="10" customHeight="1">
      <c r="A101" s="58" t="inlineStr">
        <is>
          <t>Vessel Taxonomy</t>
        </is>
      </c>
      <c r="B101" s="58" t="inlineStr">
        <is>
          <t>Type</t>
        </is>
      </c>
      <c r="C101" s="58" t="inlineStr">
        <is>
          <t>Fast Response Cutters</t>
        </is>
      </c>
      <c r="D101" s="58" t="inlineStr">
        <is>
          <t>Sentinel-class fast response cutters</t>
        </is>
      </c>
      <c r="E101" s="58" t="inlineStr">
        <is>
          <t>Hull: WPC</t>
        </is>
      </c>
    </row>
    <row r="102" ht="10" customHeight="1">
      <c r="A102" s="58" t="inlineStr">
        <is>
          <t>Vessel Taxonomy</t>
        </is>
      </c>
      <c r="B102" s="58" t="inlineStr">
        <is>
          <t>Type</t>
        </is>
      </c>
      <c r="C102" s="58" t="inlineStr">
        <is>
          <t>Patrol Boats</t>
        </is>
      </c>
      <c r="D102" s="58" t="inlineStr">
        <is>
          <t>Marine Protector-class patrol boats</t>
        </is>
      </c>
      <c r="E102" s="58" t="inlineStr">
        <is>
          <t>Hull: WPB</t>
        </is>
      </c>
    </row>
    <row r="103" ht="10" customHeight="1">
      <c r="A103" s="58" t="inlineStr">
        <is>
          <t>Vessel Taxonomy</t>
        </is>
      </c>
      <c r="B103" s="58" t="inlineStr">
        <is>
          <t>Type</t>
        </is>
      </c>
      <c r="C103" s="58" t="inlineStr">
        <is>
          <t>Seagoing Buoy Tenders</t>
        </is>
      </c>
      <c r="D103" s="58" t="inlineStr">
        <is>
          <t>Juniper-class seagoing buoy tenders</t>
        </is>
      </c>
      <c r="E103" s="58" t="inlineStr">
        <is>
          <t>Hull: WLB</t>
        </is>
      </c>
    </row>
    <row r="104" ht="10" customHeight="1">
      <c r="A104" s="58" t="inlineStr">
        <is>
          <t>Vessel Taxonomy</t>
        </is>
      </c>
      <c r="B104" s="58" t="inlineStr">
        <is>
          <t>Type</t>
        </is>
      </c>
      <c r="C104" s="58" t="inlineStr">
        <is>
          <t>Coastal Buoy Tenders</t>
        </is>
      </c>
      <c r="D104" s="58" t="inlineStr">
        <is>
          <t>Keeper-class coastal buoy tenders</t>
        </is>
      </c>
      <c r="E104" s="58" t="inlineStr">
        <is>
          <t>Hull: WLM</t>
        </is>
      </c>
    </row>
    <row r="105" ht="10" customHeight="1">
      <c r="A105" s="58" t="inlineStr">
        <is>
          <t>Vessel Taxonomy</t>
        </is>
      </c>
      <c r="B105" s="58" t="inlineStr">
        <is>
          <t>Type</t>
        </is>
      </c>
      <c r="C105" s="58" t="inlineStr">
        <is>
          <t>Inland Construction Tenders</t>
        </is>
      </c>
      <c r="D105" s="58" t="inlineStr">
        <is>
          <t>Inland construction tenders</t>
        </is>
      </c>
      <c r="E105" s="58" t="inlineStr">
        <is>
          <t>Hull: WLIC</t>
        </is>
      </c>
    </row>
    <row r="106" ht="10" customHeight="1">
      <c r="A106" s="58" t="inlineStr">
        <is>
          <t>Vessel Taxonomy</t>
        </is>
      </c>
      <c r="B106" s="58" t="inlineStr">
        <is>
          <t>Type</t>
        </is>
      </c>
      <c r="C106" s="58" t="inlineStr">
        <is>
          <t>Ice Breaking Tugs</t>
        </is>
      </c>
      <c r="D106" s="58" t="inlineStr">
        <is>
          <t>Ice-breaking harbor tugs</t>
        </is>
      </c>
      <c r="E106" s="58" t="inlineStr">
        <is>
          <t>Hull: WTGB</t>
        </is>
      </c>
    </row>
    <row r="107" ht="10" customHeight="1">
      <c r="A107" s="58" t="inlineStr">
        <is>
          <t>Vessel Taxonomy</t>
        </is>
      </c>
      <c r="B107" s="58" t="inlineStr">
        <is>
          <t>Type</t>
        </is>
      </c>
      <c r="C107" s="58" t="inlineStr">
        <is>
          <t>River Buoy Tenders</t>
        </is>
      </c>
      <c r="D107" s="58" t="inlineStr">
        <is>
          <t>River buoy tenders</t>
        </is>
      </c>
      <c r="E107" s="58" t="inlineStr">
        <is>
          <t>Hull: WLR</t>
        </is>
      </c>
    </row>
    <row r="108" ht="10" customHeight="1">
      <c r="A108" s="58" t="inlineStr">
        <is>
          <t>Vessel Taxonomy</t>
        </is>
      </c>
      <c r="B108" s="58" t="inlineStr">
        <is>
          <t>Type</t>
        </is>
      </c>
      <c r="C108" s="58" t="inlineStr">
        <is>
          <t>Inland Buoy Tenders</t>
        </is>
      </c>
      <c r="D108" s="58" t="inlineStr">
        <is>
          <t>Inland buoy tenders</t>
        </is>
      </c>
      <c r="E108" s="58" t="inlineStr">
        <is>
          <t>Hull: WLI</t>
        </is>
      </c>
    </row>
    <row r="109" ht="10" customHeight="1">
      <c r="A109" s="58" t="inlineStr">
        <is>
          <t>Vessel Taxonomy</t>
        </is>
      </c>
      <c r="B109" s="58" t="inlineStr">
        <is>
          <t>Type</t>
        </is>
      </c>
      <c r="C109" s="58" t="inlineStr">
        <is>
          <t>Small Harbor Tugs</t>
        </is>
      </c>
      <c r="D109" s="58" t="inlineStr">
        <is>
          <t>65-foot small harbor tugs</t>
        </is>
      </c>
      <c r="E109" s="58" t="inlineStr">
        <is>
          <t>Hull: WYTL</t>
        </is>
      </c>
    </row>
    <row r="110" ht="10" customHeight="1">
      <c r="A110" s="58" t="inlineStr">
        <is>
          <t>Vessel Taxonomy</t>
        </is>
      </c>
      <c r="B110" s="58" t="inlineStr">
        <is>
          <t>Type</t>
        </is>
      </c>
      <c r="C110" s="58" t="inlineStr">
        <is>
          <t>Barque Eagle</t>
        </is>
      </c>
      <c r="D110" s="58" t="inlineStr">
        <is>
          <t>USCG training sailing vessel</t>
        </is>
      </c>
      <c r="E110" s="58" t="inlineStr">
        <is>
          <t>Hull: WIX</t>
        </is>
      </c>
    </row>
    <row r="111" ht="10" customHeight="1">
      <c r="A111" s="58" t="n"/>
      <c r="B111" s="58" t="n"/>
      <c r="C111" s="58" t="n"/>
      <c r="D111" s="58" t="n"/>
      <c r="E111" s="58" t="n"/>
    </row>
    <row r="112" ht="10" customHeight="1">
      <c r="A112" s="58" t="inlineStr">
        <is>
          <t>Vessel Taxonomy</t>
        </is>
      </c>
      <c r="B112" s="58" t="inlineStr">
        <is>
          <t>Category</t>
        </is>
      </c>
      <c r="C112" s="58" t="inlineStr">
        <is>
          <t>Boats</t>
        </is>
      </c>
      <c r="D112" s="58" t="inlineStr">
        <is>
          <t>Coast Guard boats — under 65 feet.</t>
        </is>
      </c>
      <c r="E112" s="58" t="n"/>
    </row>
    <row r="113" ht="10" customHeight="1">
      <c r="A113" s="58" t="inlineStr">
        <is>
          <t>Vessel Taxonomy</t>
        </is>
      </c>
      <c r="B113" s="58" t="inlineStr">
        <is>
          <t>Type</t>
        </is>
      </c>
      <c r="C113" s="58" t="inlineStr">
        <is>
          <t>Response Boats</t>
        </is>
      </c>
      <c r="D113" s="58" t="inlineStr">
        <is>
          <t>Motor lifeboats, response boats, transportable port security boats</t>
        </is>
      </c>
      <c r="E113" s="58" t="inlineStr">
        <is>
          <t>Hulls: MLB, RB-M, TPSB, RB-S II, UTM, UTL</t>
        </is>
      </c>
    </row>
    <row r="114" ht="10" customHeight="1">
      <c r="A114" s="58" t="inlineStr">
        <is>
          <t>Vessel Taxonomy</t>
        </is>
      </c>
      <c r="B114" s="58" t="inlineStr">
        <is>
          <t>Type</t>
        </is>
      </c>
      <c r="C114" s="58" t="inlineStr">
        <is>
          <t>Aids to Navigation Boats</t>
        </is>
      </c>
      <c r="D114" s="58" t="inlineStr">
        <is>
          <t>Boats supporting aids to navigation mission</t>
        </is>
      </c>
      <c r="E114" s="58" t="inlineStr">
        <is>
          <t>Hulls: ANB, BUSL, TANB, AB-S, AB-SKF</t>
        </is>
      </c>
    </row>
    <row r="115" ht="10" customHeight="1">
      <c r="A115" s="58" t="inlineStr">
        <is>
          <t>Vessel Taxonomy</t>
        </is>
      </c>
      <c r="B115" s="58" t="inlineStr">
        <is>
          <t>Type</t>
        </is>
      </c>
      <c r="C115" s="58" t="inlineStr">
        <is>
          <t>Cutter Boats</t>
        </is>
      </c>
      <c r="D115" s="58" t="inlineStr">
        <is>
          <t>Small boats deployed from cutters</t>
        </is>
      </c>
      <c r="E115" s="58" t="inlineStr">
        <is>
          <t>Hulls: CB-LRI, CB-OTH, ASB/LC, MSB, CB-L, CB-ATON, CB-M, CB-S, UTL</t>
        </is>
      </c>
    </row>
    <row r="116" ht="10" customHeight="1">
      <c r="A116" s="58" t="inlineStr">
        <is>
          <t>Vessel Taxonomy</t>
        </is>
      </c>
      <c r="B116" s="58" t="inlineStr">
        <is>
          <t>Type</t>
        </is>
      </c>
      <c r="C116" s="58" t="inlineStr">
        <is>
          <t>Special Purpose Craft</t>
        </is>
      </c>
      <c r="D116" s="58" t="inlineStr">
        <is>
          <t>Specialized mission craft</t>
        </is>
      </c>
      <c r="E116" s="58" t="inlineStr">
        <is>
          <t>Hulls: SPC-SV, SPC-TTB, SPC-TB, SPC-LE, SPC-BTD, SPC-LEO, SPC-SW, SPC-IRT, SKF-ICE, SKF</t>
        </is>
      </c>
    </row>
    <row r="117" ht="10" customHeight="1">
      <c r="A117" s="58" t="inlineStr">
        <is>
          <t>Vessel Taxonomy</t>
        </is>
      </c>
      <c r="B117" s="58" t="inlineStr">
        <is>
          <t>Type</t>
        </is>
      </c>
      <c r="C117" s="58" t="inlineStr">
        <is>
          <t>Training Craft</t>
        </is>
      </c>
      <c r="D117" s="58" t="inlineStr">
        <is>
          <t>Academy and training center craft</t>
        </is>
      </c>
      <c r="E117" s="58" t="inlineStr">
        <is>
          <t>Hulls: CT-64, SB</t>
        </is>
      </c>
    </row>
    <row r="118" ht="10" customHeight="1">
      <c r="A118" s="58" t="n"/>
      <c r="B118" s="58" t="n"/>
      <c r="C118" s="58" t="n"/>
      <c r="D118" s="58" t="n"/>
      <c r="E118" s="58" t="n"/>
    </row>
    <row r="119" ht="10" customHeight="1">
      <c r="A119" s="56" t="inlineStr">
        <is>
          <t>VESSEL CLASS DETAILED REFERENCE (contextual / not a column in the data)</t>
        </is>
      </c>
      <c r="B119" s="56" t="n"/>
      <c r="C119" s="56" t="n"/>
      <c r="D119" s="57" t="n"/>
      <c r="E119" s="57" t="n"/>
    </row>
    <row r="120" ht="10" customHeight="1">
      <c r="A120" s="58" t="inlineStr">
        <is>
          <t>Vessel Classes</t>
        </is>
      </c>
      <c r="B120" s="58" t="inlineStr">
        <is>
          <t>Note</t>
        </is>
      </c>
      <c r="C120" s="58" t="inlineStr">
        <is>
          <t>Reference only</t>
        </is>
      </c>
      <c r="D120" s="58" t="n"/>
      <c r="E120" s="58" t="n"/>
    </row>
    <row r="121" ht="10" customHeight="1">
      <c r="A121" s="58" t="n"/>
      <c r="B121" s="58" t="n"/>
      <c r="C121" s="58" t="n"/>
      <c r="D121" s="58" t="n"/>
      <c r="E121" s="58" t="n"/>
    </row>
    <row r="122" ht="10" customHeight="1">
      <c r="A122" s="58" t="inlineStr">
        <is>
          <t>Vessel Classes</t>
        </is>
      </c>
      <c r="B122" s="58" t="inlineStr">
        <is>
          <t>Hull</t>
        </is>
      </c>
      <c r="C122" s="58" t="inlineStr">
        <is>
          <t>CVN</t>
        </is>
      </c>
      <c r="D122" s="58" t="n"/>
      <c r="E122" s="58" t="n"/>
    </row>
    <row r="123" ht="10" customHeight="1">
      <c r="A123" s="58" t="inlineStr">
        <is>
          <t>Vessel Classes</t>
        </is>
      </c>
      <c r="B123" s="58" t="inlineStr">
        <is>
          <t>Class</t>
        </is>
      </c>
      <c r="C123" s="58" t="inlineStr">
        <is>
          <t>Nimitz (CVN-68)</t>
        </is>
      </c>
      <c r="D123" s="58" t="inlineStr">
        <is>
          <t>Nuclear-powered carrier, 10 ships (CVN-68 through CVN-77)</t>
        </is>
      </c>
      <c r="E123" s="58" t="inlineStr">
        <is>
          <t>Active</t>
        </is>
      </c>
    </row>
    <row r="124" ht="10" customHeight="1">
      <c r="A124" s="58" t="inlineStr">
        <is>
          <t>Vessel Classes</t>
        </is>
      </c>
      <c r="B124" s="58" t="inlineStr">
        <is>
          <t>Class</t>
        </is>
      </c>
      <c r="C124" s="58" t="inlineStr">
        <is>
          <t>Gerald R. Ford (CVN-78)</t>
        </is>
      </c>
      <c r="D124" s="58" t="inlineStr">
        <is>
          <t>Next-gen nuclear carrier: CVN-78, -79, -80, -81</t>
        </is>
      </c>
      <c r="E124" s="58" t="inlineStr">
        <is>
          <t>Active / under construction</t>
        </is>
      </c>
    </row>
    <row r="125" ht="10" customHeight="1">
      <c r="A125" s="58" t="n"/>
      <c r="B125" s="58" t="n"/>
      <c r="C125" s="58" t="n"/>
      <c r="D125" s="58" t="n"/>
      <c r="E125" s="58" t="n"/>
    </row>
    <row r="126" ht="10" customHeight="1">
      <c r="A126" s="58" t="inlineStr">
        <is>
          <t>Vessel Classes</t>
        </is>
      </c>
      <c r="B126" s="58" t="inlineStr">
        <is>
          <t>Class</t>
        </is>
      </c>
      <c r="C126" s="58" t="inlineStr">
        <is>
          <t>Arleigh Burke (DDG-51)</t>
        </is>
      </c>
      <c r="D126" s="58" t="inlineStr">
        <is>
          <t>Guided-missile destroyer — Flight I/II/IIA/III</t>
        </is>
      </c>
      <c r="E126" s="58" t="inlineStr">
        <is>
          <t>Active / under construction</t>
        </is>
      </c>
    </row>
    <row r="127" ht="10" customHeight="1">
      <c r="A127" s="58" t="inlineStr">
        <is>
          <t>Vessel Classes</t>
        </is>
      </c>
      <c r="B127" s="58" t="inlineStr">
        <is>
          <t>Class</t>
        </is>
      </c>
      <c r="C127" s="58" t="inlineStr">
        <is>
          <t>Zumwalt (DDG-1000)</t>
        </is>
      </c>
      <c r="D127" s="58" t="inlineStr">
        <is>
          <t>Multi-mission stealth destroyer, 3 ships</t>
        </is>
      </c>
      <c r="E127" s="58" t="inlineStr">
        <is>
          <t>Active</t>
        </is>
      </c>
    </row>
    <row r="128" ht="10" customHeight="1">
      <c r="A128" s="58" t="n"/>
      <c r="B128" s="58" t="n"/>
      <c r="C128" s="58" t="n"/>
      <c r="D128" s="58" t="n"/>
      <c r="E128" s="58" t="n"/>
    </row>
    <row r="129" ht="10" customHeight="1">
      <c r="A129" s="58" t="inlineStr">
        <is>
          <t>Vessel Classes</t>
        </is>
      </c>
      <c r="B129" s="58" t="inlineStr">
        <is>
          <t>Class</t>
        </is>
      </c>
      <c r="C129" s="58" t="inlineStr">
        <is>
          <t>Ticonderoga (CG-47)</t>
        </is>
      </c>
      <c r="D129" s="58" t="inlineStr">
        <is>
          <t>Guided-missile cruiser (being decommissioned)</t>
        </is>
      </c>
      <c r="E129" s="58" t="inlineStr">
        <is>
          <t>Active (retiring)</t>
        </is>
      </c>
    </row>
    <row r="130" ht="10" customHeight="1">
      <c r="A130" s="58" t="n"/>
      <c r="B130" s="58" t="n"/>
      <c r="C130" s="58" t="n"/>
      <c r="D130" s="58" t="n"/>
      <c r="E130" s="58" t="n"/>
    </row>
    <row r="131" ht="10" customHeight="1">
      <c r="A131" s="58" t="inlineStr">
        <is>
          <t>Vessel Classes</t>
        </is>
      </c>
      <c r="B131" s="58" t="inlineStr">
        <is>
          <t>Class</t>
        </is>
      </c>
      <c r="C131" s="58" t="inlineStr">
        <is>
          <t>Constellation (FFG-62)</t>
        </is>
      </c>
      <c r="D131" s="58" t="inlineStr">
        <is>
          <t>Next-generation guided-missile frigate</t>
        </is>
      </c>
      <c r="E131" s="58" t="inlineStr">
        <is>
          <t>Under construction</t>
        </is>
      </c>
    </row>
    <row r="132" ht="10" customHeight="1">
      <c r="A132" s="58" t="n"/>
      <c r="B132" s="58" t="n"/>
      <c r="C132" s="58" t="n"/>
      <c r="D132" s="58" t="n"/>
      <c r="E132" s="58" t="n"/>
    </row>
    <row r="133" ht="10" customHeight="1">
      <c r="A133" s="58" t="inlineStr">
        <is>
          <t>Vessel Classes</t>
        </is>
      </c>
      <c r="B133" s="58" t="inlineStr">
        <is>
          <t>Class</t>
        </is>
      </c>
      <c r="C133" s="58" t="inlineStr">
        <is>
          <t>Freedom (LCS-1)</t>
        </is>
      </c>
      <c r="D133" s="58" t="inlineStr">
        <is>
          <t>Littoral combat ship — Freedom variant</t>
        </is>
      </c>
      <c r="E133" s="58" t="inlineStr">
        <is>
          <t>Active</t>
        </is>
      </c>
    </row>
    <row r="134" ht="10" customHeight="1">
      <c r="A134" s="58" t="inlineStr">
        <is>
          <t>Vessel Classes</t>
        </is>
      </c>
      <c r="B134" s="58" t="inlineStr">
        <is>
          <t>Class</t>
        </is>
      </c>
      <c r="C134" s="58" t="inlineStr">
        <is>
          <t>Independence (LCS-2)</t>
        </is>
      </c>
      <c r="D134" s="58" t="inlineStr">
        <is>
          <t>Littoral combat ship — Independence variant</t>
        </is>
      </c>
      <c r="E134" s="58" t="inlineStr">
        <is>
          <t>Active</t>
        </is>
      </c>
    </row>
    <row r="135" ht="10" customHeight="1">
      <c r="A135" s="58" t="n"/>
      <c r="B135" s="58" t="n"/>
      <c r="C135" s="58" t="n"/>
      <c r="D135" s="58" t="n"/>
      <c r="E135" s="58" t="n"/>
    </row>
    <row r="136" ht="10" customHeight="1">
      <c r="A136" s="58" t="inlineStr">
        <is>
          <t>Vessel Classes</t>
        </is>
      </c>
      <c r="B136" s="58" t="inlineStr">
        <is>
          <t>Class</t>
        </is>
      </c>
      <c r="C136" s="58" t="inlineStr">
        <is>
          <t>Los Angeles (SSN-688)</t>
        </is>
      </c>
      <c r="D136" s="58" t="inlineStr">
        <is>
          <t>Nuclear attack submarine — largest SSN class</t>
        </is>
      </c>
      <c r="E136" s="58" t="inlineStr">
        <is>
          <t>Active (retiring)</t>
        </is>
      </c>
    </row>
    <row r="137" ht="10" customHeight="1">
      <c r="A137" s="58" t="inlineStr">
        <is>
          <t>Vessel Classes</t>
        </is>
      </c>
      <c r="B137" s="58" t="inlineStr">
        <is>
          <t>Class</t>
        </is>
      </c>
      <c r="C137" s="58" t="inlineStr">
        <is>
          <t>Seawolf (SSN-21)</t>
        </is>
      </c>
      <c r="D137" s="58" t="inlineStr">
        <is>
          <t>Nuclear attack submarine, 3 ships</t>
        </is>
      </c>
      <c r="E137" s="58" t="inlineStr">
        <is>
          <t>Active</t>
        </is>
      </c>
    </row>
    <row r="138" ht="10" customHeight="1">
      <c r="A138" s="58" t="inlineStr">
        <is>
          <t>Vessel Classes</t>
        </is>
      </c>
      <c r="B138" s="58" t="inlineStr">
        <is>
          <t>Class</t>
        </is>
      </c>
      <c r="C138" s="58" t="inlineStr">
        <is>
          <t>Virginia (SSN-774)</t>
        </is>
      </c>
      <c r="D138" s="58" t="inlineStr">
        <is>
          <t>Nuclear attack submarine — Block I through V</t>
        </is>
      </c>
      <c r="E138" s="58" t="inlineStr">
        <is>
          <t>Active / under construction</t>
        </is>
      </c>
    </row>
    <row r="139" ht="10" customHeight="1">
      <c r="A139" s="58" t="n"/>
      <c r="B139" s="58" t="n"/>
      <c r="C139" s="58" t="n"/>
      <c r="D139" s="58" t="n"/>
      <c r="E139" s="58" t="n"/>
    </row>
    <row r="140" ht="10" customHeight="1">
      <c r="A140" s="58" t="inlineStr">
        <is>
          <t>Vessel Classes</t>
        </is>
      </c>
      <c r="B140" s="58" t="inlineStr">
        <is>
          <t>Class</t>
        </is>
      </c>
      <c r="C140" s="58" t="inlineStr">
        <is>
          <t>Ohio (SSBN-726 / SSGN-726)</t>
        </is>
      </c>
      <c r="D140" s="58" t="inlineStr">
        <is>
          <t>Fleet ballistic missile sub (SSBN) and guided-missile sub (SSGN)</t>
        </is>
      </c>
      <c r="E140" s="58" t="inlineStr">
        <is>
          <t>Active (retiring)</t>
        </is>
      </c>
    </row>
    <row r="141" ht="10" customHeight="1">
      <c r="A141" s="58" t="inlineStr">
        <is>
          <t>Vessel Classes</t>
        </is>
      </c>
      <c r="B141" s="58" t="inlineStr">
        <is>
          <t>Class</t>
        </is>
      </c>
      <c r="C141" s="58" t="inlineStr">
        <is>
          <t>Columbia (SSBN-826)</t>
        </is>
      </c>
      <c r="D141" s="58" t="inlineStr">
        <is>
          <t>Next-gen ballistic missile submarine</t>
        </is>
      </c>
      <c r="E141" s="58" t="inlineStr">
        <is>
          <t>Under construction</t>
        </is>
      </c>
    </row>
    <row r="142" ht="10" customHeight="1">
      <c r="A142" s="58" t="n"/>
      <c r="B142" s="58" t="n"/>
      <c r="C142" s="58" t="n"/>
      <c r="D142" s="58" t="n"/>
      <c r="E142" s="58" t="n"/>
    </row>
    <row r="143" ht="10" customHeight="1">
      <c r="A143" s="58" t="inlineStr">
        <is>
          <t>Vessel Classes</t>
        </is>
      </c>
      <c r="B143" s="58" t="inlineStr">
        <is>
          <t>Class</t>
        </is>
      </c>
      <c r="C143" s="58" t="inlineStr">
        <is>
          <t>America (LHA-6)</t>
        </is>
      </c>
      <c r="D143" s="58" t="inlineStr">
        <is>
          <t>Amphibious assault ship</t>
        </is>
      </c>
      <c r="E143" s="58" t="inlineStr">
        <is>
          <t>Active / under construction</t>
        </is>
      </c>
    </row>
    <row r="144" ht="10" customHeight="1">
      <c r="A144" s="58" t="inlineStr">
        <is>
          <t>Vessel Classes</t>
        </is>
      </c>
      <c r="B144" s="58" t="inlineStr">
        <is>
          <t>Class</t>
        </is>
      </c>
      <c r="C144" s="58" t="inlineStr">
        <is>
          <t>Wasp (LHD-1)</t>
        </is>
      </c>
      <c r="D144" s="58" t="inlineStr">
        <is>
          <t>Multipurpose amphibious assault ship, 8 ships</t>
        </is>
      </c>
      <c r="E144" s="58" t="inlineStr">
        <is>
          <t>Active</t>
        </is>
      </c>
    </row>
    <row r="145" ht="10" customHeight="1">
      <c r="A145" s="58" t="inlineStr">
        <is>
          <t>Vessel Classes</t>
        </is>
      </c>
      <c r="B145" s="58" t="inlineStr">
        <is>
          <t>Class</t>
        </is>
      </c>
      <c r="C145" s="58" t="inlineStr">
        <is>
          <t>San Antonio (LPD-17)</t>
        </is>
      </c>
      <c r="D145" s="58" t="inlineStr">
        <is>
          <t>Amphibious transport dock — Flight I and II</t>
        </is>
      </c>
      <c r="E145" s="58" t="inlineStr">
        <is>
          <t>Active / under construction</t>
        </is>
      </c>
    </row>
    <row r="146" ht="10" customHeight="1">
      <c r="A146" s="58" t="inlineStr">
        <is>
          <t>Vessel Classes</t>
        </is>
      </c>
      <c r="B146" s="58" t="inlineStr">
        <is>
          <t>Class</t>
        </is>
      </c>
      <c r="C146" s="58" t="inlineStr">
        <is>
          <t>Whidbey Island / Harpers Ferry (LSD-41/49)</t>
        </is>
      </c>
      <c r="D146" s="58" t="inlineStr">
        <is>
          <t>Dock landing ships (being replaced by LPD Flight II)</t>
        </is>
      </c>
      <c r="E146" s="58" t="inlineStr">
        <is>
          <t>Active (retiring)</t>
        </is>
      </c>
    </row>
    <row r="147" ht="10" customHeight="1">
      <c r="A147" s="58" t="n"/>
      <c r="B147" s="58" t="n"/>
      <c r="C147" s="58" t="n"/>
      <c r="D147" s="58" t="n"/>
      <c r="E147" s="58" t="n"/>
    </row>
    <row r="148" ht="10" customHeight="1">
      <c r="A148" s="58" t="inlineStr">
        <is>
          <t>Vessel Classes</t>
        </is>
      </c>
      <c r="B148" s="58" t="inlineStr">
        <is>
          <t>Class</t>
        </is>
      </c>
      <c r="C148" s="58" t="inlineStr">
        <is>
          <t>Avenger (MCM-1)</t>
        </is>
      </c>
      <c r="D148" s="58" t="inlineStr">
        <is>
          <t>Mine countermeasures ship</t>
        </is>
      </c>
      <c r="E148" s="58" t="inlineStr">
        <is>
          <t>Active (retiring)</t>
        </is>
      </c>
    </row>
    <row r="149" ht="10" customHeight="1">
      <c r="A149" s="58" t="n"/>
      <c r="B149" s="58" t="n"/>
      <c r="C149" s="58" t="n"/>
      <c r="D149" s="58" t="n"/>
      <c r="E149" s="58" t="n"/>
    </row>
    <row r="150" ht="10" customHeight="1">
      <c r="A150" s="58" t="inlineStr">
        <is>
          <t>Vessel Classes</t>
        </is>
      </c>
      <c r="B150" s="58" t="inlineStr">
        <is>
          <t>Class</t>
        </is>
      </c>
      <c r="C150" s="58" t="inlineStr">
        <is>
          <t>Henry J. Kaiser (T-AO 187)</t>
        </is>
      </c>
      <c r="D150" s="58" t="inlineStr">
        <is>
          <t>Fleet replenishment oiler (MSC)</t>
        </is>
      </c>
      <c r="E150" s="58" t="inlineStr">
        <is>
          <t>Active</t>
        </is>
      </c>
    </row>
    <row r="151" ht="10" customHeight="1">
      <c r="A151" s="58" t="inlineStr">
        <is>
          <t>Vessel Classes</t>
        </is>
      </c>
      <c r="B151" s="58" t="inlineStr">
        <is>
          <t>Class</t>
        </is>
      </c>
      <c r="C151" s="58" t="inlineStr">
        <is>
          <t>John Lewis (T-AO 205)</t>
        </is>
      </c>
      <c r="D151" s="58" t="inlineStr">
        <is>
          <t>Next-gen fleet replenishment oiler (MSC)</t>
        </is>
      </c>
      <c r="E151" s="58" t="inlineStr">
        <is>
          <t>Under construction</t>
        </is>
      </c>
    </row>
    <row r="152" ht="10" customHeight="1">
      <c r="A152" s="58" t="inlineStr">
        <is>
          <t>Vessel Classes</t>
        </is>
      </c>
      <c r="B152" s="58" t="inlineStr">
        <is>
          <t>Class</t>
        </is>
      </c>
      <c r="C152" s="58" t="inlineStr">
        <is>
          <t>Lewis and Clark (T-AKE)</t>
        </is>
      </c>
      <c r="D152" s="58" t="inlineStr">
        <is>
          <t>Dry cargo/ammunition ship (MSC)</t>
        </is>
      </c>
      <c r="E152" s="58" t="inlineStr">
        <is>
          <t>Active</t>
        </is>
      </c>
    </row>
    <row r="153" ht="10" customHeight="1">
      <c r="A153" s="58" t="inlineStr">
        <is>
          <t>Vessel Classes</t>
        </is>
      </c>
      <c r="B153" s="58" t="inlineStr">
        <is>
          <t>Class</t>
        </is>
      </c>
      <c r="C153" s="58" t="inlineStr">
        <is>
          <t>Supply (T-AOE 6)</t>
        </is>
      </c>
      <c r="D153" s="58" t="inlineStr">
        <is>
          <t>Fast combat support ship</t>
        </is>
      </c>
      <c r="E153" s="58" t="inlineStr">
        <is>
          <t>Inactive</t>
        </is>
      </c>
    </row>
    <row r="154" ht="10" customHeight="1">
      <c r="A154" s="58" t="n"/>
      <c r="B154" s="58" t="n"/>
      <c r="C154" s="58" t="n"/>
      <c r="D154" s="58" t="n"/>
      <c r="E154" s="58" t="n"/>
    </row>
    <row r="155" ht="10" customHeight="1">
      <c r="A155" s="58" t="inlineStr">
        <is>
          <t>Vessel Classes</t>
        </is>
      </c>
      <c r="B155" s="58" t="inlineStr">
        <is>
          <t>Class</t>
        </is>
      </c>
      <c r="C155" s="58" t="inlineStr">
        <is>
          <t>Spearhead (T-EPF)</t>
        </is>
      </c>
      <c r="D155" s="58" t="inlineStr">
        <is>
          <t>Expeditionary fast transport (MSC)</t>
        </is>
      </c>
      <c r="E155" s="58" t="inlineStr">
        <is>
          <t>Active</t>
        </is>
      </c>
    </row>
    <row r="156" ht="10" customHeight="1">
      <c r="A156" s="58" t="inlineStr">
        <is>
          <t>Vessel Classes</t>
        </is>
      </c>
      <c r="B156" s="58" t="inlineStr">
        <is>
          <t>Class</t>
        </is>
      </c>
      <c r="C156" s="58" t="inlineStr">
        <is>
          <t>Lewis B. Puller (T-ESB)</t>
        </is>
      </c>
      <c r="D156" s="58" t="inlineStr">
        <is>
          <t>Expeditionary sea base (MSC)</t>
        </is>
      </c>
      <c r="E156" s="58" t="inlineStr">
        <is>
          <t>Active</t>
        </is>
      </c>
    </row>
    <row r="157" ht="10" customHeight="1">
      <c r="A157" s="58" t="inlineStr">
        <is>
          <t>Vessel Classes</t>
        </is>
      </c>
      <c r="B157" s="58" t="inlineStr">
        <is>
          <t>Class</t>
        </is>
      </c>
      <c r="C157" s="58" t="inlineStr">
        <is>
          <t>Medium Landing Ship (LSM)</t>
        </is>
      </c>
      <c r="D157" s="58" t="inlineStr">
        <is>
          <t>New program — medium amphibious landing ship</t>
        </is>
      </c>
      <c r="E157" s="58" t="inlineStr">
        <is>
          <t>Under development</t>
        </is>
      </c>
    </row>
    <row r="158" ht="10" customHeight="1">
      <c r="A158" s="58" t="inlineStr">
        <is>
          <t>Vessel Classes</t>
        </is>
      </c>
      <c r="B158" s="58" t="inlineStr">
        <is>
          <t>Class</t>
        </is>
      </c>
      <c r="C158" s="58" t="inlineStr">
        <is>
          <t>Ship to Shore Connector (SSC / LCAC 100)</t>
        </is>
      </c>
      <c r="D158" s="58" t="inlineStr">
        <is>
          <t>Next-gen landing craft air cushion</t>
        </is>
      </c>
      <c r="E158" s="58" t="inlineStr">
        <is>
          <t>Under construction</t>
        </is>
      </c>
    </row>
    <row r="159" ht="10" customHeight="1">
      <c r="A159" s="58" t="inlineStr">
        <is>
          <t>Vessel Classes</t>
        </is>
      </c>
      <c r="B159" s="58" t="inlineStr">
        <is>
          <t>Class</t>
        </is>
      </c>
      <c r="C159" s="58" t="inlineStr">
        <is>
          <t>LCU 1700</t>
        </is>
      </c>
      <c r="D159" s="58" t="inlineStr">
        <is>
          <t>Landing craft utility — next generation</t>
        </is>
      </c>
      <c r="E159" s="58" t="inlineStr">
        <is>
          <t>Under construction</t>
        </is>
      </c>
    </row>
    <row r="160" ht="10" customHeight="1">
      <c r="A160" s="58" t="n"/>
      <c r="B160" s="58" t="n"/>
      <c r="C160" s="58" t="n"/>
      <c r="D160" s="58" t="n"/>
      <c r="E160" s="58" t="n"/>
    </row>
    <row r="161" ht="10" customHeight="1">
      <c r="A161" s="58" t="inlineStr">
        <is>
          <t>Vessel Classes</t>
        </is>
      </c>
      <c r="B161" s="58" t="inlineStr">
        <is>
          <t>Class</t>
        </is>
      </c>
      <c r="C161" s="58" t="inlineStr">
        <is>
          <t>Blue Ridge (LCC-19/20)</t>
        </is>
      </c>
      <c r="D161" s="58" t="inlineStr">
        <is>
          <t>Amphibious command ship</t>
        </is>
      </c>
      <c r="E161" s="58" t="inlineStr">
        <is>
          <t>Active</t>
        </is>
      </c>
    </row>
    <row r="162" ht="10" customHeight="1">
      <c r="A162" s="58" t="inlineStr">
        <is>
          <t>Vessel Classes</t>
        </is>
      </c>
      <c r="B162" s="58" t="inlineStr">
        <is>
          <t>Class</t>
        </is>
      </c>
      <c r="C162" s="58" t="inlineStr">
        <is>
          <t>Emory S. Land (AS-39)</t>
        </is>
      </c>
      <c r="D162" s="58" t="inlineStr">
        <is>
          <t>Submarine tender</t>
        </is>
      </c>
      <c r="E162" s="58" t="inlineStr">
        <is>
          <t>Active</t>
        </is>
      </c>
    </row>
    <row r="163" ht="10" customHeight="1">
      <c r="A163" s="58" t="inlineStr">
        <is>
          <t>Vessel Classes</t>
        </is>
      </c>
      <c r="B163" s="58" t="inlineStr">
        <is>
          <t>Class</t>
        </is>
      </c>
      <c r="C163" s="58" t="inlineStr">
        <is>
          <t>Victorious (T-AGOS 19)</t>
        </is>
      </c>
      <c r="D163" s="58" t="inlineStr">
        <is>
          <t>Ocean surveillance ship (MSC)</t>
        </is>
      </c>
      <c r="E163" s="58" t="inlineStr">
        <is>
          <t>Active</t>
        </is>
      </c>
    </row>
    <row r="164" ht="10" customHeight="1">
      <c r="A164" s="58" t="inlineStr">
        <is>
          <t>Vessel Classes</t>
        </is>
      </c>
      <c r="B164" s="58" t="inlineStr">
        <is>
          <t>Class</t>
        </is>
      </c>
      <c r="C164" s="58" t="inlineStr">
        <is>
          <t>Pathfinder (T-AGS 60)</t>
        </is>
      </c>
      <c r="D164" s="58" t="inlineStr">
        <is>
          <t>Oceanographic survey ship (MSC)</t>
        </is>
      </c>
      <c r="E164" s="58" t="inlineStr">
        <is>
          <t>Active</t>
        </is>
      </c>
    </row>
    <row r="165" ht="10" customHeight="1">
      <c r="A165" s="58" t="inlineStr">
        <is>
          <t>Vessel Classes</t>
        </is>
      </c>
      <c r="B165" s="58" t="inlineStr">
        <is>
          <t>Class</t>
        </is>
      </c>
      <c r="C165" s="58" t="inlineStr">
        <is>
          <t>Mercy (T-AH 19)</t>
        </is>
      </c>
      <c r="D165" s="58" t="inlineStr">
        <is>
          <t>Hospital ship (MSC)</t>
        </is>
      </c>
      <c r="E165" s="58" t="inlineStr">
        <is>
          <t>Active</t>
        </is>
      </c>
    </row>
    <row r="166" ht="10" customHeight="1">
      <c r="A166" s="58" t="inlineStr">
        <is>
          <t>Vessel Classes</t>
        </is>
      </c>
      <c r="B166" s="58" t="inlineStr">
        <is>
          <t>Class</t>
        </is>
      </c>
      <c r="C166" s="58" t="inlineStr">
        <is>
          <t>Navajo (T-ATS)</t>
        </is>
      </c>
      <c r="D166" s="58" t="inlineStr">
        <is>
          <t>Towing/salvage/rescue ship (MSC)</t>
        </is>
      </c>
      <c r="E166" s="58" t="inlineStr">
        <is>
          <t>Under construction</t>
        </is>
      </c>
    </row>
    <row r="167" ht="10" customHeight="1">
      <c r="A167" s="58" t="inlineStr">
        <is>
          <t>Vessel Classes</t>
        </is>
      </c>
      <c r="B167" s="58" t="inlineStr">
        <is>
          <t>Class</t>
        </is>
      </c>
      <c r="C167" s="58" t="inlineStr">
        <is>
          <t>Safeguard (ARS-50)</t>
        </is>
      </c>
      <c r="D167" s="58" t="inlineStr">
        <is>
          <t>Rescue and salvage ship</t>
        </is>
      </c>
      <c r="E167" s="58" t="inlineStr">
        <is>
          <t>Active</t>
        </is>
      </c>
    </row>
    <row r="168" ht="10" customHeight="1">
      <c r="A168" s="58" t="n"/>
      <c r="B168" s="58" t="n"/>
      <c r="C168" s="58" t="n"/>
      <c r="D168" s="58" t="n"/>
      <c r="E168" s="58" t="n"/>
    </row>
    <row r="169" ht="10" customHeight="1">
      <c r="A169" s="58" t="inlineStr">
        <is>
          <t>Vessel Classes</t>
        </is>
      </c>
      <c r="B169" s="58" t="inlineStr">
        <is>
          <t>Class</t>
        </is>
      </c>
      <c r="C169" s="58" t="inlineStr">
        <is>
          <t>Legend (WMSL-750)</t>
        </is>
      </c>
      <c r="D169" s="58" t="inlineStr">
        <is>
          <t>National Security Cutter</t>
        </is>
      </c>
      <c r="E169" s="58" t="inlineStr">
        <is>
          <t>Active</t>
        </is>
      </c>
    </row>
    <row r="170" ht="10" customHeight="1">
      <c r="A170" s="58" t="inlineStr">
        <is>
          <t>Vessel Classes</t>
        </is>
      </c>
      <c r="B170" s="58" t="inlineStr">
        <is>
          <t>Class</t>
        </is>
      </c>
      <c r="C170" s="58" t="inlineStr">
        <is>
          <t>Heritage (WMSM-920)</t>
        </is>
      </c>
      <c r="D170" s="58" t="inlineStr">
        <is>
          <t>Offshore Patrol Cutter</t>
        </is>
      </c>
      <c r="E170" s="58" t="inlineStr">
        <is>
          <t>Under construction</t>
        </is>
      </c>
    </row>
    <row r="171" ht="10" customHeight="1">
      <c r="A171" s="58" t="inlineStr">
        <is>
          <t>Vessel Classes</t>
        </is>
      </c>
      <c r="B171" s="58" t="inlineStr">
        <is>
          <t>Class</t>
        </is>
      </c>
      <c r="C171" s="58" t="inlineStr">
        <is>
          <t>Sentinel (WPC-1101)</t>
        </is>
      </c>
      <c r="D171" s="58" t="inlineStr">
        <is>
          <t>Fast Response Cutter</t>
        </is>
      </c>
      <c r="E171" s="58" t="inlineStr">
        <is>
          <t>Active / under construction</t>
        </is>
      </c>
    </row>
    <row r="172" ht="10" customHeight="1">
      <c r="A172" s="58" t="inlineStr">
        <is>
          <t>Vessel Classes</t>
        </is>
      </c>
      <c r="B172" s="58" t="inlineStr">
        <is>
          <t>Class</t>
        </is>
      </c>
      <c r="C172" s="58" t="inlineStr">
        <is>
          <t>Famous (WMEC-270)</t>
        </is>
      </c>
      <c r="D172" s="58" t="inlineStr">
        <is>
          <t>270-foot medium endurance cutter</t>
        </is>
      </c>
      <c r="E172" s="58" t="inlineStr">
        <is>
          <t>Active</t>
        </is>
      </c>
    </row>
    <row r="173" ht="10" customHeight="1">
      <c r="A173" s="58" t="inlineStr">
        <is>
          <t>Vessel Classes</t>
        </is>
      </c>
      <c r="B173" s="58" t="inlineStr">
        <is>
          <t>Class</t>
        </is>
      </c>
      <c r="C173" s="58" t="inlineStr">
        <is>
          <t>Reliance (WMEC-210)</t>
        </is>
      </c>
      <c r="D173" s="58" t="inlineStr">
        <is>
          <t>210-foot medium endurance cutter</t>
        </is>
      </c>
      <c r="E173" s="58" t="inlineStr">
        <is>
          <t>Retiring</t>
        </is>
      </c>
    </row>
    <row r="174" ht="10" customHeight="1">
      <c r="A174" s="58" t="inlineStr">
        <is>
          <t>Vessel Classes</t>
        </is>
      </c>
      <c r="B174" s="58" t="inlineStr">
        <is>
          <t>Class</t>
        </is>
      </c>
      <c r="C174" s="58" t="inlineStr">
        <is>
          <t>Polar (WAGB-10)</t>
        </is>
      </c>
      <c r="D174" s="58" t="inlineStr">
        <is>
          <t>Polar-class heavy icebreaker</t>
        </is>
      </c>
      <c r="E174" s="58" t="inlineStr">
        <is>
          <t>Active (beyond service life)</t>
        </is>
      </c>
    </row>
    <row r="175" ht="10" customHeight="1">
      <c r="A175" s="58" t="inlineStr">
        <is>
          <t>Vessel Classes</t>
        </is>
      </c>
      <c r="B175" s="58" t="inlineStr">
        <is>
          <t>Class</t>
        </is>
      </c>
      <c r="C175" s="58" t="inlineStr">
        <is>
          <t>Polar Security Cutter (WAGB)</t>
        </is>
      </c>
      <c r="D175" s="58" t="inlineStr">
        <is>
          <t>New heavy polar icebreaker program</t>
        </is>
      </c>
      <c r="E175" s="58" t="inlineStr">
        <is>
          <t>Under construction</t>
        </is>
      </c>
    </row>
    <row r="176" ht="10" customHeight="1">
      <c r="A176" s="58" t="inlineStr">
        <is>
          <t>Vessel Classes</t>
        </is>
      </c>
      <c r="B176" s="58" t="inlineStr">
        <is>
          <t>Class</t>
        </is>
      </c>
      <c r="C176" s="58" t="inlineStr">
        <is>
          <t>Mackinaw (WLBB-30)</t>
        </is>
      </c>
      <c r="D176" s="58" t="inlineStr">
        <is>
          <t>Great Lakes icebreaker</t>
        </is>
      </c>
      <c r="E176" s="58" t="inlineStr">
        <is>
          <t>Active</t>
        </is>
      </c>
    </row>
    <row r="177" ht="10" customHeight="1">
      <c r="A177" s="58" t="inlineStr">
        <is>
          <t>Vessel Classes</t>
        </is>
      </c>
      <c r="B177" s="58" t="inlineStr">
        <is>
          <t>Class</t>
        </is>
      </c>
      <c r="C177" s="58" t="inlineStr">
        <is>
          <t>Juniper (WLB-201)</t>
        </is>
      </c>
      <c r="D177" s="58" t="inlineStr">
        <is>
          <t>Seagoing buoy tender</t>
        </is>
      </c>
      <c r="E177" s="58" t="inlineStr">
        <is>
          <t>Active</t>
        </is>
      </c>
    </row>
    <row r="178" ht="10" customHeight="1">
      <c r="A178" s="58" t="inlineStr">
        <is>
          <t>Vessel Classes</t>
        </is>
      </c>
      <c r="B178" s="58" t="inlineStr">
        <is>
          <t>Class</t>
        </is>
      </c>
      <c r="C178" s="58" t="inlineStr">
        <is>
          <t>Keeper (WLM-551)</t>
        </is>
      </c>
      <c r="D178" s="58" t="inlineStr">
        <is>
          <t>Coastal buoy tender</t>
        </is>
      </c>
      <c r="E178" s="58" t="inlineStr">
        <is>
          <t>Active</t>
        </is>
      </c>
    </row>
    <row r="179" ht="10" customHeight="1">
      <c r="A179" s="58" t="n"/>
      <c r="B179" s="58" t="n"/>
      <c r="C179" s="58" t="n"/>
      <c r="D179" s="58" t="n"/>
      <c r="E179" s="58" t="n"/>
    </row>
    <row r="180" ht="10" customHeight="1">
      <c r="A180" s="56" t="inlineStr">
        <is>
          <t>VESSEL COLUMN STANDARDIZATION RULES</t>
        </is>
      </c>
      <c r="B180" s="56" t="n"/>
      <c r="C180" s="56" t="n"/>
      <c r="D180" s="57" t="n"/>
      <c r="E180" s="57" t="n"/>
    </row>
    <row r="181" ht="10" customHeight="1">
      <c r="A181" s="58" t="n"/>
      <c r="B181" s="58" t="n"/>
      <c r="C181" s="58" t="n"/>
      <c r="D181" s="58" t="n"/>
      <c r="E181" s="58" t="n"/>
    </row>
    <row r="182" ht="10" customHeight="1">
      <c r="A182" s="58" t="inlineStr">
        <is>
          <t>Standardization</t>
        </is>
      </c>
      <c r="B182" s="58" t="inlineStr">
        <is>
          <t>Rule</t>
        </is>
      </c>
      <c r="C182" s="58" t="inlineStr">
        <is>
          <t>4-column vessel hierarchy</t>
        </is>
      </c>
      <c r="D182" s="58" t="inlineStr">
        <is>
          <t>Vessel data split into: Vessel_Service (USN/USCG/MSC), Vessel_Category (Combatant Ships, Auxiliary Ships, etc.), Vessel_Type (e.g., Surface Combatants), Vessel_Hull (e.g., DDG, T-AO).</t>
        </is>
      </c>
      <c r="E182" s="58" t="inlineStr">
        <is>
          <t>Each column progressively more specific. All 4 may be populated or only broader levels.</t>
        </is>
      </c>
    </row>
    <row r="183" ht="10" customHeight="1">
      <c r="A183" s="58" t="inlineStr">
        <is>
          <t>Standardization</t>
        </is>
      </c>
      <c r="B183" s="58" t="inlineStr">
        <is>
          <t>Rule</t>
        </is>
      </c>
      <c r="C183" s="58" t="inlineStr">
        <is>
          <t>Service determined by hull and source</t>
        </is>
      </c>
      <c r="D183" s="58" t="inlineStr">
        <is>
          <t>MSC assigned when hull starts with T-. USCG assigned for Cutters/Boats categories or USCG source book. All others USN.</t>
        </is>
      </c>
      <c r="E183" s="58" t="n"/>
    </row>
    <row r="184" ht="10" customHeight="1">
      <c r="A184" s="58" t="inlineStr">
        <is>
          <t>Standardization</t>
        </is>
      </c>
      <c r="B184" s="58" t="inlineStr">
        <is>
          <t>Rule</t>
        </is>
      </c>
      <c r="C184" s="58" t="inlineStr">
        <is>
          <t>Multi-type / multi-hull rows blanked</t>
        </is>
      </c>
      <c r="D184" s="58" t="inlineStr">
        <is>
          <t>If a line item applies to multiple vessel types or hulls, all 4 vessel columns are blank.</t>
        </is>
      </c>
      <c r="E184" s="58" t="inlineStr">
        <is>
          <t>Description or Citation preserves original scope.</t>
        </is>
      </c>
    </row>
    <row r="185" ht="10" customHeight="1">
      <c r="A185" s="58" t="inlineStr">
        <is>
          <t>Standardization</t>
        </is>
      </c>
      <c r="B185" s="58" t="inlineStr">
        <is>
          <t>Rule</t>
        </is>
      </c>
      <c r="C185" s="58" t="inlineStr">
        <is>
          <t>Vague values blanked</t>
        </is>
      </c>
      <c r="D185" s="58" t="inlineStr">
        <is>
          <t>Values like 'Multiple', 'Afloat (various)', 'N/A' that cannot map to a single canonical type are blanked.</t>
        </is>
      </c>
      <c r="E185" s="58" t="n"/>
    </row>
    <row r="186" ht="10" customHeight="1">
      <c r="A186" s="58" t="inlineStr">
        <is>
          <t>Standardization</t>
        </is>
      </c>
      <c r="B186" s="58" t="inlineStr">
        <is>
          <t>Rule</t>
        </is>
      </c>
      <c r="C186" s="58" t="inlineStr">
        <is>
          <t>Hull extracted from class or type</t>
        </is>
      </c>
      <c r="D186" s="58" t="inlineStr">
        <is>
          <t>Hull derived first from vessel class (Arleigh Burke -&gt; DDG). If no class but original type was specific (e.g., 'Surface Combatants (DDG)'), hull extracted from type.</t>
        </is>
      </c>
      <c r="E186" s="58" t="n"/>
    </row>
    <row r="187" ht="10" customHeight="1">
      <c r="A187" s="58" t="inlineStr">
        <is>
          <t>Standardization</t>
        </is>
      </c>
      <c r="B187" s="58" t="inlineStr">
        <is>
          <t>Rule</t>
        </is>
      </c>
      <c r="C187" s="58" t="inlineStr">
        <is>
          <t>Type has no parentheticals</t>
        </is>
      </c>
      <c r="D187" s="58" t="inlineStr">
        <is>
          <t>Vessel_Type uses base name only (e.g., 'Surface Combatants'). Hull abbreviations belong in Vessel_Hull.</t>
        </is>
      </c>
      <c r="E187" s="58" t="n"/>
    </row>
    <row r="188" ht="10" customHeight="1">
      <c r="A188" s="58" t="inlineStr">
        <is>
          <t>Standardization</t>
        </is>
      </c>
      <c r="B188" s="58" t="inlineStr">
        <is>
          <t>Rule</t>
        </is>
      </c>
      <c r="C188" s="58" t="inlineStr">
        <is>
          <t>Blank stays blank</t>
        </is>
      </c>
      <c r="D188" s="58" t="inlineStr">
        <is>
          <t>If vessel info was originally blank, all 4 vessel columns remain blank.</t>
        </is>
      </c>
      <c r="E188" s="58" t="n"/>
    </row>
    <row r="189" ht="10" customHeight="1">
      <c r="A189" s="54" t="n"/>
      <c r="B189" s="54" t="n"/>
      <c r="C189" s="54" t="n"/>
      <c r="D189" s="54" t="n"/>
      <c r="E189" s="54" t="n"/>
    </row>
    <row r="190" ht="10" customHeight="1">
      <c r="A190" s="56" t="inlineStr">
        <is>
          <t>COMPOSITE BUCKET VALUES</t>
        </is>
      </c>
      <c r="B190" s="56" t="n"/>
      <c r="C190" s="56" t="n"/>
      <c r="D190" s="57" t="n"/>
      <c r="E190" s="57" t="n"/>
    </row>
    <row r="191" ht="10" customHeight="1">
      <c r="A191" s="58" t="n"/>
      <c r="B191" s="58" t="n"/>
      <c r="C191" s="58" t="n"/>
      <c r="D191" s="58" t="n"/>
      <c r="E191" s="58" t="n"/>
    </row>
    <row r="192" ht="10" customHeight="1">
      <c r="A192" s="58" t="inlineStr">
        <is>
          <t>Buckets</t>
        </is>
      </c>
      <c r="B192" s="58" t="inlineStr">
        <is>
          <t>Note</t>
        </is>
      </c>
      <c r="C192" s="58" t="inlineStr">
        <is>
          <t>Composite buckets</t>
        </is>
      </c>
      <c r="D192" s="58" t="inlineStr">
        <is>
          <t>Some line items span multiple work types. Their Bucket value uses a delimiter (pipe, comma, or slash) to indicate all applicable buckets.</t>
        </is>
      </c>
      <c r="E192" s="58" t="inlineStr">
        <is>
          <t>Values: 2|3, 2,3, 2/4, 4/6, 1,4,5. These do not match any single-integer SUMPRODUCT filter and are correctly excluded from per-bucket TAM sums.</t>
        </is>
      </c>
    </row>
    <row r="193" ht="10" customHeight="1">
      <c r="A193" s="58" t="inlineStr">
        <is>
          <t>Buckets</t>
        </is>
      </c>
      <c r="B193" s="58" t="inlineStr">
        <is>
          <t>Note</t>
        </is>
      </c>
      <c r="C193" s="58" t="inlineStr">
        <is>
          <t>TAM impact</t>
        </is>
      </c>
      <c r="D193" s="58" t="inlineStr">
        <is>
          <t>Composite-bucket rows are excluded from the TAM-by-work-type pivot (sheets 3 &amp; 4) because SUMPRODUCT checks D=1, D=2, etc. — a string like "2|3" fails all single-integer tests.</t>
        </is>
      </c>
      <c r="E193" s="58" t="inlineStr">
        <is>
          <t>To capture these rows, filter Bucket for non-integer values.</t>
        </is>
      </c>
    </row>
    <row r="194" ht="10" customHeight="1">
      <c r="A194" s="54" t="n"/>
      <c r="B194" s="54" t="n"/>
      <c r="C194" s="54" t="n"/>
      <c r="D194" s="54" t="n"/>
      <c r="E194" s="54" t="n"/>
    </row>
    <row r="195" ht="10" customHeight="1">
      <c r="A195" s="56" t="inlineStr">
        <is>
          <t>BUCKET SUB-CATEGORIES (BUCKETS 2-7)</t>
        </is>
      </c>
      <c r="B195" s="56" t="n"/>
      <c r="C195" s="56" t="n"/>
      <c r="D195" s="57" t="n"/>
      <c r="E195" s="57" t="n"/>
    </row>
    <row r="196" ht="10" customHeight="1">
      <c r="A196" s="58" t="n"/>
      <c r="B196" s="58" t="n"/>
      <c r="C196" s="58" t="n"/>
      <c r="D196" s="58" t="n"/>
      <c r="E196" s="58" t="n"/>
    </row>
    <row r="197" ht="10" customHeight="1">
      <c r="A197" s="58" t="inlineStr">
        <is>
          <t>Bucket 2 Subs</t>
        </is>
      </c>
      <c r="B197" s="58" t="inlineStr">
        <is>
          <t>Sub-Category</t>
        </is>
      </c>
      <c r="C197" s="58" t="inlineStr">
        <is>
          <t>Scheduled Depot Maintenance</t>
        </is>
      </c>
      <c r="D197" s="58" t="inlineStr">
        <is>
          <t>CNO-scheduled depot-level maintenance availabilities (DSRA, SRA, DPMA, PMA, PIA, drydock).</t>
        </is>
      </c>
      <c r="E197" s="58" t="inlineStr">
        <is>
          <t>113 rows in current data.</t>
        </is>
      </c>
    </row>
    <row r="198" ht="10" customHeight="1">
      <c r="A198" s="58" t="inlineStr">
        <is>
          <t>Bucket 2 Subs</t>
        </is>
      </c>
      <c r="B198" s="58" t="inlineStr">
        <is>
          <t>Sub-Category</t>
        </is>
      </c>
      <c r="C198" s="58" t="inlineStr">
        <is>
          <t>Ship Availability</t>
        </is>
      </c>
      <c r="D198" s="58" t="inlineStr">
        <is>
          <t>Ship availability periods for maintenance and repair work.</t>
        </is>
      </c>
      <c r="E198" s="58" t="inlineStr">
        <is>
          <t>105 rows in current data.</t>
        </is>
      </c>
    </row>
    <row r="199" ht="10" customHeight="1">
      <c r="A199" s="58" t="n"/>
      <c r="B199" s="58" t="n"/>
      <c r="C199" s="58" t="n"/>
      <c r="D199" s="58" t="n"/>
      <c r="E199" s="58" t="n"/>
    </row>
    <row r="200" ht="10" customHeight="1">
      <c r="A200" s="58" t="inlineStr">
        <is>
          <t>Bucket 4 Subs</t>
        </is>
      </c>
      <c r="B200" s="58" t="inlineStr">
        <is>
          <t>Sub-Category</t>
        </is>
      </c>
      <c r="C200" s="58" t="inlineStr">
        <is>
          <t>GFE / combat systems for newbuild</t>
        </is>
      </c>
      <c r="D200" s="58" t="inlineStr">
        <is>
          <t>Government-furnished equipment and combat system modernization installations.</t>
        </is>
      </c>
      <c r="E200" s="58" t="inlineStr">
        <is>
          <t>Shared with Bucket 1 — same sub-category applies to both new construction and retrofit contexts.</t>
        </is>
      </c>
    </row>
    <row r="201" ht="10" customHeight="1">
      <c r="A201" s="58" t="n"/>
      <c r="B201" s="58" t="n"/>
      <c r="C201" s="58" t="n"/>
      <c r="D201" s="58" t="n"/>
      <c r="E201" s="58" t="n"/>
    </row>
    <row r="202" ht="10" customHeight="1">
      <c r="A202" s="58" t="inlineStr">
        <is>
          <t>Bucket 5 Subs</t>
        </is>
      </c>
      <c r="B202" s="58" t="inlineStr">
        <is>
          <t>Sub-Category</t>
        </is>
      </c>
      <c r="C202" s="58" t="inlineStr">
        <is>
          <t>RCOH</t>
        </is>
      </c>
      <c r="D202" s="58" t="inlineStr">
        <is>
          <t>Refueling Complex Overhaul — multi-year nuclear carrier recapitalization.</t>
        </is>
      </c>
      <c r="E202" s="58" t="inlineStr">
        <is>
          <t>187 rows in current data.</t>
        </is>
      </c>
    </row>
    <row r="203" ht="10" customHeight="1">
      <c r="A203" s="58" t="inlineStr">
        <is>
          <t>Bucket 5 Subs</t>
        </is>
      </c>
      <c r="B203" s="58" t="inlineStr">
        <is>
          <t>Sub-Category</t>
        </is>
      </c>
      <c r="C203" s="58" t="inlineStr">
        <is>
          <t>SLEP</t>
        </is>
      </c>
      <c r="D203" s="58" t="inlineStr">
        <is>
          <t>Service Life Extension Program — extends a platform beyond original design life.</t>
        </is>
      </c>
      <c r="E203" s="58" t="inlineStr">
        <is>
          <t>6 rows in current data.</t>
        </is>
      </c>
    </row>
    <row r="204" ht="10" customHeight="1">
      <c r="A204" s="58" t="n"/>
      <c r="B204" s="58" t="n"/>
      <c r="C204" s="58" t="n"/>
      <c r="D204" s="58" t="n"/>
      <c r="E204" s="58" t="n"/>
    </row>
    <row r="205" ht="10" customHeight="1">
      <c r="A205" s="58" t="inlineStr">
        <is>
          <t>Bucket 6 Subs</t>
        </is>
      </c>
      <c r="B205" s="58" t="inlineStr">
        <is>
          <t>Sub-Category</t>
        </is>
      </c>
      <c r="C205" s="58" t="inlineStr">
        <is>
          <t>Sustainment Engineering/Planning/Obsolescence Support - spares</t>
        </is>
      </c>
      <c r="D205" s="58" t="inlineStr">
        <is>
          <t>Spare parts procurement supporting sustainment engineering and obsolescence management (OPN BA08).</t>
        </is>
      </c>
      <c r="E205" s="58" t="inlineStr">
        <is>
          <t>14 rows in current data.</t>
        </is>
      </c>
    </row>
    <row r="206" ht="10" customHeight="1">
      <c r="A206" s="58" t="n"/>
      <c r="B206" s="58" t="n"/>
      <c r="C206" s="58" t="n"/>
      <c r="D206" s="58" t="n"/>
      <c r="E206" s="58" t="n"/>
    </row>
    <row r="207" ht="10" customHeight="1">
      <c r="A207" s="58" t="inlineStr">
        <is>
          <t>Bucket 7 Subs</t>
        </is>
      </c>
      <c r="B207" s="58" t="inlineStr">
        <is>
          <t>Sub-Category</t>
        </is>
      </c>
      <c r="C207" s="58" t="inlineStr">
        <is>
          <t>Availability Support</t>
        </is>
      </c>
      <c r="D207" s="58" t="inlineStr">
        <is>
          <t>Services enabling repair/modernization — husbanding, port services, crane, scaffolding, environmental.</t>
        </is>
      </c>
      <c r="E207" s="58" t="inlineStr">
        <is>
          <t>76 rows in current data.</t>
        </is>
      </c>
    </row>
    <row r="208" ht="10" customHeight="1">
      <c r="A208" s="58" t="n"/>
      <c r="B208" s="58" t="n"/>
      <c r="C208" s="58" t="n"/>
      <c r="D208" s="58" t="n"/>
      <c r="E208" s="58" t="n"/>
    </row>
    <row r="209" ht="10" customHeight="1">
      <c r="A209" s="58" t="inlineStr">
        <is>
          <t>Other</t>
        </is>
      </c>
      <c r="B209" s="58" t="inlineStr">
        <is>
          <t>Sub-Category</t>
        </is>
      </c>
      <c r="C209" s="58" t="inlineStr">
        <is>
          <t>Full vessel procurement</t>
        </is>
      </c>
      <c r="D209" s="58" t="inlineStr">
        <is>
          <t>USCG full vessel procurement — equivalent to Full ship DD&amp;C but for Coast Guard assets.</t>
        </is>
      </c>
      <c r="E209" s="58" t="inlineStr">
        <is>
          <t>6 rows in current data. Used for USCG cutters/boats.</t>
        </is>
      </c>
    </row>
    <row r="210" ht="10" customHeight="1">
      <c r="A210" s="58" t="inlineStr">
        <is>
          <t>Other</t>
        </is>
      </c>
      <c r="B210" s="58" t="inlineStr">
        <is>
          <t>Sub-Category</t>
        </is>
      </c>
      <c r="C210" s="58" t="inlineStr">
        <is>
          <t>Full ship DD&amp;C / LLTM</t>
        </is>
      </c>
      <c r="D210" s="58" t="inlineStr">
        <is>
          <t>Combined full ship construction and long-lead time material in a single line item.</t>
        </is>
      </c>
      <c r="E210" s="58" t="inlineStr">
        <is>
          <t>3 rows in current data.</t>
        </is>
      </c>
    </row>
    <row r="211" ht="10" customHeight="1">
      <c r="A211" s="54" t="n"/>
      <c r="B211" s="54" t="n"/>
      <c r="C211" s="54" t="n"/>
      <c r="D211" s="54" t="n"/>
      <c r="E211" s="54" t="n"/>
    </row>
    <row r="212"/>
    <row r="213" ht="10" customHeight="1">
      <c r="A213" s="56" t="inlineStr">
        <is>
          <t>FY 2027 COLUMNS — METHODOLOGY &amp; SOURCING</t>
        </is>
      </c>
      <c r="B213" s="56" t="n"/>
      <c r="C213" s="56" t="n"/>
      <c r="D213" s="57" t="n"/>
      <c r="E213" s="57" t="n"/>
    </row>
    <row r="214"/>
    <row r="215" ht="10" customHeight="1">
      <c r="A215" s="59" t="inlineStr">
        <is>
          <t>FY 2027 Columns</t>
        </is>
      </c>
      <c r="B215" s="59" t="inlineStr">
        <is>
          <t>Source Document</t>
        </is>
      </c>
      <c r="C215" s="59" t="inlineStr">
        <is>
          <t>FY 2027 P-1 / O-1 (April 2026)</t>
        </is>
      </c>
      <c r="D215" s="60" t="inlineStr">
        <is>
          <t>New columns added: FY2027 Request ($K), FY2027 Mandatory Request ($K), FY2027 Total ($K). Located at end of sheet (cols AI/AJ/AK) to avoid breaking the column-letter formula references in TAM, SAM, and Competitive Dynamics.</t>
        </is>
      </c>
      <c r="E215" s="60" t="inlineStr">
        <is>
          <t>Status of FY27: REQUEST only, not enacted. Congress has not yet acted on the FY27 budget submission.</t>
        </is>
      </c>
    </row>
    <row r="216" ht="10" customHeight="1">
      <c r="A216" s="59" t="n"/>
      <c r="B216" s="59" t="n"/>
      <c r="C216" s="59" t="n"/>
      <c r="D216" s="59" t="n"/>
      <c r="E216" s="59" t="n"/>
    </row>
    <row r="217" ht="10" customHeight="1">
      <c r="A217" s="59" t="inlineStr">
        <is>
          <t>FY 2027 Columns</t>
        </is>
      </c>
      <c r="B217" s="59" t="inlineStr">
        <is>
          <t>Discretionary vs Mandatory</t>
        </is>
      </c>
      <c r="C217" s="59" t="inlineStr">
        <is>
          <t>Two separate FY27 columns</t>
        </is>
      </c>
      <c r="D217" s="60"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60" t="inlineStr">
        <is>
          <t>FY2027 Total = Disc Request + Mandatory Request. SCN FY27 totals: Disc $60.18B + Mand $5.65B = $65.83B.</t>
        </is>
      </c>
    </row>
    <row r="218" ht="10" customHeight="1">
      <c r="A218" s="59" t="n"/>
      <c r="B218" s="59" t="n"/>
      <c r="C218" s="59" t="n"/>
      <c r="D218" s="59" t="n"/>
      <c r="E218" s="59" t="n"/>
    </row>
    <row r="219" ht="10" customHeight="1">
      <c r="A219" s="59" t="inlineStr">
        <is>
          <t>FY 2027 Columns</t>
        </is>
      </c>
      <c r="B219" s="59" t="inlineStr">
        <is>
          <t>TAM Formula</t>
        </is>
      </c>
      <c r="C219" s="59" t="inlineStr">
        <is>
          <t>Same as FY26 — sum (no tag) + [PARENT] rows</t>
        </is>
      </c>
      <c r="D219" s="60" t="inlineStr">
        <is>
          <t>For FY27: TAM = SUM(FY27_Total) WHERE Row_Type IN ("", "[PARENT]"). Use FY2027 Total as the per-row value, OR sum FY2027 Request + FY2027 Mandatory Request separately if you want to model the two scenarios.</t>
        </is>
      </c>
      <c r="E219" s="60" t="inlineStr">
        <is>
          <t>Same double-counting guards apply: skip [SUB], [ALT_VIEW], [REFERENCE], [UNFUNDED]. Composite-bucket rows still excluded from per-bucket pivots.</t>
        </is>
      </c>
    </row>
    <row r="220" ht="10" customHeight="1">
      <c r="A220" s="59" t="n"/>
      <c r="B220" s="59" t="n"/>
      <c r="C220" s="59" t="n"/>
      <c r="D220" s="59" t="n"/>
      <c r="E220" s="59" t="n"/>
    </row>
    <row r="221" ht="10" customHeight="1">
      <c r="A221" s="59" t="inlineStr">
        <is>
          <t>FY 2027 Columns</t>
        </is>
      </c>
      <c r="B221" s="59" t="inlineStr">
        <is>
          <t>Net vs Gross convention</t>
        </is>
      </c>
      <c r="C221" s="59" t="inlineStr">
        <is>
          <t>PARENT = NET (gross − Less:AP − Less:SFF)</t>
        </is>
      </c>
      <c r="D221" s="60"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60" t="inlineStr">
        <is>
          <t>Validated against FY26: Virginia Class PARENT FY26 DAA Final = $2.74B = gross $5.39B − AP $2.65B (FY27 P-1 page 135). Same approach used for FY27.</t>
        </is>
      </c>
    </row>
    <row r="222" ht="10" customHeight="1">
      <c r="A222" s="59" t="n"/>
      <c r="B222" s="59" t="n"/>
      <c r="C222" s="59" t="n"/>
      <c r="D222" s="59" t="n"/>
      <c r="E222" s="59" t="n"/>
    </row>
    <row r="223" ht="10" customHeight="1">
      <c r="A223" s="59" t="inlineStr">
        <is>
          <t>FY 2027 Columns</t>
        </is>
      </c>
      <c r="B223" s="59" t="inlineStr">
        <is>
          <t>OBBBA exclusion</t>
        </is>
      </c>
      <c r="C223" s="59" t="inlineStr">
        <is>
          <t>OBBBA does NOT get a separate FY27 column</t>
        </is>
      </c>
      <c r="D223" s="60"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60" t="inlineStr">
        <is>
          <t>See "Budget authority vs spending implementation" row below for the nuance about why some OBBBA contracts will sign in FY27/FY28 even though the budget authority is FY26.</t>
        </is>
      </c>
    </row>
    <row r="224" ht="10" customHeight="1">
      <c r="A224" s="59" t="n"/>
      <c r="B224" s="59" t="n"/>
      <c r="C224" s="59" t="n"/>
      <c r="D224" s="59" t="n"/>
      <c r="E224" s="59" t="n"/>
    </row>
    <row r="225" ht="10" customHeight="1">
      <c r="A225" s="59" t="inlineStr">
        <is>
          <t>FY 2027 Columns</t>
        </is>
      </c>
      <c r="B225" s="59" t="inlineStr">
        <is>
          <t>Budget authority vs spending implementation</t>
        </is>
      </c>
      <c r="C225" s="59" t="inlineStr">
        <is>
          <t>Important conceptual distinction</t>
        </is>
      </c>
      <c r="D225" s="60"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60"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59" t="n"/>
      <c r="B226" s="59" t="n"/>
      <c r="C226" s="59" t="n"/>
      <c r="D226" s="59" t="n"/>
      <c r="E226" s="59" t="n"/>
    </row>
    <row r="227" ht="10" customHeight="1">
      <c r="A227" s="59" t="inlineStr">
        <is>
          <t>FY 2027 Columns</t>
        </is>
      </c>
      <c r="B227" s="59" t="inlineStr">
        <is>
          <t>FY27 Mandatory Request vs OBBBA</t>
        </is>
      </c>
      <c r="C227" s="59" t="inlineStr">
        <is>
          <t>These are DIFFERENT pots of money</t>
        </is>
      </c>
      <c r="D227" s="60"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60" t="inlineStr">
        <is>
          <t>SCN FY27 Mandatory Request = $5.65B. Compare to SCN FY26 OBBBA (PL 119-21) = $17.93B. Different bills, different fiscal years, both technically "reconciliation" but accounted separately.</t>
        </is>
      </c>
    </row>
    <row r="228" ht="10" customHeight="1">
      <c r="A228" s="59" t="n"/>
      <c r="B228" s="59" t="n"/>
      <c r="C228" s="59" t="n"/>
      <c r="D228" s="59" t="n"/>
      <c r="E228" s="59" t="n"/>
    </row>
    <row r="229" ht="10" customHeight="1">
      <c r="A229" s="59" t="inlineStr">
        <is>
          <t>FY 2027 Columns</t>
        </is>
      </c>
      <c r="B229" s="59" t="inlineStr">
        <is>
          <t>Coverage by source book</t>
        </is>
      </c>
      <c r="C229" s="59" t="inlineStr">
        <is>
          <t>High for SCN/OPN/WPN, blank for OMN/NWCF/USCG</t>
        </is>
      </c>
      <c r="D229" s="60"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60" t="inlineStr">
        <is>
          <t>Plan: OMN/NWCF will be filled via prorated SAG-level allocation in a separate sheet (Phase 2). USCG will be filled when DHS Congressional Justification is sourced.</t>
        </is>
      </c>
    </row>
    <row r="230" ht="10" customHeight="1">
      <c r="A230" s="59" t="n"/>
      <c r="B230" s="59" t="n"/>
      <c r="C230" s="59" t="n"/>
      <c r="D230" s="59" t="n"/>
      <c r="E230" s="59" t="n"/>
    </row>
    <row r="231" ht="10" customHeight="1">
      <c r="A231" s="59" t="inlineStr">
        <is>
          <t>FY 2027 Columns</t>
        </is>
      </c>
      <c r="B231" s="59" t="inlineStr">
        <is>
          <t>New programs added in v1.21</t>
        </is>
      </c>
      <c r="C231" s="59" t="inlineStr">
        <is>
          <t>9 new SCN rows for FY27 P-1 line items</t>
        </is>
      </c>
      <c r="D231" s="60"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60" t="inlineStr">
        <is>
          <t>Each new row has Source=SCN, Color of Money=Procurement, no Row Type tag (additive), and full vessel taxonomy populated where available.</t>
        </is>
      </c>
    </row>
    <row r="232" ht="10" customHeight="1">
      <c r="A232" s="59" t="n"/>
      <c r="B232" s="59" t="n"/>
      <c r="C232" s="59" t="n"/>
      <c r="D232" s="59" t="n"/>
      <c r="E232" s="59" t="n"/>
    </row>
    <row r="233" ht="10" customHeight="1">
      <c r="A233" s="59" t="inlineStr">
        <is>
          <t>FY 2027 Columns</t>
        </is>
      </c>
      <c r="B233" s="59" t="inlineStr">
        <is>
          <t>1613N Maritime Industrial Base Fund</t>
        </is>
      </c>
      <c r="C233" s="59" t="inlineStr">
        <is>
          <t>NOT added — FY26-only appropriation</t>
        </is>
      </c>
      <c r="D233" s="60"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60" t="inlineStr">
        <is>
          <t>—</t>
        </is>
      </c>
    </row>
    <row r="234"/>
    <row r="235" ht="10" customHeight="1">
      <c r="A235" s="56" t="inlineStr">
        <is>
          <t>DATA QUALITY FLAGS — KNOWN DUPLICATES &amp; INCONSISTENCIES</t>
        </is>
      </c>
      <c r="B235" s="56" t="n"/>
      <c r="C235" s="56" t="n"/>
      <c r="D235" s="57" t="n"/>
      <c r="E235" s="57" t="n"/>
    </row>
    <row r="236"/>
    <row r="237" ht="10" customHeight="1">
      <c r="A237" s="59" t="inlineStr">
        <is>
          <t>Data Quality</t>
        </is>
      </c>
      <c r="B237" s="59" t="inlineStr">
        <is>
          <t>Submarket value duplicates (RESOLVED in v1.22)</t>
        </is>
      </c>
      <c r="C237" s="59" t="inlineStr">
        <is>
          <t>Surface Combatants - Large / Medium</t>
        </is>
      </c>
      <c r="D237" s="60"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60" t="inlineStr">
        <is>
          <t>If you reload data from a source that uses en-dashes, re-run the consolidation step.</t>
        </is>
      </c>
    </row>
    <row r="238" ht="10" customHeight="1">
      <c r="A238" s="59" t="n"/>
      <c r="B238" s="59" t="n"/>
      <c r="C238" s="59" t="n"/>
      <c r="D238" s="59" t="n"/>
      <c r="E238" s="59" t="n"/>
    </row>
    <row r="239" ht="10" customHeight="1">
      <c r="A239" s="59" t="inlineStr">
        <is>
          <t>Data Quality</t>
        </is>
      </c>
      <c r="B239" s="59" t="inlineStr">
        <is>
          <t>Duplicate rows across OPN_BA3 and OPN_BA5-8</t>
        </is>
      </c>
      <c r="C239" s="59" t="inlineStr">
        <is>
          <t>5 line items appear in both source books</t>
        </is>
      </c>
      <c r="D239" s="60"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60"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59" t="n"/>
      <c r="B240" s="59" t="n"/>
      <c r="C240" s="59" t="n"/>
      <c r="D240" s="59" t="n"/>
      <c r="E240" s="59" t="n"/>
    </row>
    <row r="241" ht="10" customHeight="1">
      <c r="A241" s="59" t="inlineStr">
        <is>
          <t>Data Quality</t>
        </is>
      </c>
      <c r="B241" s="59" t="inlineStr">
        <is>
          <t>Duplicate row #1: LI 116 Advanced Arresting Gear (AAG)</t>
        </is>
      </c>
      <c r="C241" s="59" t="inlineStr">
        <is>
          <t>OPN_BA3 R2890 + OPN_BA5-8 R3208</t>
        </is>
      </c>
      <c r="D241" s="60" t="inlineStr">
        <is>
          <t>Both rows reference the same P-1 line item (Advanced Arresting Gear). Citation in OPN_BA3 says "P-40 / BA03 / BSA03 Aircraft Support Equipment / LI 4217". Citation in OPN_BA5-8 says "Exhibit P-1 / BA03 Aviation Support Equipment / Aircraft Support Equipment".</t>
        </is>
      </c>
      <c r="E241" s="60" t="inlineStr">
        <is>
          <t>Both populate FY27 = $23,551K disc. Pick one as canonical.</t>
        </is>
      </c>
    </row>
    <row r="242" ht="10" customHeight="1">
      <c r="A242" s="59" t="n"/>
      <c r="B242" s="59" t="n"/>
      <c r="C242" s="59" t="n"/>
      <c r="D242" s="59" t="n"/>
      <c r="E242" s="59" t="n"/>
    </row>
    <row r="243" ht="10" customHeight="1">
      <c r="A243" s="59" t="inlineStr">
        <is>
          <t>Data Quality</t>
        </is>
      </c>
      <c r="B243" s="59" t="inlineStr">
        <is>
          <t>Duplicate row #2: LI 117 Electromagnetic Aircraft Launch System (EMALS)</t>
        </is>
      </c>
      <c r="C243" s="59" t="inlineStr">
        <is>
          <t>OPN_BA3 R2901 + OPN_BA5-8 R3209</t>
        </is>
      </c>
      <c r="D243" s="60" t="inlineStr">
        <is>
          <t>Both rows reference the same P-1 line item (EMALS). Same dual-citation pattern as AAG.</t>
        </is>
      </c>
      <c r="E243" s="60" t="inlineStr">
        <is>
          <t>Both populate FY27 = $36,908K disc. Pick one as canonical.</t>
        </is>
      </c>
    </row>
    <row r="244" ht="10" customHeight="1">
      <c r="A244" s="59" t="n"/>
      <c r="B244" s="59" t="n"/>
      <c r="C244" s="59" t="n"/>
      <c r="D244" s="59" t="n"/>
      <c r="E244" s="59" t="n"/>
    </row>
    <row r="245" ht="10" customHeight="1">
      <c r="A245" s="59" t="inlineStr">
        <is>
          <t>Data Quality</t>
        </is>
      </c>
      <c r="B245" s="59" t="inlineStr">
        <is>
          <t>Duplicate row #3: LI 122 UMCS-Unman Carrier Aviation (UCA) Mission Control Station</t>
        </is>
      </c>
      <c r="C245" s="59" t="inlineStr">
        <is>
          <t>OPN_BA3 R2947 + OPN_BA5-8 R3210</t>
        </is>
      </c>
      <c r="D245" s="60" t="inlineStr">
        <is>
          <t>Both rows reference the same P-1 line item (UMCS-UCA). Same dual-citation pattern.</t>
        </is>
      </c>
      <c r="E245" s="60" t="inlineStr">
        <is>
          <t>Both populate FY27 = $211,216K disc. Pick one as canonical.</t>
        </is>
      </c>
    </row>
    <row r="246" ht="10" customHeight="1">
      <c r="A246" s="59" t="n"/>
      <c r="B246" s="59" t="n"/>
      <c r="C246" s="59" t="n"/>
      <c r="D246" s="59" t="n"/>
      <c r="E246" s="59" t="n"/>
    </row>
    <row r="247" ht="10" customHeight="1">
      <c r="A247" s="59" t="inlineStr">
        <is>
          <t>Data Quality</t>
        </is>
      </c>
      <c r="B247" s="59" t="inlineStr">
        <is>
          <t>Duplicate row #4: LI 176 Spares and Repair Parts</t>
        </is>
      </c>
      <c r="C247" s="59" t="inlineStr">
        <is>
          <t>OPN_BA3 R2973 + OPN_BA5-8 R3220</t>
        </is>
      </c>
      <c r="D247" s="60" t="inlineStr">
        <is>
          <t>Both rows reference P-1 BA08 line 176 "Spares and Repair Parts". OPN_BA3 has it because the source book includes BA08 spares; OPN_BA5-8 also covers BA08. Same line, two rows.</t>
        </is>
      </c>
      <c r="E247" s="60" t="inlineStr">
        <is>
          <t>Both populate FY27 = $765,711K disc. Pick one as canonical. Largest single-line double-count.</t>
        </is>
      </c>
    </row>
    <row r="248" ht="10" customHeight="1">
      <c r="A248" s="59" t="n"/>
      <c r="B248" s="59" t="n"/>
      <c r="C248" s="59" t="n"/>
      <c r="D248" s="59" t="n"/>
      <c r="E248" s="59" t="n"/>
    </row>
    <row r="249" ht="10" customHeight="1">
      <c r="A249" s="59" t="inlineStr">
        <is>
          <t>Data Quality</t>
        </is>
      </c>
      <c r="B249" s="59" t="inlineStr">
        <is>
          <t>Duplicate row #5: LI 177 VIRGINIA Class (VACL) Spares and Repair Parts</t>
        </is>
      </c>
      <c r="C249" s="59" t="inlineStr">
        <is>
          <t>OPN_BA3 R2974 + OPN_BA5-8 R3221</t>
        </is>
      </c>
      <c r="D249" s="60"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60" t="inlineStr">
        <is>
          <t>In FY26, both rows have data populated. For FY27, decide whether VIRGINIA Spares should be allocated as a fixed share of the consolidated BA08 line 176 ($765,711K) or left blank. If allocated, follow the same prorated approach planned for OMN/NWCF.</t>
        </is>
      </c>
    </row>
    <row r="250"/>
    <row r="251"/>
    <row r="252" ht="10" customHeight="1">
      <c r="A252" s="56" t="inlineStr">
        <is>
          <t>PHASE 2 — OMN / NWCF / USCG FY27 ALLOCATION METHODOLOGY (planned, not yet implemented)</t>
        </is>
      </c>
      <c r="B252" s="56" t="n"/>
      <c r="C252" s="56" t="n"/>
      <c r="D252" s="57" t="n"/>
      <c r="E252" s="57" t="n"/>
    </row>
    <row r="253"/>
    <row r="254" ht="10" customHeight="1">
      <c r="A254" s="59" t="inlineStr">
        <is>
          <t>Phase 2 Plan</t>
        </is>
      </c>
      <c r="B254" s="59" t="inlineStr">
        <is>
          <t>Why a separate sheet</t>
        </is>
      </c>
      <c r="C254" s="59" t="inlineStr">
        <is>
          <t>New sheet "FY27 Allocation Workbench"</t>
        </is>
      </c>
      <c r="D254" s="60"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60" t="inlineStr">
        <is>
          <t>USCG cannot be filled from this DoW exhibit set at all — it would require the DHS Coast Guard Congressional Justification, sourced separately. Phase 2 covers OMN/OMN_Vol2/NWCF only.</t>
        </is>
      </c>
    </row>
    <row r="255" ht="10" customHeight="1">
      <c r="A255" s="59" t="n"/>
      <c r="B255" s="59" t="n"/>
      <c r="C255" s="59" t="n"/>
      <c r="D255" s="59" t="n"/>
      <c r="E255" s="59" t="n"/>
    </row>
    <row r="256" ht="10" customHeight="1">
      <c r="A256" s="59" t="inlineStr">
        <is>
          <t>Phase 2 Plan</t>
        </is>
      </c>
      <c r="B256" s="59" t="inlineStr">
        <is>
          <t>Allocation rule</t>
        </is>
      </c>
      <c r="C256" s="59" t="inlineStr">
        <is>
          <t>Pro-rate by FY26 share of SAG total</t>
        </is>
      </c>
      <c r="D256" s="60"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60"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59" t="n"/>
      <c r="B257" s="59" t="n"/>
      <c r="C257" s="59" t="n"/>
      <c r="D257" s="59" t="n"/>
      <c r="E257" s="59" t="n"/>
    </row>
    <row r="258" ht="10" customHeight="1">
      <c r="A258" s="59" t="inlineStr">
        <is>
          <t>Phase 2 Plan</t>
        </is>
      </c>
      <c r="B258" s="59" t="inlineStr">
        <is>
          <t>Source SAG totals (FY27)</t>
        </is>
      </c>
      <c r="C258" s="59" t="inlineStr">
        <is>
          <t>From FY27 O-1 / RF-1</t>
        </is>
      </c>
      <c r="D258" s="60"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60" t="inlineStr">
        <is>
          <t>These totals all have FY27 Disc Request only — no FY27 Mandatory Request for OMN/NWCF in the FY27 PB (mandatory is concentrated in procurement accounts).</t>
        </is>
      </c>
    </row>
    <row r="259" ht="10" customHeight="1">
      <c r="A259" s="59" t="n"/>
      <c r="B259" s="59" t="n"/>
      <c r="C259" s="59" t="n"/>
      <c r="D259" s="59" t="n"/>
      <c r="E259" s="59" t="n"/>
    </row>
    <row r="260" ht="10" customHeight="1">
      <c r="A260" s="59" t="inlineStr">
        <is>
          <t>Phase 2 Plan</t>
        </is>
      </c>
      <c r="B260" s="59" t="inlineStr">
        <is>
          <t>Workbench sheet structure</t>
        </is>
      </c>
      <c r="C260" s="59" t="inlineStr">
        <is>
          <t>One row per J Book row to be allocated</t>
        </is>
      </c>
      <c r="D260" s="60"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60" t="inlineStr">
        <is>
          <t>After review, copy col J back into the FY27 Request column of J Book Items Cons. for each row. Leave Mandatory Request blank for OMN/NWCF (no FY27 mandatory ask in those accounts).</t>
        </is>
      </c>
    </row>
    <row r="261" ht="10" customHeight="1">
      <c r="A261" s="59" t="n"/>
      <c r="B261" s="59" t="n"/>
      <c r="C261" s="59" t="n"/>
      <c r="D261" s="59" t="n"/>
      <c r="E261" s="59" t="n"/>
    </row>
    <row r="262" ht="10" customHeight="1">
      <c r="A262" s="59" t="inlineStr">
        <is>
          <t>Phase 2 Plan</t>
        </is>
      </c>
      <c r="B262" s="59" t="inlineStr">
        <is>
          <t>SAG → row mapping</t>
        </is>
      </c>
      <c r="C262" s="59" t="inlineStr">
        <is>
          <t>Use the Citation column</t>
        </is>
      </c>
      <c r="D262" s="60"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60" t="inlineStr">
        <is>
          <t>For rows with ambiguous or missing citations, manual SAG assignment is required.</t>
        </is>
      </c>
    </row>
    <row r="263" ht="10" customHeight="1">
      <c r="A263" s="59" t="n"/>
      <c r="B263" s="59" t="n"/>
      <c r="C263" s="59" t="n"/>
      <c r="D263" s="59" t="n"/>
      <c r="E263" s="59" t="n"/>
    </row>
    <row r="264" ht="10" customHeight="1">
      <c r="A264" s="59" t="inlineStr">
        <is>
          <t>Phase 2 Plan</t>
        </is>
      </c>
      <c r="B264" s="59" t="inlineStr">
        <is>
          <t>Validation after Phase 2</t>
        </is>
      </c>
      <c r="C264" s="59" t="inlineStr">
        <is>
          <t>Sum check vs FY27 SAG total</t>
        </is>
      </c>
      <c r="D264" s="60"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60" t="inlineStr">
        <is>
          <t>Same TAM rules apply: only PARENT and (no tag) rows are additive. Sub rows can be filled for context but should not be summed in the SAG check.</t>
        </is>
      </c>
    </row>
    <row r="265" ht="10" customHeight="1">
      <c r="A265" s="59" t="n"/>
      <c r="B265" s="59" t="n"/>
      <c r="C265" s="59" t="n"/>
      <c r="D265" s="59" t="n"/>
      <c r="E265" s="59" t="n"/>
    </row>
    <row r="266" ht="10" customHeight="1">
      <c r="A266" s="59" t="inlineStr">
        <is>
          <t>Phase 2 Plan</t>
        </is>
      </c>
      <c r="B266" s="59" t="inlineStr">
        <is>
          <t>When NOT to prorate</t>
        </is>
      </c>
      <c r="C266" s="59" t="inlineStr">
        <is>
          <t>Manually populated rows</t>
        </is>
      </c>
      <c r="D266" s="60"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60" t="inlineStr">
        <is>
          <t>—</t>
        </is>
      </c>
    </row>
    <row r="267" ht="10" customHeight="1">
      <c r="A267" s="59" t="n"/>
      <c r="B267" s="59" t="n"/>
      <c r="C267" s="59" t="n"/>
      <c r="D267" s="59" t="n"/>
      <c r="E267" s="59" t="n"/>
    </row>
    <row r="268" ht="10" customHeight="1">
      <c r="A268" s="59" t="inlineStr">
        <is>
          <t>Phase 2 Plan</t>
        </is>
      </c>
      <c r="B268" s="59" t="inlineStr">
        <is>
          <t>USCG handling</t>
        </is>
      </c>
      <c r="C268" s="59" t="inlineStr">
        <is>
          <t>Out of scope for Phase 2</t>
        </is>
      </c>
      <c r="D268" s="60"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60" t="inlineStr">
        <is>
          <t>Until Phase 3, USCG FY27 columns remain blank.</t>
        </is>
      </c>
    </row>
    <row r="269"/>
    <row r="270" ht="11" customHeight="1">
      <c r="A270" s="61" t="inlineStr">
        <is>
          <t>TAM &amp; SAM MEKKO TABLE VERSIONS (v1 – v4)</t>
        </is>
      </c>
    </row>
    <row r="271"/>
    <row r="272" ht="11" customHeight="1">
      <c r="A272" s="62" t="inlineStr">
        <is>
          <t>TAM / SAM Mekkos</t>
        </is>
      </c>
      <c r="B272" s="62" t="inlineStr">
        <is>
          <t>Purpose</t>
        </is>
      </c>
      <c r="C272" s="62" t="inlineStr">
        <is>
          <t>Mekko chart data tables</t>
        </is>
      </c>
      <c r="D272" s="62" t="inlineStr">
        <is>
          <t>Each Mekko table breaks FY2026 spending by vessel type (columns) and work type (rows). Values are percentages of the column total — designed to feed stacked-bar or Mekko charts. The bottom "Total" row holds absolute $K values that set the column widths.</t>
        </is>
      </c>
      <c r="E272" s="62" t="inlineStr">
        <is>
          <t>TAM = total addressable market. SAM = serviceable addressable market (TAM minus vessel types BuildCo cannot compete for).</t>
        </is>
      </c>
    </row>
    <row r="273" ht="11" customHeight="1">
      <c r="A273" s="62" t="inlineStr">
        <is>
          <t>TAM / SAM Mekkos</t>
        </is>
      </c>
      <c r="B273" s="62" t="inlineStr">
        <is>
          <t>TAM scope</t>
        </is>
      </c>
      <c r="C273" s="62" t="inlineStr">
        <is>
          <t>All Navy + USCG vessel spending</t>
        </is>
      </c>
      <c r="D273" s="62"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62" t="inlineStr">
        <is>
          <t>TAM / SAM Mekkos</t>
        </is>
      </c>
      <c r="B274" s="62" t="inlineStr">
        <is>
          <t>SAM scope</t>
        </is>
      </c>
      <c r="C274" s="62" t="inlineStr">
        <is>
          <t>TAM excl. Submarines, Aircraft Carriers &amp; UUVs</t>
        </is>
      </c>
      <c r="D274" s="62"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62" t="inlineStr">
        <is>
          <t>TAM / SAM Mekkos</t>
        </is>
      </c>
      <c r="B275" s="62" t="inlineStr">
        <is>
          <t>v1 (original)</t>
        </is>
      </c>
      <c r="C275" s="62" t="inlineStr">
        <is>
          <t>Original Mekko tables</t>
        </is>
      </c>
      <c r="D275" s="62"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62" t="inlineStr">
        <is>
          <t>Kept for backwards compatibility. Superseded by v2+.</t>
        </is>
      </c>
    </row>
    <row r="276" ht="11" customHeight="1">
      <c r="A276" s="62" t="inlineStr">
        <is>
          <t>TAM / SAM Mekkos</t>
        </is>
      </c>
      <c r="B276" s="62" t="inlineStr">
        <is>
          <t>v2 (comprehensive)</t>
        </is>
      </c>
      <c r="C276" s="62" t="inlineStr">
        <is>
          <t>All in-scope vessel types, all work types</t>
        </is>
      </c>
      <c r="D276" s="62"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62" t="inlineStr">
        <is>
          <t>v2 is the "show me everything" view. Many columns will be zero.</t>
        </is>
      </c>
    </row>
    <row r="277" ht="11" customHeight="1">
      <c r="A277" s="62" t="inlineStr">
        <is>
          <t>TAM / SAM Mekkos</t>
        </is>
      </c>
      <c r="B277" s="62" t="inlineStr">
        <is>
          <t>v3 (scoped)</t>
        </is>
      </c>
      <c r="C277" s="62" t="inlineStr">
        <is>
          <t>v2 with narrower scope</t>
        </is>
      </c>
      <c r="D277" s="62"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62" t="inlineStr">
        <is>
          <t>SAM v3 answers: "of the work types a shipyard could bid on, how does spend break down by vessel type?"</t>
        </is>
      </c>
    </row>
    <row r="278" ht="11" customHeight="1">
      <c r="A278" s="62" t="inlineStr">
        <is>
          <t>TAM / SAM Mekkos</t>
        </is>
      </c>
      <c r="B278" s="62" t="inlineStr">
        <is>
          <t>v4 (final)</t>
        </is>
      </c>
      <c r="C278" s="62" t="inlineStr">
        <is>
          <t>Outsourceable work types, non-zero columns only</t>
        </is>
      </c>
      <c r="D278" s="62"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62" t="inlineStr">
        <is>
          <t>v4 is the "bottom line" table for market sizing. NC has ~13 cols, MRO has ~7 cols.</t>
        </is>
      </c>
    </row>
    <row r="279" ht="11" customHeight="1">
      <c r="A279" s="62" t="inlineStr">
        <is>
          <t>TAM / SAM Mekkos</t>
        </is>
      </c>
      <c r="B279" s="62" t="inlineStr">
        <is>
          <t>Outsourceable work types</t>
        </is>
      </c>
      <c r="C279" s="62" t="inlineStr">
        <is>
          <t>NC + SDM + Modernization</t>
        </is>
      </c>
      <c r="D279" s="62"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62" t="inlineStr">
        <is>
          <t>This is a simplification. Some excluded work types have outsourceable components, but the three included types represent the large, clearly biddable categories.</t>
        </is>
      </c>
    </row>
    <row r="280"/>
    <row r="281"/>
    <row r="282" ht="11" customHeight="1">
      <c r="A282" s="63" t="inlineStr">
        <is>
          <t>DERIVED COLUMNS (v4.0 — Exhibit Level &amp; Cost Category)</t>
        </is>
      </c>
    </row>
    <row r="283"/>
    <row r="284" ht="11" customHeight="1">
      <c r="A284" s="62" t="inlineStr">
        <is>
          <t>J Book Items Cons.</t>
        </is>
      </c>
      <c r="B284" s="62" t="inlineStr">
        <is>
          <t>Column</t>
        </is>
      </c>
      <c r="C284" s="62" t="inlineStr">
        <is>
          <t>Exhibit Level (col X)</t>
        </is>
      </c>
      <c r="D284" s="62" t="inlineStr">
        <is>
          <t>Derived column inserted by the build script between Parent Item and Vessel Service. Populated for [ALT_VIEW] rows. Values: "P-5c", "P-8a", "P-35", or blank. Parsed from the Line Item Title string pattern (e.g., "DDG-51 - P-5c - Electronics").</t>
        </is>
      </c>
      <c r="E284" s="62" t="inlineStr">
        <is>
          <t>Only exists in the output workbook, not the source. P-8a rows require a known cost category in the title to be tagged (filters out narrative text fragments). Blank for non-ALT_VIEW rows.</t>
        </is>
      </c>
    </row>
    <row r="285" ht="11" customHeight="1">
      <c r="A285" s="62" t="inlineStr">
        <is>
          <t>J Book Items Cons.</t>
        </is>
      </c>
      <c r="B285" s="62" t="inlineStr">
        <is>
          <t>Column</t>
        </is>
      </c>
      <c r="C285" s="62" t="inlineStr">
        <is>
          <t>Cost Category (col Y)</t>
        </is>
      </c>
      <c r="D285" s="62" t="inlineStr">
        <is>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is>
      </c>
      <c r="E285" s="62" t="inlineStr">
        <is>
          <t>Valid P-5c cost categories: Plan Costs, Basic Construction, Change Orders, Electronics, Propulsion Equipment, Hull Mechanical and Electrical, Ordnance, Other Cost, Technology Insertion. Year-based P-5c breakdowns (e.g., "2014", "2026") get blank Cost Category.</t>
        </is>
      </c>
    </row>
    <row r="286"/>
    <row r="287" ht="11" customHeight="1">
      <c r="A287" s="63" t="inlineStr">
        <is>
          <t>NEWBUILD SAM COST CATEGORY BREAKDOWN (v4.0 — Sections D &amp; E)</t>
        </is>
      </c>
    </row>
    <row r="288"/>
    <row r="289" ht="11" customHeight="1">
      <c r="A289" s="62" t="inlineStr">
        <is>
          <t>Newbuild SAM</t>
        </is>
      </c>
      <c r="B289" s="62" t="inlineStr">
        <is>
          <t>Section</t>
        </is>
      </c>
      <c r="C289" s="62" t="inlineStr">
        <is>
          <t>(D) P-5c Gross Cost Category Breakdown</t>
        </is>
      </c>
      <c r="D289" s="62" t="inlineStr">
        <is>
          <t>Decomposes new-construction spending into P-5c cost categories (Plan Costs, Basic Construction, Change Orders, Electronics, HM&amp;E, Ordnance, Other Cost) by SAM vessel type. Values are GROSS total-ship-estimate costs from Exhibit P-5c — these are pre-AP/SFF deductions and will NOT match SAM net totals.</t>
        </is>
      </c>
      <c r="E289" s="62" t="inlineStr">
        <is>
          <t>FY2026 only. Uses SUMIFS on [ALT_VIEW] rows with JB_EX="P-5c". Includes a percentage sub-table showing the cost category mix per vessel type. Coverage: 6 SAM vessel types with P-5c data from 13+ ship programs.</t>
        </is>
      </c>
    </row>
    <row r="290" ht="11" customHeight="1">
      <c r="A290" s="62" t="inlineStr">
        <is>
          <t>Newbuild SAM</t>
        </is>
      </c>
      <c r="B290" s="62" t="inlineStr">
        <is>
          <t>Section</t>
        </is>
      </c>
      <c r="C290" s="62" t="inlineStr">
        <is>
          <t>(E) Proportional Cost Category Allocation</t>
        </is>
      </c>
      <c r="D290" s="62" t="inlineStr">
        <is>
          <t>Applies the P-5c percentage mix from section (D) to the SAM net budget-authority totals from section (B). This gives a cost category decomposition that reconciles to the SAM total. Formula: SAM_net_per_type * P5c_pct_per_category.</t>
        </is>
      </c>
      <c r="E290" s="62" t="inlineStr">
        <is>
          <t>Allocated Total should equal SAM Net Total per vessel type. The "Check: matches SAM net?" row verifies reconciliation (should show 0.0%). Use this section for market-sizing statements like "$X.XB of DDG SAM goes to electronics/GFE."</t>
        </is>
      </c>
    </row>
    <row r="291"/>
    <row r="292" ht="11" customHeight="1">
      <c r="A292" s="63" t="inlineStr">
        <is>
          <t>NEWBUILD SAM COST DETAIL SHEET (v4.0)</t>
        </is>
      </c>
    </row>
    <row r="293"/>
    <row r="294" ht="11" customHeight="1">
      <c r="A294" s="62" t="inlineStr">
        <is>
          <t>Newbuild SAM Cost Detail</t>
        </is>
      </c>
      <c r="B294" s="62" t="inlineStr">
        <is>
          <t>Section</t>
        </is>
      </c>
      <c r="C294" s="62" t="inlineStr">
        <is>
          <t>(A) P-5c Total Ship Cost</t>
        </is>
      </c>
      <c r="D294" s="62" t="inlineStr">
        <is>
          <t>Same data as SAM section (D) but presented as a standalone Approach 2 reference. Gross P-5c values by vessel type and cost category — the actual cost of ships before AP/SFF netting. Not reconciled to budget authority.</t>
        </is>
      </c>
      <c r="E294" s="62" t="inlineStr">
        <is>
          <t>Useful for answering "what does a DDG-51 actually cost to build, by component?"</t>
        </is>
      </c>
    </row>
    <row r="295" ht="11" customHeight="1">
      <c r="A295" s="62" t="inlineStr">
        <is>
          <t>Newbuild SAM Cost Detail</t>
        </is>
      </c>
      <c r="B295" s="62" t="inlineStr">
        <is>
          <t>Section</t>
        </is>
      </c>
      <c r="C295" s="62" t="inlineStr">
        <is>
          <t>(B) P-8a System-Level Detail</t>
        </is>
      </c>
      <c r="D295" s="62" t="inlineStr">
        <is>
          <t>Individual GFE systems from Exhibit P-8a, grouped by cost category within each vessel type. Shows system name, cost category, FY2026 $K, and % of vessel type total. Systems include radars (SPY-6, MFR), weapons (VLS, AEGIS, guns), electronics (SEWIP, SCS, EXCOMM), and HM&amp;E (generators, navigation).</t>
        </is>
      </c>
      <c r="E295" s="62" t="inlineStr">
        <is>
          <t>P-8a values are pre-scanned from the source and written as static values (F_BLUE font). Coverage: 4 SAM vessel types with P-8a data. Cost Element column (col AJ) provides the system name; 30 of 415 P-8a rows lack a Cost Element and are excluded.</t>
        </is>
      </c>
    </row>
    <row r="296" ht="11" customHeight="1">
      <c r="A296" s="62" t="inlineStr">
        <is>
          <t>Newbuild SAM Cost Detail</t>
        </is>
      </c>
      <c r="B296" s="62" t="inlineStr">
        <is>
          <t>Section</t>
        </is>
      </c>
      <c r="C296" s="62" t="inlineStr">
        <is>
          <t>(C) Top P-8a Systems Cross-Program</t>
        </is>
      </c>
      <c r="D296" s="62" t="inlineStr">
        <is>
          <t>Largest GFE systems aggregated across all SAM vessel types, sorted by total FY2026 $K. Shows system name, cost category, total $K, number of programs, and vessel types.</t>
        </is>
      </c>
      <c r="E296" s="62" t="inlineStr">
        <is>
          <t>Useful for answering "what is the total radar market?" or "which GFE systems span the most programs?"</t>
        </is>
      </c>
    </row>
    <row r="297"/>
    <row r="298" ht="11" customHeight="1">
      <c r="A298" s="63" t="inlineStr">
        <is>
          <t>FY2027 COST CATEGORY BREAKDOWN — NOT YET AVAILABLE</t>
        </is>
      </c>
    </row>
    <row r="299"/>
    <row r="300" ht="11" customHeight="1">
      <c r="A300" s="62" t="inlineStr">
        <is>
          <t>Newbuild SAM</t>
        </is>
      </c>
      <c r="B300" s="62" t="inlineStr">
        <is>
          <t>Note</t>
        </is>
      </c>
      <c r="C300" s="62" t="inlineStr">
        <is>
          <t>FY2027 has no sections (D)/(E) or Cost Detail sheet</t>
        </is>
      </c>
      <c r="D300" s="62" t="inlineStr">
        <is>
          <t>The FY2027 SCN/OPN justification books (Exhibits P-5c, P-8a, P-35) have not been released yet. Cost category breakdowns will be added when those documents are published.</t>
        </is>
      </c>
      <c r="E300" s="62" t="inlineStr">
        <is>
          <t>FY2027 Newbuild SAM retains sections (A)/(B)/(C) only.</t>
        </is>
      </c>
    </row>
    <row r="301"/>
    <row r="302" ht="11" customHeight="1">
      <c r="A302" s="63" t="inlineStr">
        <is>
          <t>NAMED RANGES (v4.0 additions)</t>
        </is>
      </c>
    </row>
    <row r="303"/>
    <row r="304" ht="11" customHeight="1">
      <c r="A304" s="62" t="inlineStr">
        <is>
          <t>J Book Items Cons.</t>
        </is>
      </c>
      <c r="B304" s="62" t="inlineStr">
        <is>
          <t>Named Range</t>
        </is>
      </c>
      <c r="C304" s="62" t="inlineStr">
        <is>
          <t>JB_CE (col AJ)</t>
        </is>
      </c>
      <c r="D304" s="62" t="inlineStr">
        <is>
          <t>Cost Element — existing column containing system names for P-8a rows (e.g., "AN/SPY-6(V)1 (AMDR)"). Shifted +2 cols due to inserted derived columns.</t>
        </is>
      </c>
      <c r="E304" s="62" t="inlineStr">
        <is>
          <t>Range: $AJ$5:$AJ$3381. Populated for ~385 of 415 P-8a rows.</t>
        </is>
      </c>
    </row>
    <row r="305" ht="11" customHeight="1">
      <c r="A305" s="62" t="inlineStr">
        <is>
          <t>J Book Items Cons.</t>
        </is>
      </c>
      <c r="B305" s="62" t="inlineStr">
        <is>
          <t>Named Range</t>
        </is>
      </c>
      <c r="C305" s="62" t="inlineStr">
        <is>
          <t>JB_EX (col X)</t>
        </is>
      </c>
      <c r="D305" s="62" t="inlineStr">
        <is>
          <t>Exhibit Level — derived column inserted between Parent Item and Vessel Service. Values: "P-5c", "P-8a", "P-35", or blank.</t>
        </is>
      </c>
      <c r="E305" s="62" t="inlineStr">
        <is>
          <t>Range: $X$5:$X$3381. Used in SUMIFS to filter by exhibit type.</t>
        </is>
      </c>
    </row>
    <row r="306" ht="11" customHeight="1">
      <c r="A306" s="62" t="inlineStr">
        <is>
          <t>J Book Items Cons.</t>
        </is>
      </c>
      <c r="B306" s="62" t="inlineStr">
        <is>
          <t>Named Range</t>
        </is>
      </c>
      <c r="C306" s="62" t="inlineStr">
        <is>
          <t>JB_CC (col Y)</t>
        </is>
      </c>
      <c r="D306" s="62" t="inlineStr">
        <is>
          <t>Cost Category — derived column inserted between Parent Item and Vessel Service. Values: P-5c cost category name or blank.</t>
        </is>
      </c>
      <c r="E306" s="62" t="inlineStr">
        <is>
          <t>Range: $Y$5:$Y$3381. Used in SUMIFS to filter by cost category.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2026-04-13T21:48:31Z</dcterms:modified>
  <cp:lastModifiedBy>Brendan Toole</cp:lastModifiedBy>
</cp:coreProperties>
</file>