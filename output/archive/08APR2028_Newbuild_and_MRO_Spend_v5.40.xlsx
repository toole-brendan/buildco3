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3446F8BADB4A58B50FA682BB4AFB310520AACB67" xr6:coauthVersionLast="47" xr6:coauthVersionMax="47" xr10:uidLastSave="{00000000-0000-0000-0000-000000000000}"/>
  <bookViews>
    <workbookView xWindow="0" yWindow="760" windowWidth="34560" windowHeight="2038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MRO TAM" sheetId="6" r:id="rId6"/>
    <sheet name="FY26 MRO SAM" sheetId="7" r:id="rId7"/>
    <sheet name="FY2027 &gt;&gt;" sheetId="8" r:id="rId8"/>
    <sheet name="FY27 Total Funding" sheetId="9" r:id="rId9"/>
    <sheet name="FY27 Newbuild TAM" sheetId="10" r:id="rId10"/>
    <sheet name="FY27 Newbuild SAM" sheetId="11" r:id="rId11"/>
    <sheet name="FY27 MRO TAM" sheetId="12" r:id="rId12"/>
    <sheet name="FY27 MRO SAM" sheetId="13" r:id="rId13"/>
    <sheet name="Competitive Dynamics" sheetId="14" r:id="rId14"/>
    <sheet name="Validation" sheetId="15" r:id="rId15"/>
    <sheet name="Notes" sheetId="16" r:id="rId16"/>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3" i="15" l="1"/>
  <c r="C302" i="15"/>
  <c r="C301" i="15"/>
  <c r="B128" i="14"/>
  <c r="B122" i="14"/>
  <c r="B113" i="14"/>
  <c r="B100" i="14"/>
  <c r="B94" i="14"/>
  <c r="B88" i="14"/>
  <c r="B80" i="14"/>
  <c r="B70" i="14"/>
  <c r="B50" i="14"/>
  <c r="C25" i="14"/>
  <c r="G52" i="13"/>
  <c r="E52" i="13"/>
  <c r="F51" i="13"/>
  <c r="E51" i="13"/>
  <c r="G50" i="13"/>
  <c r="E50" i="13"/>
  <c r="G49" i="13"/>
  <c r="E49" i="13"/>
  <c r="G48" i="13"/>
  <c r="E48" i="13"/>
  <c r="G47" i="13"/>
  <c r="G46" i="13"/>
  <c r="E39" i="13"/>
  <c r="D39" i="13"/>
  <c r="C39" i="13"/>
  <c r="F38" i="13"/>
  <c r="E38" i="13"/>
  <c r="D38" i="13"/>
  <c r="G38" i="13" s="1"/>
  <c r="C38" i="13"/>
  <c r="F37" i="13"/>
  <c r="E37" i="13"/>
  <c r="D37" i="13"/>
  <c r="C37" i="13"/>
  <c r="G37" i="13" s="1"/>
  <c r="D36" i="13"/>
  <c r="C36" i="13"/>
  <c r="F35" i="13"/>
  <c r="E35" i="13"/>
  <c r="C35" i="13"/>
  <c r="F34" i="13"/>
  <c r="E34" i="13"/>
  <c r="C34" i="13"/>
  <c r="F33" i="13"/>
  <c r="E33" i="13"/>
  <c r="D33" i="13"/>
  <c r="G33" i="13" s="1"/>
  <c r="C33" i="13"/>
  <c r="F32" i="13"/>
  <c r="E32" i="13"/>
  <c r="D32" i="13"/>
  <c r="F31" i="13"/>
  <c r="E31" i="13"/>
  <c r="D31" i="13"/>
  <c r="F30" i="13"/>
  <c r="E30" i="13"/>
  <c r="D30" i="13"/>
  <c r="F29" i="13"/>
  <c r="E29" i="13"/>
  <c r="D29" i="13"/>
  <c r="F28" i="13"/>
  <c r="E28" i="13"/>
  <c r="D28" i="13"/>
  <c r="F27" i="13"/>
  <c r="E27" i="13"/>
  <c r="D27" i="13"/>
  <c r="F26" i="13"/>
  <c r="E26" i="13"/>
  <c r="D26" i="13"/>
  <c r="F25" i="13"/>
  <c r="E25" i="13"/>
  <c r="D25" i="13"/>
  <c r="F24" i="13"/>
  <c r="E24" i="13"/>
  <c r="D24" i="13"/>
  <c r="F23" i="13"/>
  <c r="E23" i="13"/>
  <c r="D23" i="13"/>
  <c r="F22" i="13"/>
  <c r="F21" i="13"/>
  <c r="E21" i="13"/>
  <c r="D21" i="13"/>
  <c r="F20" i="13"/>
  <c r="E20" i="13"/>
  <c r="D20" i="13"/>
  <c r="F19" i="13"/>
  <c r="E19" i="13"/>
  <c r="D19" i="13"/>
  <c r="E18" i="13"/>
  <c r="D18" i="13"/>
  <c r="F17" i="13"/>
  <c r="D17" i="13"/>
  <c r="F16" i="13"/>
  <c r="F15" i="13"/>
  <c r="C49" i="12"/>
  <c r="C48" i="12"/>
  <c r="C47" i="12"/>
  <c r="B10" i="12"/>
  <c r="B9" i="12"/>
  <c r="G39" i="11"/>
  <c r="F39" i="11"/>
  <c r="E39" i="11"/>
  <c r="G38" i="11"/>
  <c r="F38" i="11"/>
  <c r="E38" i="11"/>
  <c r="G37" i="11"/>
  <c r="F37" i="11"/>
  <c r="E37" i="11"/>
  <c r="G36" i="11"/>
  <c r="F36" i="11"/>
  <c r="E36" i="11"/>
  <c r="G35" i="11"/>
  <c r="F35" i="11"/>
  <c r="E35" i="11"/>
  <c r="G34" i="11"/>
  <c r="F34" i="11"/>
  <c r="G33" i="11"/>
  <c r="F33" i="11"/>
  <c r="E33" i="11"/>
  <c r="G32" i="11"/>
  <c r="F32" i="11"/>
  <c r="G31" i="11"/>
  <c r="F31" i="11"/>
  <c r="G30" i="11"/>
  <c r="F30" i="11"/>
  <c r="G29" i="11"/>
  <c r="F29" i="11"/>
  <c r="F40" i="11" s="1"/>
  <c r="E29" i="11"/>
  <c r="F22" i="11"/>
  <c r="E22" i="11"/>
  <c r="D22" i="11"/>
  <c r="F21" i="11"/>
  <c r="E21" i="11"/>
  <c r="D21" i="11"/>
  <c r="F20" i="11"/>
  <c r="E20" i="11"/>
  <c r="D20" i="11"/>
  <c r="F19" i="11"/>
  <c r="E19" i="11"/>
  <c r="D19" i="11"/>
  <c r="F18" i="11"/>
  <c r="E18" i="11"/>
  <c r="F17" i="11"/>
  <c r="E17" i="11"/>
  <c r="F16" i="11"/>
  <c r="E16" i="11"/>
  <c r="D16" i="11"/>
  <c r="F15" i="11"/>
  <c r="E15" i="11"/>
  <c r="F14" i="11"/>
  <c r="F23" i="11" s="1"/>
  <c r="E14" i="11"/>
  <c r="E23" i="11" s="1"/>
  <c r="C43" i="10"/>
  <c r="C35" i="10"/>
  <c r="C34" i="10"/>
  <c r="C33" i="10"/>
  <c r="C32" i="10"/>
  <c r="C29" i="10"/>
  <c r="C28" i="10"/>
  <c r="B10" i="10"/>
  <c r="B9" i="10"/>
  <c r="B24" i="9"/>
  <c r="B70" i="7"/>
  <c r="C66" i="7" s="1"/>
  <c r="E57" i="7"/>
  <c r="D57" i="7"/>
  <c r="G56" i="7"/>
  <c r="F56" i="7"/>
  <c r="E56" i="7"/>
  <c r="G55" i="7"/>
  <c r="G54" i="7"/>
  <c r="E54" i="7"/>
  <c r="F53" i="7"/>
  <c r="E53" i="7"/>
  <c r="G52" i="7"/>
  <c r="E52" i="7"/>
  <c r="G51" i="7"/>
  <c r="E51" i="7"/>
  <c r="G50" i="7"/>
  <c r="G49" i="7"/>
  <c r="E49" i="7"/>
  <c r="G48" i="7"/>
  <c r="E48" i="7"/>
  <c r="G47" i="7"/>
  <c r="G46" i="7"/>
  <c r="E39" i="7"/>
  <c r="D39" i="7"/>
  <c r="C39" i="7"/>
  <c r="F38" i="7"/>
  <c r="G38" i="7" s="1"/>
  <c r="E38" i="7"/>
  <c r="D38" i="7"/>
  <c r="C38" i="7"/>
  <c r="G37" i="7"/>
  <c r="F37" i="7"/>
  <c r="E37" i="7"/>
  <c r="D37" i="7"/>
  <c r="C37" i="7"/>
  <c r="F36" i="7"/>
  <c r="E36" i="7"/>
  <c r="C36" i="7"/>
  <c r="F35" i="7"/>
  <c r="E35" i="7"/>
  <c r="C35" i="7"/>
  <c r="F34" i="7"/>
  <c r="E34" i="7"/>
  <c r="D34" i="7"/>
  <c r="C34" i="7"/>
  <c r="D33" i="7"/>
  <c r="C33" i="7"/>
  <c r="F32" i="7"/>
  <c r="E32" i="7"/>
  <c r="D32" i="7"/>
  <c r="F31" i="7"/>
  <c r="E31" i="7"/>
  <c r="D31" i="7"/>
  <c r="F30" i="7"/>
  <c r="E30" i="7"/>
  <c r="D30" i="7"/>
  <c r="F29" i="7"/>
  <c r="E29" i="7"/>
  <c r="D29" i="7"/>
  <c r="F28" i="7"/>
  <c r="E28" i="7"/>
  <c r="D28" i="7"/>
  <c r="F27" i="7"/>
  <c r="E27" i="7"/>
  <c r="D27" i="7"/>
  <c r="F26" i="7"/>
  <c r="E26" i="7"/>
  <c r="D26" i="7"/>
  <c r="F25" i="7"/>
  <c r="E25" i="7"/>
  <c r="D25" i="7"/>
  <c r="F24" i="7"/>
  <c r="E24" i="7"/>
  <c r="D24" i="7"/>
  <c r="F23" i="7"/>
  <c r="E23" i="7"/>
  <c r="D23" i="7"/>
  <c r="F22" i="7"/>
  <c r="E22" i="7"/>
  <c r="D22" i="7"/>
  <c r="F21" i="7"/>
  <c r="E21" i="7"/>
  <c r="D21" i="7"/>
  <c r="F20" i="7"/>
  <c r="E20" i="7"/>
  <c r="D20" i="7"/>
  <c r="F19" i="7"/>
  <c r="F18" i="7"/>
  <c r="D18" i="7"/>
  <c r="E17" i="7"/>
  <c r="D17" i="7"/>
  <c r="F16" i="7"/>
  <c r="F15" i="7"/>
  <c r="C51" i="6"/>
  <c r="C50" i="6"/>
  <c r="C49" i="6"/>
  <c r="B10" i="6"/>
  <c r="B9" i="6"/>
  <c r="H230" i="5"/>
  <c r="F230" i="5"/>
  <c r="H229" i="5"/>
  <c r="G229" i="5"/>
  <c r="F229" i="5"/>
  <c r="E229" i="5"/>
  <c r="C229" i="5"/>
  <c r="B229" i="5"/>
  <c r="H228" i="5"/>
  <c r="G228" i="5"/>
  <c r="F228" i="5"/>
  <c r="D228" i="5"/>
  <c r="C228" i="5"/>
  <c r="B228" i="5"/>
  <c r="H227" i="5"/>
  <c r="G227" i="5"/>
  <c r="F227" i="5"/>
  <c r="D227" i="5"/>
  <c r="C227" i="5"/>
  <c r="B227" i="5"/>
  <c r="H226" i="5"/>
  <c r="G226" i="5"/>
  <c r="F226" i="5"/>
  <c r="C226" i="5"/>
  <c r="B226" i="5"/>
  <c r="H225" i="5"/>
  <c r="G225" i="5"/>
  <c r="F225" i="5"/>
  <c r="E225" i="5"/>
  <c r="D225" i="5"/>
  <c r="B225" i="5"/>
  <c r="H224" i="5"/>
  <c r="G224" i="5"/>
  <c r="F224" i="5"/>
  <c r="E224" i="5"/>
  <c r="C224" i="5"/>
  <c r="B224" i="5"/>
  <c r="H223" i="5"/>
  <c r="G223" i="5"/>
  <c r="F223" i="5"/>
  <c r="E223" i="5"/>
  <c r="C223" i="5"/>
  <c r="B223" i="5"/>
  <c r="H222" i="5"/>
  <c r="G222" i="5"/>
  <c r="F222" i="5"/>
  <c r="E222" i="5"/>
  <c r="D222" i="5"/>
  <c r="B222" i="5"/>
  <c r="H221" i="5"/>
  <c r="G221" i="5"/>
  <c r="F221" i="5"/>
  <c r="D221" i="5"/>
  <c r="C221" i="5"/>
  <c r="B221" i="5"/>
  <c r="H220" i="5"/>
  <c r="G220" i="5"/>
  <c r="F220" i="5"/>
  <c r="D220" i="5"/>
  <c r="C220" i="5"/>
  <c r="B220" i="5"/>
  <c r="H219" i="5"/>
  <c r="G219" i="5"/>
  <c r="F219" i="5"/>
  <c r="E219" i="5"/>
  <c r="C219" i="5"/>
  <c r="B219" i="5"/>
  <c r="H218" i="5"/>
  <c r="G218" i="5"/>
  <c r="F218" i="5"/>
  <c r="E218" i="5"/>
  <c r="D218" i="5"/>
  <c r="C218" i="5"/>
  <c r="H217" i="5"/>
  <c r="G217" i="5"/>
  <c r="F217" i="5"/>
  <c r="E217" i="5"/>
  <c r="D217" i="5"/>
  <c r="C217" i="5"/>
  <c r="H216" i="5"/>
  <c r="G216" i="5"/>
  <c r="F216" i="5"/>
  <c r="E216" i="5"/>
  <c r="D216" i="5"/>
  <c r="C216" i="5"/>
  <c r="H215" i="5"/>
  <c r="G215" i="5"/>
  <c r="F215" i="5"/>
  <c r="E215" i="5"/>
  <c r="D215" i="5"/>
  <c r="C215" i="5"/>
  <c r="H214" i="5"/>
  <c r="G214" i="5"/>
  <c r="F214" i="5"/>
  <c r="E214" i="5"/>
  <c r="D214" i="5"/>
  <c r="C214" i="5"/>
  <c r="H213" i="5"/>
  <c r="G213" i="5"/>
  <c r="F213" i="5"/>
  <c r="D213" i="5"/>
  <c r="C213" i="5"/>
  <c r="B213" i="5"/>
  <c r="H212" i="5"/>
  <c r="G212" i="5"/>
  <c r="F212" i="5"/>
  <c r="C212" i="5"/>
  <c r="B212" i="5"/>
  <c r="H211" i="5"/>
  <c r="G211" i="5"/>
  <c r="F211" i="5"/>
  <c r="C211" i="5"/>
  <c r="B211" i="5"/>
  <c r="H210" i="5"/>
  <c r="G210" i="5"/>
  <c r="F210" i="5"/>
  <c r="D210" i="5"/>
  <c r="C210" i="5"/>
  <c r="B210" i="5"/>
  <c r="H209" i="5"/>
  <c r="G209" i="5"/>
  <c r="F209" i="5"/>
  <c r="E209" i="5"/>
  <c r="C209" i="5"/>
  <c r="B209" i="5"/>
  <c r="H208" i="5"/>
  <c r="G208" i="5"/>
  <c r="F208" i="5"/>
  <c r="D208" i="5"/>
  <c r="C208" i="5"/>
  <c r="B208" i="5"/>
  <c r="H207" i="5"/>
  <c r="G207" i="5"/>
  <c r="F207" i="5"/>
  <c r="E207" i="5"/>
  <c r="D207" i="5"/>
  <c r="C207" i="5"/>
  <c r="H206" i="5"/>
  <c r="G206" i="5"/>
  <c r="F206" i="5"/>
  <c r="E206" i="5"/>
  <c r="D206" i="5"/>
  <c r="C206" i="5"/>
  <c r="H205" i="5"/>
  <c r="G205" i="5"/>
  <c r="F205" i="5"/>
  <c r="E205" i="5"/>
  <c r="D205" i="5"/>
  <c r="C205" i="5"/>
  <c r="H204" i="5"/>
  <c r="G204" i="5"/>
  <c r="F204" i="5"/>
  <c r="E204" i="5"/>
  <c r="D204" i="5"/>
  <c r="B204" i="5"/>
  <c r="H203" i="5"/>
  <c r="G203" i="5"/>
  <c r="F203" i="5"/>
  <c r="E203" i="5"/>
  <c r="D203" i="5"/>
  <c r="C203" i="5"/>
  <c r="H202" i="5"/>
  <c r="G202" i="5"/>
  <c r="F202" i="5"/>
  <c r="D202" i="5"/>
  <c r="C202" i="5"/>
  <c r="B202" i="5"/>
  <c r="H201" i="5"/>
  <c r="G201" i="5"/>
  <c r="F201" i="5"/>
  <c r="D201" i="5"/>
  <c r="C201" i="5"/>
  <c r="B201" i="5"/>
  <c r="H200" i="5"/>
  <c r="G200" i="5"/>
  <c r="F200" i="5"/>
  <c r="E200" i="5"/>
  <c r="C200" i="5"/>
  <c r="B200" i="5"/>
  <c r="H199" i="5"/>
  <c r="G199" i="5"/>
  <c r="F199" i="5"/>
  <c r="E199" i="5"/>
  <c r="D199" i="5"/>
  <c r="C199" i="5"/>
  <c r="H198" i="5"/>
  <c r="G198" i="5"/>
  <c r="F198" i="5"/>
  <c r="E198" i="5"/>
  <c r="D198" i="5"/>
  <c r="B198" i="5"/>
  <c r="H197" i="5"/>
  <c r="G197" i="5"/>
  <c r="F197" i="5"/>
  <c r="E197" i="5"/>
  <c r="D197" i="5"/>
  <c r="C197" i="5"/>
  <c r="H196" i="5"/>
  <c r="G196" i="5"/>
  <c r="F196" i="5"/>
  <c r="E196" i="5"/>
  <c r="D196" i="5"/>
  <c r="C196" i="5"/>
  <c r="H195" i="5"/>
  <c r="G195" i="5"/>
  <c r="F195" i="5"/>
  <c r="E195" i="5"/>
  <c r="D195" i="5"/>
  <c r="C195" i="5"/>
  <c r="H194" i="5"/>
  <c r="G194" i="5"/>
  <c r="F194" i="5"/>
  <c r="E194" i="5"/>
  <c r="D194" i="5"/>
  <c r="C194" i="5"/>
  <c r="H193" i="5"/>
  <c r="G193" i="5"/>
  <c r="F193" i="5"/>
  <c r="E193" i="5"/>
  <c r="D193" i="5"/>
  <c r="C193" i="5"/>
  <c r="H192" i="5"/>
  <c r="G192" i="5"/>
  <c r="F192" i="5"/>
  <c r="E192" i="5"/>
  <c r="D192" i="5"/>
  <c r="C192" i="5"/>
  <c r="H191" i="5"/>
  <c r="G191" i="5"/>
  <c r="F191" i="5"/>
  <c r="H190" i="5"/>
  <c r="G190" i="5"/>
  <c r="F190" i="5"/>
  <c r="E190" i="5"/>
  <c r="C190" i="5"/>
  <c r="B190" i="5"/>
  <c r="H189" i="5"/>
  <c r="F189" i="5"/>
  <c r="E189" i="5"/>
  <c r="D189" i="5"/>
  <c r="C189" i="5"/>
  <c r="B189" i="5"/>
  <c r="H188" i="5"/>
  <c r="F188" i="5"/>
  <c r="E188" i="5"/>
  <c r="D188" i="5"/>
  <c r="C188" i="5"/>
  <c r="B188" i="5"/>
  <c r="H187" i="5"/>
  <c r="G187" i="5"/>
  <c r="F187" i="5"/>
  <c r="E187" i="5"/>
  <c r="C187" i="5"/>
  <c r="B187" i="5"/>
  <c r="H186" i="5"/>
  <c r="G186" i="5"/>
  <c r="F186" i="5"/>
  <c r="E186" i="5"/>
  <c r="C186" i="5"/>
  <c r="B186" i="5"/>
  <c r="H185" i="5"/>
  <c r="G185" i="5"/>
  <c r="F185" i="5"/>
  <c r="E185" i="5"/>
  <c r="C185" i="5"/>
  <c r="B185" i="5"/>
  <c r="H184" i="5"/>
  <c r="G184" i="5"/>
  <c r="F184" i="5"/>
  <c r="E184" i="5"/>
  <c r="C184" i="5"/>
  <c r="B184" i="5"/>
  <c r="H183" i="5"/>
  <c r="G183" i="5"/>
  <c r="F183" i="5"/>
  <c r="E183" i="5"/>
  <c r="C183" i="5"/>
  <c r="B183" i="5"/>
  <c r="H182" i="5"/>
  <c r="G182" i="5"/>
  <c r="F182" i="5"/>
  <c r="E182" i="5"/>
  <c r="D182" i="5"/>
  <c r="C182" i="5"/>
  <c r="H181" i="5"/>
  <c r="F181" i="5"/>
  <c r="E181" i="5"/>
  <c r="D181" i="5"/>
  <c r="C181" i="5"/>
  <c r="B181" i="5"/>
  <c r="H180" i="5"/>
  <c r="F180" i="5"/>
  <c r="E180" i="5"/>
  <c r="D180" i="5"/>
  <c r="C180" i="5"/>
  <c r="B180" i="5"/>
  <c r="H179" i="5"/>
  <c r="G179" i="5"/>
  <c r="F179" i="5"/>
  <c r="E179" i="5"/>
  <c r="C179" i="5"/>
  <c r="B179" i="5"/>
  <c r="H178" i="5"/>
  <c r="G178" i="5"/>
  <c r="F178" i="5"/>
  <c r="E178" i="5"/>
  <c r="D178" i="5"/>
  <c r="B178" i="5"/>
  <c r="H177" i="5"/>
  <c r="G177" i="5"/>
  <c r="F177" i="5"/>
  <c r="E177" i="5"/>
  <c r="D177" i="5"/>
  <c r="B177" i="5"/>
  <c r="H176" i="5"/>
  <c r="G176" i="5"/>
  <c r="F176" i="5"/>
  <c r="D176" i="5"/>
  <c r="C176" i="5"/>
  <c r="B176" i="5"/>
  <c r="H175" i="5"/>
  <c r="G175" i="5"/>
  <c r="F175" i="5"/>
  <c r="E175" i="5"/>
  <c r="D175" i="5"/>
  <c r="B175" i="5"/>
  <c r="H174" i="5"/>
  <c r="G174" i="5"/>
  <c r="F174" i="5"/>
  <c r="E174" i="5"/>
  <c r="D174" i="5"/>
  <c r="B174" i="5"/>
  <c r="H173" i="5"/>
  <c r="G173" i="5"/>
  <c r="F173" i="5"/>
  <c r="E173" i="5"/>
  <c r="D173" i="5"/>
  <c r="C173" i="5"/>
  <c r="H172" i="5"/>
  <c r="G172" i="5"/>
  <c r="F172" i="5"/>
  <c r="E172" i="5"/>
  <c r="B172" i="5"/>
  <c r="H171" i="5"/>
  <c r="G171" i="5"/>
  <c r="F171" i="5"/>
  <c r="D171" i="5"/>
  <c r="C171" i="5"/>
  <c r="B171" i="5"/>
  <c r="H170" i="5"/>
  <c r="F170" i="5"/>
  <c r="E170" i="5"/>
  <c r="D170" i="5"/>
  <c r="C170" i="5"/>
  <c r="B170" i="5"/>
  <c r="H169" i="5"/>
  <c r="G169" i="5"/>
  <c r="F169" i="5"/>
  <c r="E169" i="5"/>
  <c r="D169" i="5"/>
  <c r="B169" i="5"/>
  <c r="H168" i="5"/>
  <c r="G168" i="5"/>
  <c r="F168" i="5"/>
  <c r="E168" i="5"/>
  <c r="D168" i="5"/>
  <c r="C168" i="5"/>
  <c r="H167" i="5"/>
  <c r="G167" i="5"/>
  <c r="F167" i="5"/>
  <c r="E167" i="5"/>
  <c r="D167" i="5"/>
  <c r="C167" i="5"/>
  <c r="H166" i="5"/>
  <c r="G166" i="5"/>
  <c r="F166" i="5"/>
  <c r="E166" i="5"/>
  <c r="D166" i="5"/>
  <c r="C166" i="5"/>
  <c r="H165" i="5"/>
  <c r="G165" i="5"/>
  <c r="F165" i="5"/>
  <c r="E165" i="5"/>
  <c r="D165" i="5"/>
  <c r="B165" i="5"/>
  <c r="H164" i="5"/>
  <c r="G164" i="5"/>
  <c r="F164" i="5"/>
  <c r="E164" i="5"/>
  <c r="D164" i="5"/>
  <c r="C164" i="5"/>
  <c r="H163" i="5"/>
  <c r="G163" i="5"/>
  <c r="F163" i="5"/>
  <c r="E163" i="5"/>
  <c r="D163" i="5"/>
  <c r="C163" i="5"/>
  <c r="H162" i="5"/>
  <c r="G162" i="5"/>
  <c r="F162" i="5"/>
  <c r="E162" i="5"/>
  <c r="D162" i="5"/>
  <c r="C162" i="5"/>
  <c r="H161" i="5"/>
  <c r="G161" i="5"/>
  <c r="F161" i="5"/>
  <c r="E161" i="5"/>
  <c r="D161" i="5"/>
  <c r="C161" i="5"/>
  <c r="H160" i="5"/>
  <c r="G160" i="5"/>
  <c r="F160" i="5"/>
  <c r="D160" i="5"/>
  <c r="C160" i="5"/>
  <c r="B160" i="5"/>
  <c r="H159" i="5"/>
  <c r="G159" i="5"/>
  <c r="F159" i="5"/>
  <c r="E159" i="5"/>
  <c r="D159" i="5"/>
  <c r="C159" i="5"/>
  <c r="H158" i="5"/>
  <c r="C158" i="5"/>
  <c r="H157" i="5"/>
  <c r="G157" i="5"/>
  <c r="F157" i="5"/>
  <c r="E157" i="5"/>
  <c r="C157" i="5"/>
  <c r="B157" i="5"/>
  <c r="H156" i="5"/>
  <c r="G156" i="5"/>
  <c r="F156" i="5"/>
  <c r="E156" i="5"/>
  <c r="C156" i="5"/>
  <c r="B156" i="5"/>
  <c r="H155" i="5"/>
  <c r="G155" i="5"/>
  <c r="F155" i="5"/>
  <c r="E155" i="5"/>
  <c r="C155" i="5"/>
  <c r="B155" i="5"/>
  <c r="H154" i="5"/>
  <c r="G154" i="5"/>
  <c r="F154" i="5"/>
  <c r="D154" i="5"/>
  <c r="C154" i="5"/>
  <c r="B154" i="5"/>
  <c r="H153" i="5"/>
  <c r="G153" i="5"/>
  <c r="F153" i="5"/>
  <c r="D153" i="5"/>
  <c r="C153" i="5"/>
  <c r="B153" i="5"/>
  <c r="H152" i="5"/>
  <c r="G152" i="5"/>
  <c r="F152" i="5"/>
  <c r="E152" i="5"/>
  <c r="D152" i="5"/>
  <c r="C152" i="5"/>
  <c r="H151" i="5"/>
  <c r="G151" i="5"/>
  <c r="F151" i="5"/>
  <c r="D151" i="5"/>
  <c r="C151" i="5"/>
  <c r="B151" i="5"/>
  <c r="H150" i="5"/>
  <c r="G150" i="5"/>
  <c r="F150" i="5"/>
  <c r="D150" i="5"/>
  <c r="C150" i="5"/>
  <c r="B150" i="5"/>
  <c r="H149" i="5"/>
  <c r="G149" i="5"/>
  <c r="F149" i="5"/>
  <c r="D149" i="5"/>
  <c r="C149" i="5"/>
  <c r="B149" i="5"/>
  <c r="H148" i="5"/>
  <c r="G148" i="5"/>
  <c r="F148" i="5"/>
  <c r="D148" i="5"/>
  <c r="C148" i="5"/>
  <c r="B148" i="5"/>
  <c r="H147" i="5"/>
  <c r="G147" i="5"/>
  <c r="F147" i="5"/>
  <c r="E147" i="5"/>
  <c r="C147" i="5"/>
  <c r="B147" i="5"/>
  <c r="H146" i="5"/>
  <c r="F146" i="5"/>
  <c r="E146" i="5"/>
  <c r="D146" i="5"/>
  <c r="C146" i="5"/>
  <c r="B146" i="5"/>
  <c r="H145" i="5"/>
  <c r="F145" i="5"/>
  <c r="E145" i="5"/>
  <c r="D145" i="5"/>
  <c r="C145" i="5"/>
  <c r="B145" i="5"/>
  <c r="H144" i="5"/>
  <c r="G144" i="5"/>
  <c r="F144" i="5"/>
  <c r="E144" i="5"/>
  <c r="C144" i="5"/>
  <c r="B144" i="5"/>
  <c r="H143" i="5"/>
  <c r="F143" i="5"/>
  <c r="E143" i="5"/>
  <c r="D143" i="5"/>
  <c r="C143" i="5"/>
  <c r="B143" i="5"/>
  <c r="H142" i="5"/>
  <c r="G142" i="5"/>
  <c r="F142" i="5"/>
  <c r="E142" i="5"/>
  <c r="C142" i="5"/>
  <c r="B142" i="5"/>
  <c r="H141" i="5"/>
  <c r="G141" i="5"/>
  <c r="F141" i="5"/>
  <c r="D141" i="5"/>
  <c r="C141" i="5"/>
  <c r="B141" i="5"/>
  <c r="H140" i="5"/>
  <c r="G140" i="5"/>
  <c r="F140" i="5"/>
  <c r="C140" i="5"/>
  <c r="B140" i="5"/>
  <c r="H139" i="5"/>
  <c r="G139" i="5"/>
  <c r="F139" i="5"/>
  <c r="D139" i="5"/>
  <c r="C139" i="5"/>
  <c r="B139" i="5"/>
  <c r="H138" i="5"/>
  <c r="G138" i="5"/>
  <c r="F138" i="5"/>
  <c r="E138" i="5"/>
  <c r="C138" i="5"/>
  <c r="B138" i="5"/>
  <c r="H137" i="5"/>
  <c r="F137" i="5"/>
  <c r="E137" i="5"/>
  <c r="D137" i="5"/>
  <c r="C137" i="5"/>
  <c r="B137" i="5"/>
  <c r="H136" i="5"/>
  <c r="G136" i="5"/>
  <c r="F136" i="5"/>
  <c r="E136" i="5"/>
  <c r="C136" i="5"/>
  <c r="B136" i="5"/>
  <c r="H135" i="5"/>
  <c r="G135" i="5"/>
  <c r="F135" i="5"/>
  <c r="D135" i="5"/>
  <c r="C135" i="5"/>
  <c r="B135" i="5"/>
  <c r="H134" i="5"/>
  <c r="F134" i="5"/>
  <c r="E134" i="5"/>
  <c r="D134" i="5"/>
  <c r="C134" i="5"/>
  <c r="B134" i="5"/>
  <c r="H133" i="5"/>
  <c r="G133" i="5"/>
  <c r="F133" i="5"/>
  <c r="E133" i="5"/>
  <c r="C133" i="5"/>
  <c r="B133" i="5"/>
  <c r="H132" i="5"/>
  <c r="G132" i="5"/>
  <c r="F132" i="5"/>
  <c r="D132" i="5"/>
  <c r="C132" i="5"/>
  <c r="B132" i="5"/>
  <c r="H131" i="5"/>
  <c r="G131" i="5"/>
  <c r="F131" i="5"/>
  <c r="E131" i="5"/>
  <c r="D131" i="5"/>
  <c r="C131" i="5"/>
  <c r="H130" i="5"/>
  <c r="G130" i="5"/>
  <c r="F130" i="5"/>
  <c r="D130" i="5"/>
  <c r="C130" i="5"/>
  <c r="B130" i="5"/>
  <c r="H129" i="5"/>
  <c r="G129" i="5"/>
  <c r="F129" i="5"/>
  <c r="D129" i="5"/>
  <c r="C129" i="5"/>
  <c r="B129" i="5"/>
  <c r="H128" i="5"/>
  <c r="G128" i="5"/>
  <c r="F128" i="5"/>
  <c r="D128" i="5"/>
  <c r="C128" i="5"/>
  <c r="B128" i="5"/>
  <c r="H127" i="5"/>
  <c r="F127" i="5"/>
  <c r="E127" i="5"/>
  <c r="D127" i="5"/>
  <c r="C127" i="5"/>
  <c r="B127" i="5"/>
  <c r="H126" i="5"/>
  <c r="G126" i="5"/>
  <c r="F126" i="5"/>
  <c r="D126" i="5"/>
  <c r="C126" i="5"/>
  <c r="B126" i="5"/>
  <c r="H125" i="5"/>
  <c r="F125" i="5"/>
  <c r="E125" i="5"/>
  <c r="D125" i="5"/>
  <c r="C125" i="5"/>
  <c r="B125" i="5"/>
  <c r="H124" i="5"/>
  <c r="G124" i="5"/>
  <c r="F124" i="5"/>
  <c r="E124" i="5"/>
  <c r="D124" i="5"/>
  <c r="C124" i="5"/>
  <c r="H123" i="5"/>
  <c r="G123" i="5"/>
  <c r="F123" i="5"/>
  <c r="E123" i="5"/>
  <c r="C123" i="5"/>
  <c r="B123" i="5"/>
  <c r="H122" i="5"/>
  <c r="G122" i="5"/>
  <c r="F122" i="5"/>
  <c r="D122" i="5"/>
  <c r="C122" i="5"/>
  <c r="B122" i="5"/>
  <c r="H121" i="5"/>
  <c r="G121" i="5"/>
  <c r="F121" i="5"/>
  <c r="D121" i="5"/>
  <c r="C121" i="5"/>
  <c r="B121" i="5"/>
  <c r="H120" i="5"/>
  <c r="F120" i="5"/>
  <c r="E120" i="5"/>
  <c r="D120" i="5"/>
  <c r="C120" i="5"/>
  <c r="B120" i="5"/>
  <c r="H119" i="5"/>
  <c r="G119" i="5"/>
  <c r="F119" i="5"/>
  <c r="D119" i="5"/>
  <c r="C119" i="5"/>
  <c r="B119" i="5"/>
  <c r="H118" i="5"/>
  <c r="G118" i="5"/>
  <c r="F118" i="5"/>
  <c r="E118" i="5"/>
  <c r="D118" i="5"/>
  <c r="C118" i="5"/>
  <c r="H117" i="5"/>
  <c r="G117" i="5"/>
  <c r="F117" i="5"/>
  <c r="E117" i="5"/>
  <c r="H116" i="5"/>
  <c r="G116" i="5"/>
  <c r="F116" i="5"/>
  <c r="D116" i="5"/>
  <c r="C116" i="5"/>
  <c r="B116" i="5"/>
  <c r="H115" i="5"/>
  <c r="G115" i="5"/>
  <c r="F115" i="5"/>
  <c r="E115" i="5"/>
  <c r="D115" i="5"/>
  <c r="C115" i="5"/>
  <c r="H114" i="5"/>
  <c r="G114" i="5"/>
  <c r="F114" i="5"/>
  <c r="E114" i="5"/>
  <c r="D114" i="5"/>
  <c r="C114" i="5"/>
  <c r="H113" i="5"/>
  <c r="G113" i="5"/>
  <c r="F113" i="5"/>
  <c r="D113" i="5"/>
  <c r="C113" i="5"/>
  <c r="B113" i="5"/>
  <c r="H112" i="5"/>
  <c r="G112" i="5"/>
  <c r="F112" i="5"/>
  <c r="E112" i="5"/>
  <c r="D112" i="5"/>
  <c r="B112" i="5"/>
  <c r="H111" i="5"/>
  <c r="G111" i="5"/>
  <c r="F111" i="5"/>
  <c r="E111" i="5"/>
  <c r="D111" i="5"/>
  <c r="C111" i="5"/>
  <c r="H110" i="5"/>
  <c r="G110" i="5"/>
  <c r="F110" i="5"/>
  <c r="E110" i="5"/>
  <c r="D110" i="5"/>
  <c r="C110" i="5"/>
  <c r="H109" i="5"/>
  <c r="G109" i="5"/>
  <c r="F109" i="5"/>
  <c r="E109" i="5"/>
  <c r="C109" i="5"/>
  <c r="B109" i="5"/>
  <c r="H108" i="5"/>
  <c r="G108" i="5"/>
  <c r="F108" i="5"/>
  <c r="D108" i="5"/>
  <c r="C108" i="5"/>
  <c r="B108" i="5"/>
  <c r="H107" i="5"/>
  <c r="G107" i="5"/>
  <c r="F107" i="5"/>
  <c r="E107" i="5"/>
  <c r="D107" i="5"/>
  <c r="C107" i="5"/>
  <c r="H106" i="5"/>
  <c r="G106" i="5"/>
  <c r="F106" i="5"/>
  <c r="D106" i="5"/>
  <c r="C106" i="5"/>
  <c r="B106" i="5"/>
  <c r="H105" i="5"/>
  <c r="G105" i="5"/>
  <c r="F105" i="5"/>
  <c r="E105" i="5"/>
  <c r="D105" i="5"/>
  <c r="B105" i="5"/>
  <c r="H104" i="5"/>
  <c r="G104" i="5"/>
  <c r="F104" i="5"/>
  <c r="E104" i="5"/>
  <c r="D104" i="5"/>
  <c r="C104" i="5"/>
  <c r="H103" i="5"/>
  <c r="F103" i="5"/>
  <c r="E103" i="5"/>
  <c r="D103" i="5"/>
  <c r="C103" i="5"/>
  <c r="B103" i="5"/>
  <c r="H102" i="5"/>
  <c r="G102" i="5"/>
  <c r="F102" i="5"/>
  <c r="E102" i="5"/>
  <c r="D102" i="5"/>
  <c r="C102" i="5"/>
  <c r="H101" i="5"/>
  <c r="G101" i="5"/>
  <c r="F101" i="5"/>
  <c r="E101" i="5"/>
  <c r="D101" i="5"/>
  <c r="C101" i="5"/>
  <c r="H100" i="5"/>
  <c r="G100" i="5"/>
  <c r="F100" i="5"/>
  <c r="E100" i="5"/>
  <c r="D100" i="5"/>
  <c r="C100" i="5"/>
  <c r="H99" i="5"/>
  <c r="G99" i="5"/>
  <c r="F99" i="5"/>
  <c r="E99" i="5"/>
  <c r="C99" i="5"/>
  <c r="B99" i="5"/>
  <c r="H98" i="5"/>
  <c r="G98" i="5"/>
  <c r="F98" i="5"/>
  <c r="E98" i="5"/>
  <c r="D98" i="5"/>
  <c r="C98" i="5"/>
  <c r="H97" i="5"/>
  <c r="G97" i="5"/>
  <c r="E97" i="5"/>
  <c r="D97" i="5"/>
  <c r="C97" i="5"/>
  <c r="B97" i="5"/>
  <c r="H96" i="5"/>
  <c r="G96" i="5"/>
  <c r="F96" i="5"/>
  <c r="E96" i="5"/>
  <c r="H95" i="5"/>
  <c r="G95" i="5"/>
  <c r="F95" i="5"/>
  <c r="E95" i="5"/>
  <c r="D95" i="5"/>
  <c r="C95" i="5"/>
  <c r="H94" i="5"/>
  <c r="G94" i="5"/>
  <c r="F94" i="5"/>
  <c r="E94" i="5"/>
  <c r="D94" i="5"/>
  <c r="C94" i="5"/>
  <c r="H93" i="5"/>
  <c r="G93" i="5"/>
  <c r="F93" i="5"/>
  <c r="D93" i="5"/>
  <c r="C93" i="5"/>
  <c r="B93" i="5"/>
  <c r="H92" i="5"/>
  <c r="G92" i="5"/>
  <c r="F92" i="5"/>
  <c r="E92" i="5"/>
  <c r="D92" i="5"/>
  <c r="B92" i="5"/>
  <c r="H91" i="5"/>
  <c r="G91" i="5"/>
  <c r="F91" i="5"/>
  <c r="C91" i="5"/>
  <c r="B91" i="5"/>
  <c r="H90" i="5"/>
  <c r="G90" i="5"/>
  <c r="F90" i="5"/>
  <c r="E90" i="5"/>
  <c r="C90" i="5"/>
  <c r="B90" i="5"/>
  <c r="H89" i="5"/>
  <c r="G89" i="5"/>
  <c r="F89" i="5"/>
  <c r="E89" i="5"/>
  <c r="D89" i="5"/>
  <c r="C89" i="5"/>
  <c r="H88" i="5"/>
  <c r="G88" i="5"/>
  <c r="F88" i="5"/>
  <c r="E88" i="5"/>
  <c r="D88" i="5"/>
  <c r="C88" i="5"/>
  <c r="H87" i="5"/>
  <c r="G87" i="5"/>
  <c r="F87" i="5"/>
  <c r="E87" i="5"/>
  <c r="D87" i="5"/>
  <c r="B87" i="5"/>
  <c r="H86" i="5"/>
  <c r="G86" i="5"/>
  <c r="F86" i="5"/>
  <c r="E86" i="5"/>
  <c r="D86" i="5"/>
  <c r="C86" i="5"/>
  <c r="H85" i="5"/>
  <c r="G85" i="5"/>
  <c r="F85" i="5"/>
  <c r="E85" i="5"/>
  <c r="D85" i="5"/>
  <c r="C85" i="5"/>
  <c r="H84" i="5"/>
  <c r="G84" i="5"/>
  <c r="F84" i="5"/>
  <c r="E84" i="5"/>
  <c r="C84" i="5"/>
  <c r="B84" i="5"/>
  <c r="H83" i="5"/>
  <c r="G83" i="5"/>
  <c r="F83" i="5"/>
  <c r="E83" i="5"/>
  <c r="D83" i="5"/>
  <c r="C83" i="5"/>
  <c r="B83" i="5"/>
  <c r="H82" i="5"/>
  <c r="G82" i="5"/>
  <c r="F82" i="5"/>
  <c r="E82" i="5"/>
  <c r="D82" i="5"/>
  <c r="B82" i="5"/>
  <c r="H81" i="5"/>
  <c r="G81" i="5"/>
  <c r="F81" i="5"/>
  <c r="E81" i="5"/>
  <c r="D81" i="5"/>
  <c r="C81" i="5"/>
  <c r="H80" i="5"/>
  <c r="G80" i="5"/>
  <c r="F80" i="5"/>
  <c r="E80" i="5"/>
  <c r="D80" i="5"/>
  <c r="C80" i="5"/>
  <c r="H79" i="5"/>
  <c r="G79" i="5"/>
  <c r="F79" i="5"/>
  <c r="E79" i="5"/>
  <c r="D79" i="5"/>
  <c r="C79" i="5"/>
  <c r="H78" i="5"/>
  <c r="G78" i="5"/>
  <c r="F78" i="5"/>
  <c r="E78" i="5"/>
  <c r="D78" i="5"/>
  <c r="B78" i="5"/>
  <c r="H77" i="5"/>
  <c r="G77" i="5"/>
  <c r="F77" i="5"/>
  <c r="E77" i="5"/>
  <c r="D77" i="5"/>
  <c r="C77" i="5"/>
  <c r="H76" i="5"/>
  <c r="G76" i="5"/>
  <c r="F76" i="5"/>
  <c r="E76" i="5"/>
  <c r="D76" i="5"/>
  <c r="C76" i="5"/>
  <c r="H75" i="5"/>
  <c r="G75" i="5"/>
  <c r="F75" i="5"/>
  <c r="D75" i="5"/>
  <c r="C75" i="5"/>
  <c r="B75" i="5"/>
  <c r="H74" i="5"/>
  <c r="G74" i="5"/>
  <c r="F74" i="5"/>
  <c r="E74" i="5"/>
  <c r="D74" i="5"/>
  <c r="C74" i="5"/>
  <c r="H73" i="5"/>
  <c r="G73" i="5"/>
  <c r="F73" i="5"/>
  <c r="E73" i="5"/>
  <c r="D73" i="5"/>
  <c r="C73" i="5"/>
  <c r="H72" i="5"/>
  <c r="G72" i="5"/>
  <c r="F72" i="5"/>
  <c r="E72" i="5"/>
  <c r="D72" i="5"/>
  <c r="C72" i="5"/>
  <c r="H71" i="5"/>
  <c r="G71" i="5"/>
  <c r="F71" i="5"/>
  <c r="E71" i="5"/>
  <c r="D71" i="5"/>
  <c r="C71" i="5"/>
  <c r="H70" i="5"/>
  <c r="G70" i="5"/>
  <c r="F70" i="5"/>
  <c r="E70" i="5"/>
  <c r="D70" i="5"/>
  <c r="C70" i="5"/>
  <c r="H69" i="5"/>
  <c r="G69" i="5"/>
  <c r="F69" i="5"/>
  <c r="E69" i="5"/>
  <c r="D69" i="5"/>
  <c r="C69" i="5"/>
  <c r="G67" i="5"/>
  <c r="F67" i="5"/>
  <c r="H65" i="5"/>
  <c r="G65" i="5"/>
  <c r="E65" i="5"/>
  <c r="D65" i="5"/>
  <c r="H45" i="5"/>
  <c r="G45" i="5"/>
  <c r="F45" i="5"/>
  <c r="E45" i="5"/>
  <c r="G44" i="5"/>
  <c r="F44" i="5"/>
  <c r="E44" i="5"/>
  <c r="H43" i="5"/>
  <c r="G43" i="5"/>
  <c r="F43" i="5"/>
  <c r="E43" i="5"/>
  <c r="D43" i="5"/>
  <c r="G42" i="5"/>
  <c r="F42" i="5"/>
  <c r="E42" i="5"/>
  <c r="G41" i="5"/>
  <c r="F41" i="5"/>
  <c r="E41" i="5"/>
  <c r="G40" i="5"/>
  <c r="F40" i="5"/>
  <c r="E40" i="5"/>
  <c r="G39" i="5"/>
  <c r="F39" i="5"/>
  <c r="E39" i="5"/>
  <c r="G38" i="5"/>
  <c r="F38" i="5"/>
  <c r="G37" i="5"/>
  <c r="F37" i="5"/>
  <c r="E37" i="5"/>
  <c r="G36" i="5"/>
  <c r="F36" i="5"/>
  <c r="G35" i="5"/>
  <c r="F35" i="5"/>
  <c r="E35" i="5"/>
  <c r="D35" i="5"/>
  <c r="G34" i="5"/>
  <c r="F34" i="5"/>
  <c r="E34" i="5"/>
  <c r="G33" i="5"/>
  <c r="F33" i="5"/>
  <c r="G32" i="5"/>
  <c r="G46" i="5" s="1"/>
  <c r="F32" i="5"/>
  <c r="F46" i="5" s="1"/>
  <c r="E26" i="5"/>
  <c r="F25" i="5"/>
  <c r="E25" i="5"/>
  <c r="D25" i="5"/>
  <c r="F24" i="5"/>
  <c r="E24" i="5"/>
  <c r="D24" i="5"/>
  <c r="C24" i="5"/>
  <c r="G23" i="5"/>
  <c r="F23" i="5"/>
  <c r="E23" i="5"/>
  <c r="D23" i="5"/>
  <c r="F22" i="5"/>
  <c r="E22" i="5"/>
  <c r="D22" i="5"/>
  <c r="F21" i="5"/>
  <c r="E21" i="5"/>
  <c r="D21" i="5"/>
  <c r="F20" i="5"/>
  <c r="E20" i="5"/>
  <c r="D20" i="5"/>
  <c r="F19" i="5"/>
  <c r="E19" i="5"/>
  <c r="D19" i="5"/>
  <c r="F18" i="5"/>
  <c r="E18" i="5"/>
  <c r="D18" i="5"/>
  <c r="F17" i="5"/>
  <c r="F26" i="5" s="1"/>
  <c r="E17" i="5"/>
  <c r="F16" i="5"/>
  <c r="E16" i="5"/>
  <c r="F15" i="5"/>
  <c r="E15" i="5"/>
  <c r="F14" i="5"/>
  <c r="E14" i="5"/>
  <c r="Q88" i="4"/>
  <c r="Q84" i="4" s="1"/>
  <c r="Q85" i="4"/>
  <c r="D66" i="4"/>
  <c r="D58" i="4"/>
  <c r="C43" i="4"/>
  <c r="C41" i="4"/>
  <c r="C37" i="4"/>
  <c r="C35" i="4"/>
  <c r="C34" i="4"/>
  <c r="C33" i="4"/>
  <c r="C32" i="4"/>
  <c r="C29" i="4"/>
  <c r="C27" i="4"/>
  <c r="B10" i="4"/>
  <c r="B9"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C30" i="4" s="1"/>
  <c r="AE3380" i="1"/>
  <c r="AD3380" i="1"/>
  <c r="AC3380" i="1"/>
  <c r="AE3379" i="1"/>
  <c r="AD3379" i="1"/>
  <c r="AC3379" i="1"/>
  <c r="D17" i="11" s="1"/>
  <c r="AE3378" i="1"/>
  <c r="AD3378" i="1"/>
  <c r="AC3378" i="1"/>
  <c r="AE3377" i="1"/>
  <c r="AD3377" i="1"/>
  <c r="AC3377" i="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B20" i="3" s="1"/>
  <c r="AE3347" i="1"/>
  <c r="AD3347" i="1"/>
  <c r="AC3347" i="1"/>
  <c r="AE3346" i="1"/>
  <c r="AD3346" i="1"/>
  <c r="AC3346" i="1"/>
  <c r="AE3345" i="1"/>
  <c r="AD3345" i="1"/>
  <c r="AC3345" i="1"/>
  <c r="AE3344" i="1"/>
  <c r="AD3344" i="1"/>
  <c r="AC3344" i="1"/>
  <c r="AE3343" i="1"/>
  <c r="AD3343" i="1"/>
  <c r="AC3343" i="1"/>
  <c r="AE3342" i="1"/>
  <c r="AD3342" i="1"/>
  <c r="AC3342" i="1"/>
  <c r="AE3341" i="1"/>
  <c r="AD3341" i="1"/>
  <c r="AC3341" i="1"/>
  <c r="B54" i="5" s="1"/>
  <c r="AE3340" i="1"/>
  <c r="AD3340" i="1"/>
  <c r="C42" i="4" s="1"/>
  <c r="AC3340" i="1"/>
  <c r="AE3339" i="1"/>
  <c r="AD3339" i="1"/>
  <c r="AC3339" i="1"/>
  <c r="AE3338" i="1"/>
  <c r="AD3338" i="1"/>
  <c r="AC3338" i="1"/>
  <c r="AE3337" i="1"/>
  <c r="AD3337" i="1"/>
  <c r="AC3337" i="1"/>
  <c r="AE3336" i="1"/>
  <c r="AD3336" i="1"/>
  <c r="AC3336" i="1"/>
  <c r="B52" i="5" s="1"/>
  <c r="AE3335" i="1"/>
  <c r="AD3335" i="1"/>
  <c r="AC3335" i="1"/>
  <c r="C22" i="5" s="1"/>
  <c r="AE3334" i="1"/>
  <c r="AD3334" i="1"/>
  <c r="AC3334" i="1"/>
  <c r="C37" i="10" s="1"/>
  <c r="AE3333" i="1"/>
  <c r="AD3333" i="1"/>
  <c r="AC3333" i="1"/>
  <c r="AE3332" i="1"/>
  <c r="AD3332" i="1"/>
  <c r="AC3332" i="1"/>
  <c r="B39" i="3" s="1"/>
  <c r="AE3331" i="1"/>
  <c r="AD3331" i="1"/>
  <c r="AC3331" i="1"/>
  <c r="AE3330" i="1"/>
  <c r="AD3330" i="1"/>
  <c r="AC3330" i="1"/>
  <c r="AE3329" i="1"/>
  <c r="AD3329" i="1"/>
  <c r="AC3329" i="1"/>
  <c r="AE3328" i="1"/>
  <c r="AD3328" i="1"/>
  <c r="AC3328" i="1"/>
  <c r="AE3327" i="1"/>
  <c r="AD3327" i="1"/>
  <c r="AC3327" i="1"/>
  <c r="AE3326" i="1"/>
  <c r="AD3326" i="1"/>
  <c r="AC3326" i="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B40" i="3" s="1"/>
  <c r="AC3209" i="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B42" i="3" s="1"/>
  <c r="AE2979" i="1"/>
  <c r="AD2979" i="1"/>
  <c r="AC2979" i="1"/>
  <c r="AE2978" i="1"/>
  <c r="AD2978" i="1"/>
  <c r="AC2978" i="1"/>
  <c r="AE2977" i="1"/>
  <c r="AD2977" i="1"/>
  <c r="AC2977" i="1"/>
  <c r="AE2976" i="1"/>
  <c r="AD2976" i="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AE2699" i="1"/>
  <c r="AD2699" i="1"/>
  <c r="AC2699" i="1"/>
  <c r="AE2698" i="1"/>
  <c r="AD2698" i="1"/>
  <c r="AC2698" i="1"/>
  <c r="AE2697" i="1"/>
  <c r="AD2697" i="1"/>
  <c r="C25" i="4" s="1"/>
  <c r="AC2697" i="1"/>
  <c r="K78"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G18" i="5"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B36" i="3" s="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F52" i="7" s="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AE2253" i="1"/>
  <c r="AD2253" i="1"/>
  <c r="AC2253" i="1"/>
  <c r="B33" i="3" s="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B19" i="3" s="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B8" i="3" s="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B21" i="3" s="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B11" i="3" s="1"/>
  <c r="AE1804" i="1"/>
  <c r="AD1804" i="1"/>
  <c r="AC1804" i="1"/>
  <c r="AE1803" i="1"/>
  <c r="AD1803" i="1"/>
  <c r="AC1803" i="1"/>
  <c r="AE1802" i="1"/>
  <c r="AD1802" i="1"/>
  <c r="AC1802" i="1"/>
  <c r="AE1801" i="1"/>
  <c r="AD1801" i="1"/>
  <c r="AC1801" i="1"/>
  <c r="AE1800" i="1"/>
  <c r="AD1800" i="1"/>
  <c r="AC1800" i="1"/>
  <c r="B9" i="3" s="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B7" i="3" s="1"/>
  <c r="AE1783" i="1"/>
  <c r="AD1783" i="1"/>
  <c r="AC1783" i="1"/>
  <c r="AE1782" i="1"/>
  <c r="AD1782" i="1"/>
  <c r="AC1782" i="1"/>
  <c r="AE1781" i="1"/>
  <c r="AD1781" i="1"/>
  <c r="AC1781" i="1"/>
  <c r="B32" i="3" s="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H266" i="5" s="1"/>
  <c r="AE1751" i="1"/>
  <c r="AD1751" i="1"/>
  <c r="AC1751" i="1"/>
  <c r="H67" i="5" s="1"/>
  <c r="AE1750" i="1"/>
  <c r="AD1750" i="1"/>
  <c r="AC1750" i="1"/>
  <c r="AE1749" i="1"/>
  <c r="AD1749" i="1"/>
  <c r="AC1749" i="1"/>
  <c r="AE1748" i="1"/>
  <c r="AD1748" i="1"/>
  <c r="AC1748" i="1"/>
  <c r="L88" i="4" s="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AE1738" i="1"/>
  <c r="AD1738" i="1"/>
  <c r="AC1738" i="1"/>
  <c r="F97" i="5" s="1"/>
  <c r="AE1737" i="1"/>
  <c r="AD1737" i="1"/>
  <c r="AC1737" i="1"/>
  <c r="AE1736" i="1"/>
  <c r="AD1736" i="1"/>
  <c r="AC1736" i="1"/>
  <c r="F68" i="5" s="1"/>
  <c r="AE1735" i="1"/>
  <c r="AD1735" i="1"/>
  <c r="AC1735" i="1"/>
  <c r="AE1734" i="1"/>
  <c r="AD1734" i="1"/>
  <c r="AC1734" i="1"/>
  <c r="AE1733" i="1"/>
  <c r="AD1733" i="1"/>
  <c r="AC1733" i="1"/>
  <c r="F65" i="5"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G188" i="5" s="1"/>
  <c r="AE1719" i="1"/>
  <c r="AD1719" i="1"/>
  <c r="AC1719" i="1"/>
  <c r="G189" i="5" s="1"/>
  <c r="AE1718" i="1"/>
  <c r="AD1718" i="1"/>
  <c r="AC1718" i="1"/>
  <c r="G181" i="5" s="1"/>
  <c r="AE1717" i="1"/>
  <c r="AD1717" i="1"/>
  <c r="AC1717" i="1"/>
  <c r="G180" i="5" s="1"/>
  <c r="AE1716" i="1"/>
  <c r="AD1716" i="1"/>
  <c r="AC1716" i="1"/>
  <c r="G170" i="5" s="1"/>
  <c r="AE1715" i="1"/>
  <c r="AD1715" i="1"/>
  <c r="AC1715" i="1"/>
  <c r="G120" i="5" s="1"/>
  <c r="AE1714" i="1"/>
  <c r="AD1714" i="1"/>
  <c r="AC1714" i="1"/>
  <c r="G145" i="5" s="1"/>
  <c r="AE1713" i="1"/>
  <c r="AD1713" i="1"/>
  <c r="AC1713" i="1"/>
  <c r="G143" i="5" s="1"/>
  <c r="AE1712" i="1"/>
  <c r="AD1712" i="1"/>
  <c r="AC1712" i="1"/>
  <c r="G146" i="5" s="1"/>
  <c r="AE1711" i="1"/>
  <c r="AD1711" i="1"/>
  <c r="AC1711" i="1"/>
  <c r="G127" i="5" s="1"/>
  <c r="AE1710" i="1"/>
  <c r="AD1710" i="1"/>
  <c r="AC1710" i="1"/>
  <c r="G137" i="5" s="1"/>
  <c r="AE1709" i="1"/>
  <c r="AD1709" i="1"/>
  <c r="AC1709" i="1"/>
  <c r="G134" i="5" s="1"/>
  <c r="AE1708" i="1"/>
  <c r="AD1708" i="1"/>
  <c r="AC1708" i="1"/>
  <c r="G103" i="5" s="1"/>
  <c r="AE1707" i="1"/>
  <c r="AD1707" i="1"/>
  <c r="AC1707" i="1"/>
  <c r="G125" i="5" s="1"/>
  <c r="AE1706" i="1"/>
  <c r="AD1706" i="1"/>
  <c r="AC1706" i="1"/>
  <c r="AE1705" i="1"/>
  <c r="AD1705" i="1"/>
  <c r="AC1705" i="1"/>
  <c r="AE1704" i="1"/>
  <c r="AD1704" i="1"/>
  <c r="AC1704" i="1"/>
  <c r="AE1703" i="1"/>
  <c r="AD1703" i="1"/>
  <c r="AC1703" i="1"/>
  <c r="G68" i="5" s="1"/>
  <c r="AE1702" i="1"/>
  <c r="AD1702" i="1"/>
  <c r="AC1702" i="1"/>
  <c r="AE1701" i="1"/>
  <c r="AD1701" i="1"/>
  <c r="AC1701" i="1"/>
  <c r="G66" i="5" s="1"/>
  <c r="AE1700" i="1"/>
  <c r="AD1700" i="1"/>
  <c r="AC1700" i="1"/>
  <c r="AE1699" i="1"/>
  <c r="AD1699" i="1"/>
  <c r="AC1699" i="1"/>
  <c r="AE1698" i="1"/>
  <c r="AD1698" i="1"/>
  <c r="AC1698" i="1"/>
  <c r="AE1697" i="1"/>
  <c r="AD1697" i="1"/>
  <c r="AC1697" i="1"/>
  <c r="AE1696" i="1"/>
  <c r="AD1696" i="1"/>
  <c r="AC1696" i="1"/>
  <c r="AE1695" i="1"/>
  <c r="AD1695" i="1"/>
  <c r="AC1695" i="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D15" i="5" s="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AE1588" i="1"/>
  <c r="AD1588" i="1"/>
  <c r="AC1588" i="1"/>
  <c r="E220" i="5" s="1"/>
  <c r="AE1587" i="1"/>
  <c r="AD1587" i="1"/>
  <c r="AC1587" i="1"/>
  <c r="AE1586" i="1"/>
  <c r="AD1586" i="1"/>
  <c r="AC1586" i="1"/>
  <c r="AE1585" i="1"/>
  <c r="AD1585" i="1"/>
  <c r="AC1585" i="1"/>
  <c r="AE1584" i="1"/>
  <c r="AD1584" i="1"/>
  <c r="AC1584" i="1"/>
  <c r="E212" i="5" s="1"/>
  <c r="AE1583" i="1"/>
  <c r="AD1583" i="1"/>
  <c r="AC1583" i="1"/>
  <c r="E213" i="5" s="1"/>
  <c r="AE1582" i="1"/>
  <c r="AD1582" i="1"/>
  <c r="AC1582" i="1"/>
  <c r="E210" i="5" s="1"/>
  <c r="AE1581" i="1"/>
  <c r="AD1581" i="1"/>
  <c r="AC1581" i="1"/>
  <c r="E208" i="5" s="1"/>
  <c r="AE1580" i="1"/>
  <c r="AD1580" i="1"/>
  <c r="AC1580" i="1"/>
  <c r="AE1579" i="1"/>
  <c r="AD1579" i="1"/>
  <c r="AC1579" i="1"/>
  <c r="AE1578" i="1"/>
  <c r="AD1578" i="1"/>
  <c r="AC1578" i="1"/>
  <c r="AE1577" i="1"/>
  <c r="AD1577" i="1"/>
  <c r="AC1577" i="1"/>
  <c r="AE1576" i="1"/>
  <c r="AD1576" i="1"/>
  <c r="AC1576" i="1"/>
  <c r="E160" i="5" s="1"/>
  <c r="AE1575" i="1"/>
  <c r="AD1575" i="1"/>
  <c r="AC1575" i="1"/>
  <c r="E91" i="5" s="1"/>
  <c r="AE1574" i="1"/>
  <c r="AD1574" i="1"/>
  <c r="AC1574" i="1"/>
  <c r="E150" i="5" s="1"/>
  <c r="AE1573" i="1"/>
  <c r="AD1573" i="1"/>
  <c r="AC1573" i="1"/>
  <c r="E148" i="5" s="1"/>
  <c r="AE1572" i="1"/>
  <c r="AD1572" i="1"/>
  <c r="AC1572" i="1"/>
  <c r="E154" i="5" s="1"/>
  <c r="AE1571" i="1"/>
  <c r="AD1571" i="1"/>
  <c r="AC1571" i="1"/>
  <c r="AE1570" i="1"/>
  <c r="AD1570" i="1"/>
  <c r="AC1570" i="1"/>
  <c r="AE1569" i="1"/>
  <c r="AD1569" i="1"/>
  <c r="AC1569" i="1"/>
  <c r="E140" i="5" s="1"/>
  <c r="AE1568" i="1"/>
  <c r="AD1568" i="1"/>
  <c r="AC1568" i="1"/>
  <c r="E141" i="5" s="1"/>
  <c r="AE1567" i="1"/>
  <c r="AD1567" i="1"/>
  <c r="AC1567" i="1"/>
  <c r="E139" i="5" s="1"/>
  <c r="AE1566" i="1"/>
  <c r="AD1566" i="1"/>
  <c r="AC1566" i="1"/>
  <c r="E151" i="5" s="1"/>
  <c r="AE1565" i="1"/>
  <c r="AD1565" i="1"/>
  <c r="AC1565" i="1"/>
  <c r="E129" i="5" s="1"/>
  <c r="AE1564" i="1"/>
  <c r="AD1564" i="1"/>
  <c r="AC1564" i="1"/>
  <c r="E122" i="5" s="1"/>
  <c r="AE1563" i="1"/>
  <c r="AD1563" i="1"/>
  <c r="AC1563" i="1"/>
  <c r="E119" i="5" s="1"/>
  <c r="AE1562" i="1"/>
  <c r="AD1562" i="1"/>
  <c r="AC1562" i="1"/>
  <c r="E135" i="5" s="1"/>
  <c r="AE1561" i="1"/>
  <c r="AD1561" i="1"/>
  <c r="AC1561" i="1"/>
  <c r="E126" i="5" s="1"/>
  <c r="AE1560" i="1"/>
  <c r="AD1560" i="1"/>
  <c r="AC1560" i="1"/>
  <c r="E132" i="5" s="1"/>
  <c r="AE1559" i="1"/>
  <c r="AD1559" i="1"/>
  <c r="AC1559" i="1"/>
  <c r="E130" i="5" s="1"/>
  <c r="AE1558" i="1"/>
  <c r="AD1558" i="1"/>
  <c r="AC1558" i="1"/>
  <c r="E116" i="5" s="1"/>
  <c r="AE1557" i="1"/>
  <c r="AD1557" i="1"/>
  <c r="AC1557" i="1"/>
  <c r="E128" i="5" s="1"/>
  <c r="AE1556" i="1"/>
  <c r="AD1556" i="1"/>
  <c r="AC1556" i="1"/>
  <c r="E121" i="5" s="1"/>
  <c r="AE1555" i="1"/>
  <c r="AD1555" i="1"/>
  <c r="AC1555" i="1"/>
  <c r="E106" i="5" s="1"/>
  <c r="AE1554" i="1"/>
  <c r="AD1554" i="1"/>
  <c r="AC1554" i="1"/>
  <c r="E108" i="5" s="1"/>
  <c r="AE1553" i="1"/>
  <c r="AD1553" i="1"/>
  <c r="AC1553" i="1"/>
  <c r="E113" i="5" s="1"/>
  <c r="AE1552" i="1"/>
  <c r="AD1552" i="1"/>
  <c r="AC1552" i="1"/>
  <c r="E93" i="5" s="1"/>
  <c r="AE1551" i="1"/>
  <c r="AD1551" i="1"/>
  <c r="AC1551" i="1"/>
  <c r="E75" i="5" s="1"/>
  <c r="AE1550" i="1"/>
  <c r="AD1550" i="1"/>
  <c r="AC1550" i="1"/>
  <c r="AE1549" i="1"/>
  <c r="AD1549" i="1"/>
  <c r="AC1549" i="1"/>
  <c r="AE1548" i="1"/>
  <c r="AD1548" i="1"/>
  <c r="AC1548" i="1"/>
  <c r="AE1547" i="1"/>
  <c r="AD1547" i="1"/>
  <c r="AC1547" i="1"/>
  <c r="AE1546" i="1"/>
  <c r="AD1546" i="1"/>
  <c r="AC1546" i="1"/>
  <c r="AE1545" i="1"/>
  <c r="AD1545" i="1"/>
  <c r="AC1545" i="1"/>
  <c r="E66" i="5" s="1"/>
  <c r="AE1544" i="1"/>
  <c r="AD1544" i="1"/>
  <c r="AC1544" i="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AE1489" i="1"/>
  <c r="AD1489" i="1"/>
  <c r="AC1489" i="1"/>
  <c r="AE1488" i="1"/>
  <c r="AD1488" i="1"/>
  <c r="AC1488" i="1"/>
  <c r="D229" i="5" s="1"/>
  <c r="AE1487" i="1"/>
  <c r="AD1487" i="1"/>
  <c r="AC1487" i="1"/>
  <c r="D223" i="5" s="1"/>
  <c r="AE1486" i="1"/>
  <c r="AD1486" i="1"/>
  <c r="AC1486" i="1"/>
  <c r="D200" i="5" s="1"/>
  <c r="AE1485" i="1"/>
  <c r="AD1485" i="1"/>
  <c r="AC1485" i="1"/>
  <c r="D212" i="5" s="1"/>
  <c r="AE1484" i="1"/>
  <c r="AD1484" i="1"/>
  <c r="AC1484" i="1"/>
  <c r="AE1483" i="1"/>
  <c r="AD1483" i="1"/>
  <c r="AC1483" i="1"/>
  <c r="AE1482" i="1"/>
  <c r="AD1482" i="1"/>
  <c r="AC1482" i="1"/>
  <c r="AE1481" i="1"/>
  <c r="AD1481" i="1"/>
  <c r="AC1481" i="1"/>
  <c r="AE1480" i="1"/>
  <c r="AD1480" i="1"/>
  <c r="AC1480" i="1"/>
  <c r="D190" i="5" s="1"/>
  <c r="AE1479" i="1"/>
  <c r="AD1479" i="1"/>
  <c r="AC1479" i="1"/>
  <c r="D184" i="5" s="1"/>
  <c r="AE1478" i="1"/>
  <c r="AD1478" i="1"/>
  <c r="AC1478" i="1"/>
  <c r="D187" i="5" s="1"/>
  <c r="AE1477" i="1"/>
  <c r="AD1477" i="1"/>
  <c r="AC1477" i="1"/>
  <c r="D183" i="5" s="1"/>
  <c r="AE1476" i="1"/>
  <c r="AD1476" i="1"/>
  <c r="AC1476" i="1"/>
  <c r="D179" i="5" s="1"/>
  <c r="AE1475" i="1"/>
  <c r="AD1475" i="1"/>
  <c r="AC1475" i="1"/>
  <c r="AE1474" i="1"/>
  <c r="AD1474" i="1"/>
  <c r="AC1474" i="1"/>
  <c r="D133" i="5" s="1"/>
  <c r="AE1473" i="1"/>
  <c r="AD1473" i="1"/>
  <c r="AC1473" i="1"/>
  <c r="D91" i="5" s="1"/>
  <c r="AE1472" i="1"/>
  <c r="AD1472" i="1"/>
  <c r="AC1472" i="1"/>
  <c r="D142" i="5" s="1"/>
  <c r="AE1471" i="1"/>
  <c r="AD1471" i="1"/>
  <c r="AC1471" i="1"/>
  <c r="D155" i="5" s="1"/>
  <c r="AE1470" i="1"/>
  <c r="AD1470" i="1"/>
  <c r="AC1470" i="1"/>
  <c r="D156" i="5" s="1"/>
  <c r="AE1469" i="1"/>
  <c r="AD1469" i="1"/>
  <c r="AC1469" i="1"/>
  <c r="D157" i="5" s="1"/>
  <c r="AE1468" i="1"/>
  <c r="AD1468" i="1"/>
  <c r="AC1468" i="1"/>
  <c r="D140" i="5" s="1"/>
  <c r="AE1467" i="1"/>
  <c r="AD1467" i="1"/>
  <c r="AC1467" i="1"/>
  <c r="D144" i="5" s="1"/>
  <c r="AE1466" i="1"/>
  <c r="AD1466" i="1"/>
  <c r="AC1466" i="1"/>
  <c r="D136" i="5" s="1"/>
  <c r="AE1465" i="1"/>
  <c r="AD1465" i="1"/>
  <c r="AC1465" i="1"/>
  <c r="D147" i="5" s="1"/>
  <c r="AE1464" i="1"/>
  <c r="AD1464" i="1"/>
  <c r="AC1464" i="1"/>
  <c r="D138" i="5" s="1"/>
  <c r="AE1463" i="1"/>
  <c r="AD1463" i="1"/>
  <c r="AC1463" i="1"/>
  <c r="D109" i="5" s="1"/>
  <c r="AE1462" i="1"/>
  <c r="AD1462" i="1"/>
  <c r="AC1462" i="1"/>
  <c r="D123" i="5" s="1"/>
  <c r="AE1461" i="1"/>
  <c r="AD1461" i="1"/>
  <c r="AC1461" i="1"/>
  <c r="D117" i="5" s="1"/>
  <c r="AE1460" i="1"/>
  <c r="AD1460" i="1"/>
  <c r="AC1460" i="1"/>
  <c r="D99" i="5" s="1"/>
  <c r="AE1459" i="1"/>
  <c r="AD1459" i="1"/>
  <c r="AC1459" i="1"/>
  <c r="D84" i="5" s="1"/>
  <c r="AE1458" i="1"/>
  <c r="AD1458" i="1"/>
  <c r="AC1458" i="1"/>
  <c r="D90" i="5" s="1"/>
  <c r="AE1457" i="1"/>
  <c r="AD1457" i="1"/>
  <c r="AC1457" i="1"/>
  <c r="AE1456" i="1"/>
  <c r="AD1456" i="1"/>
  <c r="AC1456" i="1"/>
  <c r="AE1455" i="1"/>
  <c r="AD1455" i="1"/>
  <c r="AC1455" i="1"/>
  <c r="AE1454" i="1"/>
  <c r="AD1454" i="1"/>
  <c r="AC1454" i="1"/>
  <c r="D68" i="5" s="1"/>
  <c r="AE1453" i="1"/>
  <c r="AD1453" i="1"/>
  <c r="AC1453" i="1"/>
  <c r="AE1452" i="1"/>
  <c r="AD1452" i="1"/>
  <c r="AC1452" i="1"/>
  <c r="D66" i="5"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222" i="5" s="1"/>
  <c r="AE1367" i="1"/>
  <c r="AD1367" i="1"/>
  <c r="AC1367" i="1"/>
  <c r="C225" i="5" s="1"/>
  <c r="AE1366" i="1"/>
  <c r="AD1366" i="1"/>
  <c r="AC1366" i="1"/>
  <c r="AE1365" i="1"/>
  <c r="AD1365" i="1"/>
  <c r="AC1365" i="1"/>
  <c r="C204" i="5" s="1"/>
  <c r="AE1364" i="1"/>
  <c r="AD1364" i="1"/>
  <c r="AC1364" i="1"/>
  <c r="C198" i="5" s="1"/>
  <c r="AE1363" i="1"/>
  <c r="AD1363" i="1"/>
  <c r="AC1363" i="1"/>
  <c r="AE1362" i="1"/>
  <c r="AD1362" i="1"/>
  <c r="AC1362" i="1"/>
  <c r="AE1361" i="1"/>
  <c r="AD1361" i="1"/>
  <c r="AC1361" i="1"/>
  <c r="AE1360" i="1"/>
  <c r="AD1360" i="1"/>
  <c r="AC1360" i="1"/>
  <c r="C175" i="5" s="1"/>
  <c r="I175" i="5" s="1"/>
  <c r="AE1359" i="1"/>
  <c r="AD1359" i="1"/>
  <c r="AC1359" i="1"/>
  <c r="C172" i="5" s="1"/>
  <c r="AE1358" i="1"/>
  <c r="AD1358" i="1"/>
  <c r="AC1358" i="1"/>
  <c r="C178" i="5" s="1"/>
  <c r="AE1357" i="1"/>
  <c r="AD1357" i="1"/>
  <c r="AC1357" i="1"/>
  <c r="C174" i="5" s="1"/>
  <c r="AE1356" i="1"/>
  <c r="AD1356" i="1"/>
  <c r="AC1356" i="1"/>
  <c r="AE1355" i="1"/>
  <c r="AD1355" i="1"/>
  <c r="AC1355" i="1"/>
  <c r="C105" i="5" s="1"/>
  <c r="AE1354" i="1"/>
  <c r="AD1354" i="1"/>
  <c r="AC1354" i="1"/>
  <c r="C112" i="5" s="1"/>
  <c r="AE1353" i="1"/>
  <c r="AD1353" i="1"/>
  <c r="AC1353" i="1"/>
  <c r="C117" i="5" s="1"/>
  <c r="AE1352" i="1"/>
  <c r="AD1352" i="1"/>
  <c r="AC1352" i="1"/>
  <c r="C92" i="5" s="1"/>
  <c r="AE1351" i="1"/>
  <c r="AD1351" i="1"/>
  <c r="AC1351" i="1"/>
  <c r="AE1350" i="1"/>
  <c r="AD1350" i="1"/>
  <c r="AC1350" i="1"/>
  <c r="C87" i="5" s="1"/>
  <c r="AE1349" i="1"/>
  <c r="AD1349" i="1"/>
  <c r="AC1349" i="1"/>
  <c r="C82" i="5" s="1"/>
  <c r="AE1348" i="1"/>
  <c r="AD1348" i="1"/>
  <c r="AC1348" i="1"/>
  <c r="C78" i="5" s="1"/>
  <c r="AE1347" i="1"/>
  <c r="AD1347" i="1"/>
  <c r="AC1347" i="1"/>
  <c r="AE1346" i="1"/>
  <c r="AD1346" i="1"/>
  <c r="AC1346" i="1"/>
  <c r="AE1345" i="1"/>
  <c r="AD1345" i="1"/>
  <c r="AC1345" i="1"/>
  <c r="AE1344" i="1"/>
  <c r="AD1344" i="1"/>
  <c r="AC1344" i="1"/>
  <c r="AE1343" i="1"/>
  <c r="AD1343" i="1"/>
  <c r="AC1343" i="1"/>
  <c r="G266" i="5" s="1"/>
  <c r="AE1342" i="1"/>
  <c r="AD1342" i="1"/>
  <c r="AC1342" i="1"/>
  <c r="C67" i="5" s="1"/>
  <c r="AE1341" i="1"/>
  <c r="AD1341" i="1"/>
  <c r="AC1341" i="1"/>
  <c r="C66" i="5" s="1"/>
  <c r="AE1340" i="1"/>
  <c r="AD1340" i="1"/>
  <c r="AC1340" i="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B196" i="5" s="1"/>
  <c r="I196" i="5" s="1"/>
  <c r="AE1220" i="1"/>
  <c r="AD1220" i="1"/>
  <c r="AC1220" i="1"/>
  <c r="B216" i="5" s="1"/>
  <c r="I216" i="5" s="1"/>
  <c r="AE1219" i="1"/>
  <c r="AD1219" i="1"/>
  <c r="AC1219" i="1"/>
  <c r="AE1218" i="1"/>
  <c r="AD1218" i="1"/>
  <c r="AC1218" i="1"/>
  <c r="AE1217" i="1"/>
  <c r="AD1217" i="1"/>
  <c r="AC1217" i="1"/>
  <c r="AE1216" i="1"/>
  <c r="AD1216" i="1"/>
  <c r="AC1216" i="1"/>
  <c r="B203" i="5" s="1"/>
  <c r="I203" i="5" s="1"/>
  <c r="AE1215" i="1"/>
  <c r="AD1215" i="1"/>
  <c r="AC1215" i="1"/>
  <c r="B205" i="5" s="1"/>
  <c r="I205" i="5" s="1"/>
  <c r="AE1214" i="1"/>
  <c r="AD1214" i="1"/>
  <c r="AC1214" i="1"/>
  <c r="B199" i="5" s="1"/>
  <c r="I199" i="5" s="1"/>
  <c r="AE1213" i="1"/>
  <c r="AD1213" i="1"/>
  <c r="AC1213" i="1"/>
  <c r="B197" i="5" s="1"/>
  <c r="I197" i="5" s="1"/>
  <c r="AE1212" i="1"/>
  <c r="AD1212" i="1"/>
  <c r="AC1212" i="1"/>
  <c r="AE1211" i="1"/>
  <c r="AD1211" i="1"/>
  <c r="AC1211" i="1"/>
  <c r="B192" i="5" s="1"/>
  <c r="I192" i="5" s="1"/>
  <c r="AE1210" i="1"/>
  <c r="AD1210" i="1"/>
  <c r="AC1210" i="1"/>
  <c r="AE1209" i="1"/>
  <c r="AD1209" i="1"/>
  <c r="AC1209" i="1"/>
  <c r="AE1208" i="1"/>
  <c r="AD1208" i="1"/>
  <c r="AC1208" i="1"/>
  <c r="B167" i="5" s="1"/>
  <c r="I167" i="5" s="1"/>
  <c r="AE1207" i="1"/>
  <c r="AD1207" i="1"/>
  <c r="AC1207" i="1"/>
  <c r="B166" i="5" s="1"/>
  <c r="I166" i="5" s="1"/>
  <c r="AE1206" i="1"/>
  <c r="AD1206" i="1"/>
  <c r="AC1206" i="1"/>
  <c r="B162" i="5" s="1"/>
  <c r="I162" i="5" s="1"/>
  <c r="AE1205" i="1"/>
  <c r="AD1205" i="1"/>
  <c r="AC1205" i="1"/>
  <c r="B164" i="5" s="1"/>
  <c r="I164" i="5" s="1"/>
  <c r="AE1204" i="1"/>
  <c r="AD1204" i="1"/>
  <c r="AC1204" i="1"/>
  <c r="B163" i="5" s="1"/>
  <c r="I163" i="5" s="1"/>
  <c r="AE1203" i="1"/>
  <c r="AD1203" i="1"/>
  <c r="AC1203" i="1"/>
  <c r="B81" i="5" s="1"/>
  <c r="I81" i="5" s="1"/>
  <c r="AE1202" i="1"/>
  <c r="AD1202" i="1"/>
  <c r="AC1202" i="1"/>
  <c r="B124" i="5" s="1"/>
  <c r="I124" i="5" s="1"/>
  <c r="AE1201" i="1"/>
  <c r="AD1201" i="1"/>
  <c r="AC1201" i="1"/>
  <c r="B118" i="5" s="1"/>
  <c r="I118" i="5" s="1"/>
  <c r="AE1200" i="1"/>
  <c r="AD1200" i="1"/>
  <c r="AC1200" i="1"/>
  <c r="B111" i="5" s="1"/>
  <c r="I111" i="5" s="1"/>
  <c r="AE1199" i="1"/>
  <c r="AD1199" i="1"/>
  <c r="AC1199" i="1"/>
  <c r="B86" i="5" s="1"/>
  <c r="I86" i="5" s="1"/>
  <c r="AE1198" i="1"/>
  <c r="AD1198" i="1"/>
  <c r="AC1198" i="1"/>
  <c r="B101" i="5" s="1"/>
  <c r="I101" i="5" s="1"/>
  <c r="AE1197" i="1"/>
  <c r="AD1197" i="1"/>
  <c r="AC1197" i="1"/>
  <c r="B114" i="5" s="1"/>
  <c r="I114" i="5" s="1"/>
  <c r="AE1196" i="1"/>
  <c r="AD1196" i="1"/>
  <c r="AC1196" i="1"/>
  <c r="B110" i="5" s="1"/>
  <c r="I110" i="5" s="1"/>
  <c r="AE1195" i="1"/>
  <c r="AD1195" i="1"/>
  <c r="AC1195" i="1"/>
  <c r="B115" i="5" s="1"/>
  <c r="I115" i="5" s="1"/>
  <c r="AE1194" i="1"/>
  <c r="AD1194" i="1"/>
  <c r="AC1194" i="1"/>
  <c r="B102" i="5" s="1"/>
  <c r="I102" i="5" s="1"/>
  <c r="AE1193" i="1"/>
  <c r="AD1193" i="1"/>
  <c r="AC1193" i="1"/>
  <c r="B100" i="5" s="1"/>
  <c r="I100" i="5" s="1"/>
  <c r="AE1192" i="1"/>
  <c r="AD1192" i="1"/>
  <c r="AC1192" i="1"/>
  <c r="B73" i="5" s="1"/>
  <c r="I73" i="5" s="1"/>
  <c r="AE1191" i="1"/>
  <c r="AD1191" i="1"/>
  <c r="AC1191" i="1"/>
  <c r="B89" i="5" s="1"/>
  <c r="I89" i="5" s="1"/>
  <c r="AE1190" i="1"/>
  <c r="AD1190" i="1"/>
  <c r="AC1190" i="1"/>
  <c r="B72" i="5" s="1"/>
  <c r="I72" i="5" s="1"/>
  <c r="AE1189" i="1"/>
  <c r="AD1189" i="1"/>
  <c r="AC1189" i="1"/>
  <c r="B74" i="5" s="1"/>
  <c r="I74" i="5" s="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AE1120" i="1"/>
  <c r="AD1120" i="1"/>
  <c r="AC1120" i="1"/>
  <c r="B206" i="5" s="1"/>
  <c r="I206" i="5" s="1"/>
  <c r="AE1119" i="1"/>
  <c r="AD1119" i="1"/>
  <c r="AC1119" i="1"/>
  <c r="B215" i="5" s="1"/>
  <c r="I215" i="5" s="1"/>
  <c r="AE1118" i="1"/>
  <c r="AD1118" i="1"/>
  <c r="AC1118" i="1"/>
  <c r="B194" i="5" s="1"/>
  <c r="I194" i="5" s="1"/>
  <c r="AE1117" i="1"/>
  <c r="AD1117" i="1"/>
  <c r="AC1117" i="1"/>
  <c r="B173" i="5" s="1"/>
  <c r="I173" i="5" s="1"/>
  <c r="AE1116" i="1"/>
  <c r="AD1116" i="1"/>
  <c r="AC1116" i="1"/>
  <c r="AE1115" i="1"/>
  <c r="AD1115" i="1"/>
  <c r="AC1115" i="1"/>
  <c r="B168" i="5" s="1"/>
  <c r="I168" i="5" s="1"/>
  <c r="AE1114" i="1"/>
  <c r="AD1114" i="1"/>
  <c r="AC1114" i="1"/>
  <c r="AE1113" i="1"/>
  <c r="AD1113" i="1"/>
  <c r="AC1113" i="1"/>
  <c r="AE1112" i="1"/>
  <c r="AD1112" i="1"/>
  <c r="AC1112" i="1"/>
  <c r="B131" i="5" s="1"/>
  <c r="I131" i="5" s="1"/>
  <c r="AE1111" i="1"/>
  <c r="AD1111" i="1"/>
  <c r="AC1111" i="1"/>
  <c r="B77" i="5" s="1"/>
  <c r="I77" i="5" s="1"/>
  <c r="AE1110" i="1"/>
  <c r="AD1110" i="1"/>
  <c r="AC1110" i="1"/>
  <c r="B76" i="5" s="1"/>
  <c r="I76" i="5" s="1"/>
  <c r="AE1109" i="1"/>
  <c r="AD1109" i="1"/>
  <c r="AC1109" i="1"/>
  <c r="B98" i="5" s="1"/>
  <c r="I98" i="5" s="1"/>
  <c r="AE1108" i="1"/>
  <c r="AD1108" i="1"/>
  <c r="AC1108" i="1"/>
  <c r="B88" i="5" s="1"/>
  <c r="I88" i="5" s="1"/>
  <c r="AE1107" i="1"/>
  <c r="AD1107" i="1"/>
  <c r="AC1107" i="1"/>
  <c r="B69" i="5" s="1"/>
  <c r="I69" i="5" s="1"/>
  <c r="AE1106" i="1"/>
  <c r="AD1106" i="1"/>
  <c r="AC1106" i="1"/>
  <c r="B104" i="5" s="1"/>
  <c r="I104" i="5" s="1"/>
  <c r="AE1105" i="1"/>
  <c r="AD1105" i="1"/>
  <c r="AC1105" i="1"/>
  <c r="B117" i="5" s="1"/>
  <c r="AE1104" i="1"/>
  <c r="AD1104" i="1"/>
  <c r="AC1104" i="1"/>
  <c r="B79" i="5" s="1"/>
  <c r="I79" i="5" s="1"/>
  <c r="AE1103" i="1"/>
  <c r="AD1103" i="1"/>
  <c r="AC1103" i="1"/>
  <c r="B152" i="5" s="1"/>
  <c r="I152" i="5" s="1"/>
  <c r="AE1102" i="1"/>
  <c r="AD1102" i="1"/>
  <c r="AC1102" i="1"/>
  <c r="B95" i="5" s="1"/>
  <c r="I95" i="5" s="1"/>
  <c r="AE1101" i="1"/>
  <c r="AD1101" i="1"/>
  <c r="AC1101" i="1"/>
  <c r="B94" i="5" s="1"/>
  <c r="I94" i="5" s="1"/>
  <c r="AE1100" i="1"/>
  <c r="AD1100" i="1"/>
  <c r="AC1100" i="1"/>
  <c r="B71" i="5" s="1"/>
  <c r="I71" i="5" s="1"/>
  <c r="AE1099" i="1"/>
  <c r="AD1099" i="1"/>
  <c r="AC1099" i="1"/>
  <c r="B107" i="5" s="1"/>
  <c r="I107" i="5" s="1"/>
  <c r="AE1098" i="1"/>
  <c r="AD1098" i="1"/>
  <c r="B70" i="5" s="1"/>
  <c r="I70" i="5" s="1"/>
  <c r="AC1098" i="1"/>
  <c r="AE1097" i="1"/>
  <c r="AD1097" i="1"/>
  <c r="AC1097" i="1"/>
  <c r="B80" i="5" s="1"/>
  <c r="I80" i="5" s="1"/>
  <c r="AE1096" i="1"/>
  <c r="AD1096" i="1"/>
  <c r="AC1096" i="1"/>
  <c r="B85" i="5" s="1"/>
  <c r="I85" i="5" s="1"/>
  <c r="AE1095" i="1"/>
  <c r="AD1095" i="1"/>
  <c r="AC1095" i="1"/>
  <c r="AE1094" i="1"/>
  <c r="AD1094" i="1"/>
  <c r="AC1094" i="1"/>
  <c r="AE1093" i="1"/>
  <c r="AD1093" i="1"/>
  <c r="AC1093" i="1"/>
  <c r="AE1092" i="1"/>
  <c r="AD1092" i="1"/>
  <c r="AC1092" i="1"/>
  <c r="B266" i="5" s="1"/>
  <c r="AE1091" i="1"/>
  <c r="AD1091" i="1"/>
  <c r="AC1091" i="1"/>
  <c r="B67" i="5" s="1"/>
  <c r="AE1090" i="1"/>
  <c r="AD1090" i="1"/>
  <c r="AC1090" i="1"/>
  <c r="B66" i="5" s="1"/>
  <c r="AE1089" i="1"/>
  <c r="AD1089" i="1"/>
  <c r="AC1089" i="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C18" i="4" s="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B22" i="3" s="1"/>
  <c r="AE78" i="1"/>
  <c r="AD78" i="1"/>
  <c r="AC78" i="1"/>
  <c r="B8" i="4" s="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B6" i="4" s="1"/>
  <c r="AE55" i="1"/>
  <c r="AD55" i="1"/>
  <c r="AC55" i="1"/>
  <c r="I78" i="4" s="1"/>
  <c r="AE54" i="1"/>
  <c r="AD54" i="1"/>
  <c r="AC54" i="1"/>
  <c r="B7" i="4" s="1"/>
  <c r="AE53" i="1"/>
  <c r="AD53" i="1"/>
  <c r="AC53" i="1"/>
  <c r="C31" i="4" s="1"/>
  <c r="AE52" i="1"/>
  <c r="AD52" i="1"/>
  <c r="AC52" i="1"/>
  <c r="D41" i="5" s="1"/>
  <c r="AE51" i="1"/>
  <c r="AD51" i="1"/>
  <c r="AC51" i="1"/>
  <c r="AE50" i="1"/>
  <c r="AD50" i="1"/>
  <c r="AC50" i="1"/>
  <c r="AE49" i="1"/>
  <c r="AD49" i="1"/>
  <c r="AC49" i="1"/>
  <c r="D60" i="4" s="1"/>
  <c r="AE48" i="1"/>
  <c r="AD48" i="1"/>
  <c r="AC48" i="1"/>
  <c r="AE47" i="1"/>
  <c r="AD47" i="1"/>
  <c r="AC47" i="1"/>
  <c r="AE46" i="1"/>
  <c r="AD46" i="1"/>
  <c r="AC46" i="1"/>
  <c r="D34" i="5" s="1"/>
  <c r="AE45" i="1"/>
  <c r="AD45" i="1"/>
  <c r="AC45" i="1"/>
  <c r="E78" i="4" s="1"/>
  <c r="AE44" i="1"/>
  <c r="AD44" i="1"/>
  <c r="AC44" i="1"/>
  <c r="AE43" i="1"/>
  <c r="AD43" i="1"/>
  <c r="AC43" i="1"/>
  <c r="G15" i="5" s="1"/>
  <c r="AE42" i="1"/>
  <c r="AD42" i="1"/>
  <c r="D59" i="4" s="1"/>
  <c r="AC42" i="1"/>
  <c r="AE41" i="1"/>
  <c r="AD41" i="1"/>
  <c r="AC41" i="1"/>
  <c r="AE40" i="1"/>
  <c r="AD40" i="1"/>
  <c r="AC40" i="1"/>
  <c r="AE39" i="1"/>
  <c r="AD39" i="1"/>
  <c r="AC39" i="1"/>
  <c r="H38" i="5" s="1"/>
  <c r="AE38" i="1"/>
  <c r="AD38" i="1"/>
  <c r="AC38" i="1"/>
  <c r="AE37" i="1"/>
  <c r="AD37" i="1"/>
  <c r="AC37" i="1"/>
  <c r="AE36" i="1"/>
  <c r="AD36" i="1"/>
  <c r="AC36" i="1"/>
  <c r="D57" i="4" s="1"/>
  <c r="AE35" i="1"/>
  <c r="AD35" i="1"/>
  <c r="AC35" i="1"/>
  <c r="AE34" i="1"/>
  <c r="AD34" i="1"/>
  <c r="AC34" i="1"/>
  <c r="AE33" i="1"/>
  <c r="AD33" i="1"/>
  <c r="AC33" i="1"/>
  <c r="G78" i="4" s="1"/>
  <c r="AE32" i="1"/>
  <c r="AD32" i="1"/>
  <c r="AC32" i="1"/>
  <c r="AE31" i="1"/>
  <c r="AD31" i="1"/>
  <c r="AC31" i="1"/>
  <c r="AE30" i="1"/>
  <c r="AD30" i="1"/>
  <c r="AC30" i="1"/>
  <c r="D14" i="5" s="1"/>
  <c r="AE29" i="1"/>
  <c r="AD29" i="1"/>
  <c r="AC29" i="1"/>
  <c r="AE28" i="1"/>
  <c r="AD28" i="1"/>
  <c r="AC28" i="1"/>
  <c r="AE27" i="1"/>
  <c r="AD27" i="1"/>
  <c r="AC27" i="1"/>
  <c r="AE26" i="1"/>
  <c r="AD26" i="1"/>
  <c r="AC26" i="1"/>
  <c r="AE25" i="1"/>
  <c r="AD25" i="1"/>
  <c r="G14" i="5" s="1"/>
  <c r="AC25" i="1"/>
  <c r="C17" i="4" s="1"/>
  <c r="AE24" i="1"/>
  <c r="AD24" i="1"/>
  <c r="AC24" i="1"/>
  <c r="AE23" i="1"/>
  <c r="AD23" i="1"/>
  <c r="AC23" i="1"/>
  <c r="AE22" i="1"/>
  <c r="AD22" i="1"/>
  <c r="AC22" i="1"/>
  <c r="AE21" i="1"/>
  <c r="AD21" i="1"/>
  <c r="AC21" i="1"/>
  <c r="AE20" i="1"/>
  <c r="AD20" i="1"/>
  <c r="AC20" i="1"/>
  <c r="B10" i="3" s="1"/>
  <c r="AE19" i="1"/>
  <c r="AD19" i="1"/>
  <c r="AC19" i="1"/>
  <c r="AE18" i="1"/>
  <c r="AD18" i="1"/>
  <c r="AC18" i="1"/>
  <c r="AE17" i="1"/>
  <c r="AD17" i="1"/>
  <c r="AC17" i="1"/>
  <c r="AE16" i="1"/>
  <c r="AD16" i="1"/>
  <c r="AC16" i="1"/>
  <c r="AE15" i="1"/>
  <c r="AD15" i="1"/>
  <c r="AC15" i="1"/>
  <c r="B88" i="4" s="1"/>
  <c r="AE14" i="1"/>
  <c r="AD14" i="1"/>
  <c r="AC14" i="1"/>
  <c r="AE13" i="1"/>
  <c r="AD13" i="1"/>
  <c r="AC13" i="1"/>
  <c r="AE12" i="1"/>
  <c r="AD12" i="1"/>
  <c r="AC12" i="1"/>
  <c r="AE11" i="1"/>
  <c r="AD11" i="1"/>
  <c r="AC11" i="1"/>
  <c r="AE10" i="1"/>
  <c r="AD10" i="1"/>
  <c r="D78" i="4" s="1"/>
  <c r="AC10" i="1"/>
  <c r="AE9" i="1"/>
  <c r="AD9" i="1"/>
  <c r="B78" i="4" s="1"/>
  <c r="AC9" i="1"/>
  <c r="AE8" i="1"/>
  <c r="AD8" i="1"/>
  <c r="AC8" i="1"/>
  <c r="AE7" i="1"/>
  <c r="AD7" i="1"/>
  <c r="AC7" i="1"/>
  <c r="B34" i="3" s="1"/>
  <c r="AE6" i="1"/>
  <c r="AD6" i="1"/>
  <c r="AC6" i="1"/>
  <c r="B5" i="4" s="1"/>
  <c r="I117" i="5" l="1"/>
  <c r="B11" i="4"/>
  <c r="G74" i="4"/>
  <c r="G75" i="4"/>
  <c r="G76" i="4"/>
  <c r="G77" i="4"/>
  <c r="I74" i="4"/>
  <c r="I75" i="4"/>
  <c r="I76" i="4"/>
  <c r="I77" i="4"/>
  <c r="D74" i="4"/>
  <c r="D77" i="4"/>
  <c r="D75" i="4"/>
  <c r="D76" i="4"/>
  <c r="E74" i="4"/>
  <c r="E75" i="4"/>
  <c r="E76" i="4"/>
  <c r="E77" i="4"/>
  <c r="K74" i="4"/>
  <c r="K75" i="4"/>
  <c r="K76" i="4"/>
  <c r="K77" i="4"/>
  <c r="L84" i="4"/>
  <c r="L87" i="4"/>
  <c r="L86" i="4"/>
  <c r="L85" i="4"/>
  <c r="B76" i="4"/>
  <c r="B75" i="4"/>
  <c r="B74" i="4"/>
  <c r="B77" i="4"/>
  <c r="B86" i="4"/>
  <c r="B84" i="4"/>
  <c r="B87" i="4"/>
  <c r="B85" i="4"/>
  <c r="I127" i="5"/>
  <c r="I143" i="5"/>
  <c r="I174" i="5"/>
  <c r="I187" i="5"/>
  <c r="I134" i="5"/>
  <c r="D56" i="7"/>
  <c r="L94" i="7"/>
  <c r="M88" i="4"/>
  <c r="G20" i="5"/>
  <c r="E85" i="10"/>
  <c r="F75" i="10"/>
  <c r="C20" i="10"/>
  <c r="B7" i="11"/>
  <c r="D53" i="10"/>
  <c r="E30" i="11"/>
  <c r="B182" i="5"/>
  <c r="I182" i="5" s="1"/>
  <c r="B193" i="5"/>
  <c r="I193" i="5" s="1"/>
  <c r="D172" i="5"/>
  <c r="E265" i="5"/>
  <c r="E171" i="5"/>
  <c r="I171" i="5" s="1"/>
  <c r="D63" i="13"/>
  <c r="D48" i="13"/>
  <c r="C16" i="13"/>
  <c r="E63" i="12"/>
  <c r="C16" i="7"/>
  <c r="C28" i="12"/>
  <c r="C30" i="6"/>
  <c r="D49" i="7"/>
  <c r="E94" i="7"/>
  <c r="E67" i="6"/>
  <c r="F63" i="13"/>
  <c r="C17" i="13"/>
  <c r="F63" i="12"/>
  <c r="D50" i="13"/>
  <c r="H67" i="6"/>
  <c r="C29" i="12"/>
  <c r="C18" i="7"/>
  <c r="J94" i="7"/>
  <c r="D54" i="7"/>
  <c r="C33" i="6"/>
  <c r="F46" i="13"/>
  <c r="E15" i="13"/>
  <c r="E15" i="7"/>
  <c r="F46" i="7"/>
  <c r="G51" i="13"/>
  <c r="F18" i="13"/>
  <c r="F17" i="7"/>
  <c r="G53" i="7"/>
  <c r="B37" i="9"/>
  <c r="E22" i="13"/>
  <c r="E19" i="7"/>
  <c r="F55" i="7"/>
  <c r="C38" i="10"/>
  <c r="B41" i="3"/>
  <c r="C19" i="4"/>
  <c r="D50" i="4"/>
  <c r="D67" i="4"/>
  <c r="C78" i="4"/>
  <c r="Q86" i="4"/>
  <c r="N88" i="4"/>
  <c r="C18" i="5"/>
  <c r="H34" i="5"/>
  <c r="H37" i="5"/>
  <c r="I93" i="5"/>
  <c r="I109" i="5"/>
  <c r="I125" i="5"/>
  <c r="I141" i="5"/>
  <c r="C26" i="4"/>
  <c r="C21" i="5"/>
  <c r="I84" i="5"/>
  <c r="I116" i="5"/>
  <c r="I132" i="5"/>
  <c r="I148" i="5"/>
  <c r="I156" i="5"/>
  <c r="D267" i="5"/>
  <c r="D158" i="5"/>
  <c r="I91" i="5"/>
  <c r="I123" i="5"/>
  <c r="I139" i="5"/>
  <c r="F269" i="5"/>
  <c r="F268" i="5"/>
  <c r="F263" i="5"/>
  <c r="O88" i="4"/>
  <c r="D32" i="5"/>
  <c r="K85" i="10"/>
  <c r="H35" i="11"/>
  <c r="D35" i="11"/>
  <c r="G249" i="5"/>
  <c r="D59" i="10"/>
  <c r="G270" i="5"/>
  <c r="G268" i="5"/>
  <c r="C191" i="5"/>
  <c r="B36" i="9"/>
  <c r="C20" i="4"/>
  <c r="D209" i="5"/>
  <c r="I209" i="5" s="1"/>
  <c r="E266" i="5"/>
  <c r="E201" i="5"/>
  <c r="I201" i="5" s="1"/>
  <c r="C27" i="13"/>
  <c r="G27" i="13" s="1"/>
  <c r="C36" i="12"/>
  <c r="C27" i="7"/>
  <c r="G27" i="7" s="1"/>
  <c r="C38" i="6"/>
  <c r="E16" i="13"/>
  <c r="F49" i="13"/>
  <c r="F48" i="7"/>
  <c r="E16" i="7"/>
  <c r="C51" i="12"/>
  <c r="D35" i="13"/>
  <c r="D36" i="7"/>
  <c r="G36" i="7" s="1"/>
  <c r="C53" i="6"/>
  <c r="F78" i="4"/>
  <c r="R88" i="4"/>
  <c r="E38" i="5"/>
  <c r="I82" i="5"/>
  <c r="I130" i="5"/>
  <c r="I146" i="5"/>
  <c r="I151" i="5"/>
  <c r="I172" i="5"/>
  <c r="D14" i="11"/>
  <c r="E32" i="11"/>
  <c r="E36" i="5"/>
  <c r="B21" i="9"/>
  <c r="F36" i="13"/>
  <c r="G57" i="7"/>
  <c r="F33" i="7"/>
  <c r="Q87" i="4"/>
  <c r="C68" i="5"/>
  <c r="B32" i="9"/>
  <c r="B75" i="10"/>
  <c r="B6" i="11"/>
  <c r="B85" i="10"/>
  <c r="D50" i="10"/>
  <c r="B5" i="10"/>
  <c r="C16" i="10"/>
  <c r="B6" i="9"/>
  <c r="B18" i="9"/>
  <c r="B268" i="5"/>
  <c r="B191" i="5"/>
  <c r="C265" i="5"/>
  <c r="F264" i="5"/>
  <c r="H269" i="5"/>
  <c r="H264" i="5"/>
  <c r="H263" i="5"/>
  <c r="H267" i="5"/>
  <c r="H268" i="5"/>
  <c r="B7" i="13"/>
  <c r="D63" i="12"/>
  <c r="C27" i="12"/>
  <c r="C29" i="6"/>
  <c r="B7" i="7"/>
  <c r="D67" i="6"/>
  <c r="B6" i="13"/>
  <c r="C25" i="12"/>
  <c r="B63" i="12"/>
  <c r="B67" i="6"/>
  <c r="B6" i="7"/>
  <c r="C27" i="6"/>
  <c r="D22" i="13"/>
  <c r="E55" i="7"/>
  <c r="D19" i="7"/>
  <c r="B7" i="12"/>
  <c r="B7" i="6"/>
  <c r="E17" i="13"/>
  <c r="F50" i="13"/>
  <c r="E18" i="7"/>
  <c r="F54" i="7"/>
  <c r="B25" i="3"/>
  <c r="C21" i="4"/>
  <c r="C38" i="4"/>
  <c r="D52" i="4"/>
  <c r="S88" i="4"/>
  <c r="H32" i="5"/>
  <c r="D44" i="5"/>
  <c r="E68" i="5"/>
  <c r="I105" i="5"/>
  <c r="I121" i="5"/>
  <c r="I137" i="5"/>
  <c r="H249" i="5"/>
  <c r="C31" i="10"/>
  <c r="H270" i="5"/>
  <c r="L78" i="4"/>
  <c r="G21" i="5"/>
  <c r="C28" i="13"/>
  <c r="G28" i="13" s="1"/>
  <c r="C37" i="12"/>
  <c r="C39" i="6"/>
  <c r="C28" i="7"/>
  <c r="G28" i="7" s="1"/>
  <c r="F47" i="13"/>
  <c r="F47" i="7"/>
  <c r="D268" i="5"/>
  <c r="D191" i="5"/>
  <c r="D16" i="13"/>
  <c r="D16" i="7"/>
  <c r="F48" i="13"/>
  <c r="F49" i="7"/>
  <c r="G22" i="11"/>
  <c r="C22" i="11"/>
  <c r="H39" i="11"/>
  <c r="D39" i="11"/>
  <c r="P85" i="10"/>
  <c r="M75" i="10"/>
  <c r="D64" i="10"/>
  <c r="C27" i="10"/>
  <c r="H88" i="4"/>
  <c r="B23" i="3"/>
  <c r="D51" i="4"/>
  <c r="D38" i="5"/>
  <c r="G14" i="11"/>
  <c r="H32" i="11"/>
  <c r="C14" i="11"/>
  <c r="C75" i="10"/>
  <c r="H85" i="10"/>
  <c r="D32" i="11"/>
  <c r="D56" i="10"/>
  <c r="D270" i="5"/>
  <c r="C17" i="10"/>
  <c r="G17" i="5"/>
  <c r="D249" i="5"/>
  <c r="D60" i="10"/>
  <c r="C19" i="11"/>
  <c r="H36" i="11"/>
  <c r="G19" i="11"/>
  <c r="I75" i="10"/>
  <c r="F249" i="5"/>
  <c r="C23" i="10"/>
  <c r="D36" i="11"/>
  <c r="F270" i="5"/>
  <c r="L85" i="10"/>
  <c r="B263" i="5"/>
  <c r="B214" i="5"/>
  <c r="I214" i="5" s="1"/>
  <c r="B207" i="5"/>
  <c r="I207" i="5" s="1"/>
  <c r="G269" i="5"/>
  <c r="C230" i="5"/>
  <c r="D269" i="5"/>
  <c r="D230" i="5"/>
  <c r="D224" i="5"/>
  <c r="E221" i="5"/>
  <c r="G63" i="12"/>
  <c r="C30" i="12"/>
  <c r="C26" i="13"/>
  <c r="G26" i="13" s="1"/>
  <c r="C20" i="7"/>
  <c r="G20" i="7" s="1"/>
  <c r="C31" i="6"/>
  <c r="F67" i="6"/>
  <c r="C30" i="13"/>
  <c r="G30" i="13" s="1"/>
  <c r="C40" i="12"/>
  <c r="C30" i="7"/>
  <c r="G30" i="7" s="1"/>
  <c r="C42" i="6"/>
  <c r="C19" i="13"/>
  <c r="G19" i="13" s="1"/>
  <c r="C32" i="12"/>
  <c r="C21" i="7"/>
  <c r="G21" i="7" s="1"/>
  <c r="C35" i="6"/>
  <c r="C34" i="12"/>
  <c r="C22" i="13"/>
  <c r="G22" i="13" s="1"/>
  <c r="K94" i="7"/>
  <c r="D55" i="7"/>
  <c r="I67" i="6"/>
  <c r="C34" i="6"/>
  <c r="C19" i="7"/>
  <c r="G19" i="7" s="1"/>
  <c r="D15" i="13"/>
  <c r="D40" i="13" s="1"/>
  <c r="E50" i="7"/>
  <c r="D15" i="7"/>
  <c r="F52" i="13"/>
  <c r="F51" i="7"/>
  <c r="G16" i="11"/>
  <c r="H29" i="11"/>
  <c r="D52" i="10"/>
  <c r="C16" i="11"/>
  <c r="D29" i="11"/>
  <c r="D85" i="10"/>
  <c r="E75" i="10"/>
  <c r="C19" i="10"/>
  <c r="C28" i="4"/>
  <c r="B6" i="3"/>
  <c r="D61" i="4"/>
  <c r="H78" i="4"/>
  <c r="C16" i="5"/>
  <c r="G24" i="5"/>
  <c r="H35" i="5"/>
  <c r="B51" i="5"/>
  <c r="B96" i="5"/>
  <c r="I112" i="5"/>
  <c r="I128" i="5"/>
  <c r="I144" i="5"/>
  <c r="I154" i="5"/>
  <c r="I213" i="5"/>
  <c r="B68" i="5"/>
  <c r="I75" i="5"/>
  <c r="H75" i="10"/>
  <c r="G18" i="11"/>
  <c r="D58" i="10"/>
  <c r="D34" i="11"/>
  <c r="J85" i="10"/>
  <c r="C22" i="10"/>
  <c r="C18" i="11"/>
  <c r="H34" i="11"/>
  <c r="C15" i="5"/>
  <c r="B7" i="10"/>
  <c r="B22" i="9"/>
  <c r="B195" i="5"/>
  <c r="I195" i="5" s="1"/>
  <c r="G267" i="5"/>
  <c r="G263" i="5"/>
  <c r="C165" i="5"/>
  <c r="D263" i="5"/>
  <c r="D264" i="5"/>
  <c r="D219" i="5"/>
  <c r="E267" i="5"/>
  <c r="E158" i="5"/>
  <c r="E202" i="5"/>
  <c r="D50" i="7"/>
  <c r="F94" i="7"/>
  <c r="B8" i="12"/>
  <c r="B8" i="6"/>
  <c r="B35" i="9"/>
  <c r="C40" i="10"/>
  <c r="C50" i="12"/>
  <c r="D34" i="13"/>
  <c r="D35" i="7"/>
  <c r="C52" i="6"/>
  <c r="C22" i="4"/>
  <c r="C39" i="4"/>
  <c r="D53" i="4"/>
  <c r="C88" i="4"/>
  <c r="T88" i="4" s="1"/>
  <c r="B5" i="5"/>
  <c r="D16" i="5"/>
  <c r="D26" i="5" s="1"/>
  <c r="D33" i="5"/>
  <c r="I87" i="5"/>
  <c r="C96" i="5"/>
  <c r="I103" i="5"/>
  <c r="I119" i="5"/>
  <c r="I135" i="5"/>
  <c r="I165" i="5"/>
  <c r="I183" i="5"/>
  <c r="E63" i="13"/>
  <c r="D49" i="13"/>
  <c r="H49" i="13" s="1"/>
  <c r="D48" i="7"/>
  <c r="D94" i="7"/>
  <c r="B267" i="5"/>
  <c r="B158" i="5"/>
  <c r="E47" i="13"/>
  <c r="E47" i="7"/>
  <c r="H40" i="5"/>
  <c r="D30" i="11"/>
  <c r="F85" i="10"/>
  <c r="E249" i="5"/>
  <c r="H30" i="11"/>
  <c r="D54" i="10"/>
  <c r="E270" i="5"/>
  <c r="C25" i="10"/>
  <c r="D38" i="11"/>
  <c r="G21" i="11"/>
  <c r="C21" i="11"/>
  <c r="D62" i="10"/>
  <c r="H38" i="11"/>
  <c r="N85" i="10"/>
  <c r="K75" i="10"/>
  <c r="C19" i="5"/>
  <c r="B269" i="5"/>
  <c r="B230" i="5"/>
  <c r="E34" i="11"/>
  <c r="D18" i="11"/>
  <c r="C266" i="5"/>
  <c r="F265" i="5"/>
  <c r="H265" i="5"/>
  <c r="D46" i="13"/>
  <c r="C26" i="12"/>
  <c r="B63" i="13"/>
  <c r="C63" i="12"/>
  <c r="C15" i="13"/>
  <c r="C15" i="7"/>
  <c r="C28" i="6"/>
  <c r="D46" i="7"/>
  <c r="B94" i="7"/>
  <c r="C67" i="6"/>
  <c r="C25" i="13"/>
  <c r="G25" i="13" s="1"/>
  <c r="C44" i="12"/>
  <c r="C46" i="6"/>
  <c r="C26" i="7"/>
  <c r="G26" i="7" s="1"/>
  <c r="C24" i="13"/>
  <c r="G24" i="13" s="1"/>
  <c r="C43" i="12"/>
  <c r="C25" i="7"/>
  <c r="G25" i="7" s="1"/>
  <c r="C45" i="6"/>
  <c r="C41" i="10"/>
  <c r="P88" i="4"/>
  <c r="D62" i="4"/>
  <c r="J78" i="4"/>
  <c r="D88" i="4"/>
  <c r="B6" i="5"/>
  <c r="C25" i="5"/>
  <c r="E33" i="5"/>
  <c r="D36" i="5"/>
  <c r="D39" i="5"/>
  <c r="H41" i="5"/>
  <c r="B53" i="5"/>
  <c r="F66" i="5"/>
  <c r="F231" i="5" s="1"/>
  <c r="H68" i="5"/>
  <c r="I78" i="5"/>
  <c r="D96" i="5"/>
  <c r="I126" i="5"/>
  <c r="I142" i="5"/>
  <c r="I157" i="5"/>
  <c r="B8" i="13"/>
  <c r="C41" i="12"/>
  <c r="B8" i="7"/>
  <c r="C43" i="6"/>
  <c r="C63" i="13"/>
  <c r="D47" i="13"/>
  <c r="D47" i="7"/>
  <c r="C94" i="7"/>
  <c r="C20" i="13"/>
  <c r="G20" i="13" s="1"/>
  <c r="C33" i="12"/>
  <c r="C22" i="7"/>
  <c r="G22" i="7" s="1"/>
  <c r="C36" i="6"/>
  <c r="B264" i="5"/>
  <c r="B218" i="5"/>
  <c r="I218" i="5" s="1"/>
  <c r="C177" i="5"/>
  <c r="I177" i="5" s="1"/>
  <c r="D226" i="5"/>
  <c r="I226" i="5" s="1"/>
  <c r="D211" i="5"/>
  <c r="I211" i="5" s="1"/>
  <c r="E153" i="5"/>
  <c r="I153" i="5" s="1"/>
  <c r="E228" i="5"/>
  <c r="B40" i="9"/>
  <c r="H63" i="13"/>
  <c r="D52" i="13"/>
  <c r="G94" i="7"/>
  <c r="D51" i="7"/>
  <c r="C42" i="12"/>
  <c r="C21" i="13"/>
  <c r="G21" i="13" s="1"/>
  <c r="C44" i="6"/>
  <c r="C23" i="7"/>
  <c r="G23" i="7" s="1"/>
  <c r="C38" i="12"/>
  <c r="C31" i="13"/>
  <c r="G31" i="13" s="1"/>
  <c r="C31" i="7"/>
  <c r="G31" i="7" s="1"/>
  <c r="C40" i="6"/>
  <c r="E46" i="13"/>
  <c r="E46" i="7"/>
  <c r="E58" i="7" s="1"/>
  <c r="C46" i="12"/>
  <c r="M94" i="7"/>
  <c r="E36" i="13"/>
  <c r="C48" i="6"/>
  <c r="B20" i="9"/>
  <c r="F57" i="7"/>
  <c r="H57" i="7" s="1"/>
  <c r="J67" i="6"/>
  <c r="E33" i="7"/>
  <c r="G33" i="7" s="1"/>
  <c r="C23" i="4"/>
  <c r="C40" i="4"/>
  <c r="D54" i="4"/>
  <c r="E88" i="4"/>
  <c r="B7" i="5"/>
  <c r="H44" i="5"/>
  <c r="I133" i="5"/>
  <c r="B5" i="11"/>
  <c r="B9" i="11" s="1"/>
  <c r="B19" i="9"/>
  <c r="C30" i="10"/>
  <c r="B39" i="9"/>
  <c r="B12" i="9"/>
  <c r="E268" i="5"/>
  <c r="E191" i="5"/>
  <c r="B19" i="12"/>
  <c r="B21" i="6"/>
  <c r="D51" i="13"/>
  <c r="H51" i="13" s="1"/>
  <c r="H63" i="12"/>
  <c r="C31" i="12"/>
  <c r="C18" i="13"/>
  <c r="G18" i="13" s="1"/>
  <c r="G63" i="13"/>
  <c r="D53" i="7"/>
  <c r="I94" i="7"/>
  <c r="C17" i="7"/>
  <c r="G17" i="7" s="1"/>
  <c r="G67" i="6"/>
  <c r="C32" i="6"/>
  <c r="B41" i="9"/>
  <c r="C39" i="10"/>
  <c r="G25" i="5"/>
  <c r="D63" i="4"/>
  <c r="M78" i="4"/>
  <c r="F88" i="4"/>
  <c r="G16" i="5"/>
  <c r="G19" i="5"/>
  <c r="D42" i="5"/>
  <c r="B55" i="5"/>
  <c r="H66" i="5"/>
  <c r="I92" i="5"/>
  <c r="I108" i="5"/>
  <c r="I140" i="5"/>
  <c r="I181" i="5"/>
  <c r="I219" i="5"/>
  <c r="C267" i="5"/>
  <c r="G158" i="5"/>
  <c r="G231" i="5" s="1"/>
  <c r="B5" i="12"/>
  <c r="C24" i="7"/>
  <c r="G24" i="7" s="1"/>
  <c r="C23" i="13"/>
  <c r="G23" i="13" s="1"/>
  <c r="C35" i="12"/>
  <c r="C37" i="6"/>
  <c r="B5" i="6"/>
  <c r="B7" i="9"/>
  <c r="B9" i="9"/>
  <c r="C36" i="10"/>
  <c r="C36" i="4"/>
  <c r="B38" i="9"/>
  <c r="B33" i="9"/>
  <c r="C42" i="10"/>
  <c r="C23" i="5"/>
  <c r="B35" i="3"/>
  <c r="B43" i="3" s="1"/>
  <c r="C16" i="4"/>
  <c r="C24" i="4"/>
  <c r="D55" i="4"/>
  <c r="N78" i="4"/>
  <c r="G88" i="4"/>
  <c r="C14" i="5"/>
  <c r="G22" i="5"/>
  <c r="H33" i="5"/>
  <c r="H36" i="5"/>
  <c r="D45" i="5"/>
  <c r="B56" i="5"/>
  <c r="I83" i="5"/>
  <c r="I99" i="5"/>
  <c r="I147" i="5"/>
  <c r="I189" i="5"/>
  <c r="D265" i="5"/>
  <c r="E263" i="5"/>
  <c r="F266" i="5"/>
  <c r="B265" i="5"/>
  <c r="B217" i="5"/>
  <c r="I217" i="5" s="1"/>
  <c r="C169" i="5"/>
  <c r="I169" i="5" s="1"/>
  <c r="D186" i="5"/>
  <c r="I186" i="5" s="1"/>
  <c r="E149" i="5"/>
  <c r="I149" i="5" s="1"/>
  <c r="E227" i="5"/>
  <c r="F39" i="13"/>
  <c r="C52" i="12"/>
  <c r="F39" i="7"/>
  <c r="C54" i="6"/>
  <c r="B12" i="3"/>
  <c r="D64" i="4"/>
  <c r="O78" i="4"/>
  <c r="I88" i="4"/>
  <c r="C17" i="5"/>
  <c r="C20" i="5"/>
  <c r="H39" i="5"/>
  <c r="B57" i="5"/>
  <c r="I90" i="5"/>
  <c r="I106" i="5"/>
  <c r="I122" i="5"/>
  <c r="I138" i="5"/>
  <c r="I155" i="5"/>
  <c r="C85" i="10"/>
  <c r="D51" i="10"/>
  <c r="E226" i="5"/>
  <c r="E211" i="5"/>
  <c r="D266" i="5"/>
  <c r="E269" i="5"/>
  <c r="E230" i="5"/>
  <c r="F50" i="7"/>
  <c r="B34" i="9"/>
  <c r="B42" i="9"/>
  <c r="B37" i="3"/>
  <c r="D56" i="4"/>
  <c r="P78" i="4"/>
  <c r="J88" i="4"/>
  <c r="D17" i="5"/>
  <c r="D37" i="5"/>
  <c r="B65" i="5"/>
  <c r="D67" i="5"/>
  <c r="D231" i="5" s="1"/>
  <c r="I97" i="5"/>
  <c r="I113" i="5"/>
  <c r="I129" i="5"/>
  <c r="I145" i="5"/>
  <c r="B17" i="12"/>
  <c r="B10" i="9"/>
  <c r="B19" i="6"/>
  <c r="C263" i="5"/>
  <c r="C264" i="5"/>
  <c r="C268" i="5"/>
  <c r="C20" i="11"/>
  <c r="H37" i="11"/>
  <c r="D37" i="11"/>
  <c r="J75" i="10"/>
  <c r="D61" i="10"/>
  <c r="C24" i="10"/>
  <c r="G20" i="11"/>
  <c r="M85" i="10"/>
  <c r="G264" i="5"/>
  <c r="B6" i="10"/>
  <c r="B25" i="9"/>
  <c r="D15" i="11"/>
  <c r="E31" i="11"/>
  <c r="E32" i="5"/>
  <c r="D33" i="11"/>
  <c r="C21" i="10"/>
  <c r="I85" i="10"/>
  <c r="G75" i="10"/>
  <c r="C249" i="5"/>
  <c r="D57" i="10"/>
  <c r="G17" i="11"/>
  <c r="C17" i="11"/>
  <c r="C270" i="5"/>
  <c r="H33" i="11"/>
  <c r="B8" i="10"/>
  <c r="B23" i="9"/>
  <c r="G265" i="5"/>
  <c r="B18" i="12"/>
  <c r="B20" i="6"/>
  <c r="C39" i="12"/>
  <c r="C29" i="13"/>
  <c r="G29" i="13" s="1"/>
  <c r="B10" i="13"/>
  <c r="B16" i="6"/>
  <c r="B10" i="7"/>
  <c r="C29" i="7"/>
  <c r="G29" i="7" s="1"/>
  <c r="C41" i="6"/>
  <c r="G85" i="10"/>
  <c r="D75" i="10"/>
  <c r="H31" i="11"/>
  <c r="G15" i="11"/>
  <c r="C15" i="11"/>
  <c r="D31" i="11"/>
  <c r="D55" i="10"/>
  <c r="C18" i="10"/>
  <c r="B270" i="5"/>
  <c r="B249" i="5"/>
  <c r="B161" i="5"/>
  <c r="I161" i="5" s="1"/>
  <c r="B159" i="5"/>
  <c r="I159" i="5" s="1"/>
  <c r="D185" i="5"/>
  <c r="I185" i="5" s="1"/>
  <c r="E264" i="5"/>
  <c r="E176" i="5"/>
  <c r="C269" i="5"/>
  <c r="G230" i="5"/>
  <c r="F267" i="5"/>
  <c r="F158" i="5"/>
  <c r="B6" i="12"/>
  <c r="B6" i="6"/>
  <c r="B11" i="9"/>
  <c r="B8" i="9"/>
  <c r="B17" i="6"/>
  <c r="H94" i="7"/>
  <c r="D52" i="7"/>
  <c r="C32" i="13"/>
  <c r="G32" i="13" s="1"/>
  <c r="C32" i="7"/>
  <c r="G32" i="7" s="1"/>
  <c r="C45" i="12"/>
  <c r="C47" i="6"/>
  <c r="B16" i="12"/>
  <c r="B18" i="6"/>
  <c r="B8" i="11"/>
  <c r="C26" i="10"/>
  <c r="O85" i="10"/>
  <c r="L75" i="10"/>
  <c r="D63" i="10"/>
  <c r="B8" i="5"/>
  <c r="B18" i="3"/>
  <c r="B38" i="3"/>
  <c r="D65" i="4"/>
  <c r="K88" i="4"/>
  <c r="D40" i="5"/>
  <c r="H42" i="5"/>
  <c r="C65" i="5"/>
  <c r="E67" i="5"/>
  <c r="E231" i="5" s="1"/>
  <c r="I120" i="5"/>
  <c r="I136" i="5"/>
  <c r="I150" i="5"/>
  <c r="I179" i="5"/>
  <c r="I178" i="5"/>
  <c r="I210" i="5"/>
  <c r="I224" i="5"/>
  <c r="I176" i="5"/>
  <c r="I208" i="5"/>
  <c r="I229" i="5"/>
  <c r="I204" i="5"/>
  <c r="I222" i="5"/>
  <c r="I170" i="5"/>
  <c r="I202" i="5"/>
  <c r="I200" i="5"/>
  <c r="I198" i="5"/>
  <c r="I220" i="5"/>
  <c r="G35" i="7"/>
  <c r="G39" i="7"/>
  <c r="I160" i="5"/>
  <c r="I190" i="5"/>
  <c r="I228" i="5"/>
  <c r="I188" i="5"/>
  <c r="I221" i="5"/>
  <c r="I184" i="5"/>
  <c r="I212" i="5"/>
  <c r="I180" i="5"/>
  <c r="I225" i="5"/>
  <c r="C68" i="7"/>
  <c r="I223" i="5"/>
  <c r="C69" i="7"/>
  <c r="F40" i="13"/>
  <c r="G34" i="7"/>
  <c r="G34" i="13"/>
  <c r="G39" i="13"/>
  <c r="G35" i="13"/>
  <c r="G53" i="13"/>
  <c r="G36" i="13"/>
  <c r="G58" i="7"/>
  <c r="C64" i="7"/>
  <c r="E40" i="11"/>
  <c r="C65" i="7"/>
  <c r="I227" i="5"/>
  <c r="C67" i="7"/>
  <c r="G40" i="11"/>
  <c r="F241" i="5" l="1"/>
  <c r="F238" i="5"/>
  <c r="F235" i="5"/>
  <c r="F240" i="5"/>
  <c r="F237" i="5"/>
  <c r="E236" i="5"/>
  <c r="E235" i="5"/>
  <c r="G237" i="5"/>
  <c r="G235" i="5"/>
  <c r="G236" i="5"/>
  <c r="G240" i="5"/>
  <c r="G238" i="5"/>
  <c r="T85" i="4"/>
  <c r="T87" i="4"/>
  <c r="T86" i="4"/>
  <c r="T84" i="4"/>
  <c r="D238" i="5"/>
  <c r="D236" i="5"/>
  <c r="D235" i="5"/>
  <c r="F93" i="7"/>
  <c r="F90" i="7"/>
  <c r="F91" i="7"/>
  <c r="F92" i="7"/>
  <c r="B27" i="9"/>
  <c r="B26" i="9"/>
  <c r="E40" i="7"/>
  <c r="F72" i="10"/>
  <c r="F73" i="10"/>
  <c r="F71" i="10"/>
  <c r="F74" i="10"/>
  <c r="O83" i="10"/>
  <c r="O81" i="10"/>
  <c r="O84" i="10"/>
  <c r="O82" i="10"/>
  <c r="F239" i="5"/>
  <c r="D42" i="10"/>
  <c r="G61" i="6"/>
  <c r="G66" i="6"/>
  <c r="G64" i="6"/>
  <c r="G65" i="6"/>
  <c r="G63" i="6"/>
  <c r="G62" i="6"/>
  <c r="N94" i="7"/>
  <c r="B90" i="7"/>
  <c r="B93" i="7"/>
  <c r="B91" i="7"/>
  <c r="B92" i="7"/>
  <c r="H50" i="7"/>
  <c r="F77" i="7"/>
  <c r="D40" i="7"/>
  <c r="D63" i="6"/>
  <c r="D61" i="6"/>
  <c r="D65" i="6"/>
  <c r="D64" i="6"/>
  <c r="D62" i="6"/>
  <c r="D66" i="6"/>
  <c r="B13" i="9"/>
  <c r="C77" i="4"/>
  <c r="C76" i="4"/>
  <c r="C74" i="4"/>
  <c r="C75" i="4"/>
  <c r="E40" i="13"/>
  <c r="E84" i="10"/>
  <c r="E83" i="10"/>
  <c r="E82" i="10"/>
  <c r="E81" i="10"/>
  <c r="M91" i="7"/>
  <c r="M92" i="7"/>
  <c r="M90" i="7"/>
  <c r="M93" i="7"/>
  <c r="K73" i="10"/>
  <c r="K71" i="10"/>
  <c r="K74" i="10"/>
  <c r="K72" i="10"/>
  <c r="J83" i="10"/>
  <c r="J81" i="10"/>
  <c r="J84" i="10"/>
  <c r="J82" i="10"/>
  <c r="L83" i="10"/>
  <c r="L81" i="10"/>
  <c r="L84" i="10"/>
  <c r="L82" i="10"/>
  <c r="H82" i="10"/>
  <c r="H83" i="10"/>
  <c r="H81" i="10"/>
  <c r="H84" i="10"/>
  <c r="H22" i="11"/>
  <c r="L77" i="4"/>
  <c r="L76" i="4"/>
  <c r="L75" i="4"/>
  <c r="L74" i="4"/>
  <c r="C44" i="10"/>
  <c r="D24" i="10" s="1"/>
  <c r="D16" i="10"/>
  <c r="G251" i="5"/>
  <c r="G253" i="5"/>
  <c r="G250" i="5"/>
  <c r="G252" i="5"/>
  <c r="G256" i="5"/>
  <c r="G255" i="5"/>
  <c r="G254" i="5"/>
  <c r="F53" i="13"/>
  <c r="G16" i="7"/>
  <c r="C65" i="6"/>
  <c r="C63" i="6"/>
  <c r="C61" i="6"/>
  <c r="C66" i="6"/>
  <c r="C64" i="6"/>
  <c r="C62" i="6"/>
  <c r="H46" i="7"/>
  <c r="D58" i="7"/>
  <c r="B77" i="7"/>
  <c r="I91" i="7"/>
  <c r="I92" i="7"/>
  <c r="I93" i="7"/>
  <c r="I90" i="7"/>
  <c r="E53" i="13"/>
  <c r="D87" i="4"/>
  <c r="D86" i="4"/>
  <c r="D85" i="4"/>
  <c r="D84" i="4"/>
  <c r="N83" i="10"/>
  <c r="N81" i="10"/>
  <c r="N84" i="10"/>
  <c r="N82" i="10"/>
  <c r="I158" i="5"/>
  <c r="B9" i="5"/>
  <c r="E239" i="5"/>
  <c r="H74" i="4"/>
  <c r="H75" i="4"/>
  <c r="H76" i="4"/>
  <c r="H77" i="4"/>
  <c r="F66" i="6"/>
  <c r="F64" i="6"/>
  <c r="F63" i="6"/>
  <c r="F61" i="6"/>
  <c r="F62" i="6"/>
  <c r="F65" i="6"/>
  <c r="C71" i="10"/>
  <c r="C72" i="10"/>
  <c r="C73" i="10"/>
  <c r="C74" i="10"/>
  <c r="B11" i="10"/>
  <c r="D23" i="11"/>
  <c r="D68" i="4"/>
  <c r="E64" i="4" s="1"/>
  <c r="E50" i="4"/>
  <c r="E62" i="12"/>
  <c r="E60" i="12"/>
  <c r="E61" i="12"/>
  <c r="E59" i="12"/>
  <c r="D26" i="10"/>
  <c r="D71" i="10"/>
  <c r="D73" i="10"/>
  <c r="D74" i="10"/>
  <c r="D72" i="10"/>
  <c r="G241" i="5"/>
  <c r="E61" i="10"/>
  <c r="C84" i="10"/>
  <c r="C83" i="10"/>
  <c r="C82" i="10"/>
  <c r="C81" i="10"/>
  <c r="J72" i="10"/>
  <c r="J73" i="10"/>
  <c r="J71" i="10"/>
  <c r="J74" i="10"/>
  <c r="K77" i="7"/>
  <c r="H53" i="7"/>
  <c r="I44" i="5"/>
  <c r="J74" i="4"/>
  <c r="J75" i="4"/>
  <c r="J76" i="4"/>
  <c r="J77" i="4"/>
  <c r="C40" i="7"/>
  <c r="G15" i="7"/>
  <c r="C87" i="4"/>
  <c r="C85" i="4"/>
  <c r="C86" i="4"/>
  <c r="C84" i="4"/>
  <c r="E58" i="10"/>
  <c r="C23" i="11"/>
  <c r="D31" i="10"/>
  <c r="D65" i="10"/>
  <c r="E50" i="10" s="1"/>
  <c r="H54" i="7"/>
  <c r="G16" i="13"/>
  <c r="M83" i="10"/>
  <c r="M81" i="10"/>
  <c r="M84" i="10"/>
  <c r="M82" i="10"/>
  <c r="D30" i="10"/>
  <c r="D237" i="5"/>
  <c r="G84" i="10"/>
  <c r="G83" i="10"/>
  <c r="G82" i="10"/>
  <c r="G81" i="10"/>
  <c r="B231" i="5"/>
  <c r="B239" i="5" s="1"/>
  <c r="I65" i="5"/>
  <c r="B20" i="12"/>
  <c r="B5" i="13" s="1"/>
  <c r="B9" i="13" s="1"/>
  <c r="C254" i="5"/>
  <c r="C256" i="5"/>
  <c r="C250" i="5"/>
  <c r="C252" i="5"/>
  <c r="C253" i="5"/>
  <c r="C251" i="5"/>
  <c r="C255" i="5"/>
  <c r="D36" i="10"/>
  <c r="G62" i="13"/>
  <c r="G60" i="13"/>
  <c r="G61" i="13"/>
  <c r="G59" i="13"/>
  <c r="E62" i="4"/>
  <c r="C40" i="13"/>
  <c r="G15" i="13"/>
  <c r="E62" i="10"/>
  <c r="D91" i="7"/>
  <c r="D93" i="7"/>
  <c r="D90" i="7"/>
  <c r="D92" i="7"/>
  <c r="B13" i="3"/>
  <c r="D23" i="10"/>
  <c r="H251" i="5"/>
  <c r="H253" i="5"/>
  <c r="H255" i="5"/>
  <c r="H250" i="5"/>
  <c r="H252" i="5"/>
  <c r="H254" i="5"/>
  <c r="H256" i="5"/>
  <c r="D62" i="12"/>
  <c r="D60" i="12"/>
  <c r="D61" i="12"/>
  <c r="D59" i="12"/>
  <c r="B84" i="10"/>
  <c r="B83" i="10"/>
  <c r="B82" i="10"/>
  <c r="B81" i="10"/>
  <c r="Q85" i="10"/>
  <c r="K84" i="10"/>
  <c r="K83" i="10"/>
  <c r="K82" i="10"/>
  <c r="K81" i="10"/>
  <c r="J93" i="7"/>
  <c r="J91" i="7"/>
  <c r="J92" i="7"/>
  <c r="J90" i="7"/>
  <c r="H48" i="13"/>
  <c r="M86" i="4"/>
  <c r="M85" i="4"/>
  <c r="M84" i="4"/>
  <c r="M87" i="4"/>
  <c r="I67" i="5"/>
  <c r="G71" i="10"/>
  <c r="G72" i="10"/>
  <c r="G73" i="10"/>
  <c r="G74" i="10"/>
  <c r="I37" i="11"/>
  <c r="J87" i="4"/>
  <c r="J86" i="4"/>
  <c r="J85" i="4"/>
  <c r="J84" i="4"/>
  <c r="E84" i="4"/>
  <c r="E87" i="4"/>
  <c r="E86" i="4"/>
  <c r="E85" i="4"/>
  <c r="P85" i="4"/>
  <c r="P87" i="4"/>
  <c r="P84" i="4"/>
  <c r="P86" i="4"/>
  <c r="C62" i="12"/>
  <c r="C60" i="12"/>
  <c r="C61" i="12"/>
  <c r="C59" i="12"/>
  <c r="H48" i="7"/>
  <c r="D77" i="7"/>
  <c r="H73" i="10"/>
  <c r="H71" i="10"/>
  <c r="H74" i="10"/>
  <c r="H72" i="10"/>
  <c r="I66" i="6"/>
  <c r="I64" i="6"/>
  <c r="I62" i="6"/>
  <c r="I65" i="6"/>
  <c r="I63" i="6"/>
  <c r="I61" i="6"/>
  <c r="F251" i="5"/>
  <c r="F255" i="5"/>
  <c r="F250" i="5"/>
  <c r="F256" i="5"/>
  <c r="F254" i="5"/>
  <c r="F253" i="5"/>
  <c r="F252" i="5"/>
  <c r="G23" i="11"/>
  <c r="H18" i="11" s="1"/>
  <c r="D46" i="5"/>
  <c r="D38" i="10"/>
  <c r="G18" i="7"/>
  <c r="D61" i="13"/>
  <c r="D59" i="13"/>
  <c r="D62" i="13"/>
  <c r="D60" i="13"/>
  <c r="L91" i="7"/>
  <c r="L92" i="7"/>
  <c r="L90" i="7"/>
  <c r="L93" i="7"/>
  <c r="C231" i="5"/>
  <c r="C235" i="5" s="1"/>
  <c r="B22" i="6"/>
  <c r="B5" i="7" s="1"/>
  <c r="B9" i="7" s="1"/>
  <c r="C16" i="6"/>
  <c r="I83" i="10"/>
  <c r="I81" i="10"/>
  <c r="I84" i="10"/>
  <c r="I82" i="10"/>
  <c r="P77" i="4"/>
  <c r="P76" i="4"/>
  <c r="Q76" i="4" s="1"/>
  <c r="P74" i="4"/>
  <c r="P75" i="4"/>
  <c r="E54" i="4"/>
  <c r="D41" i="10"/>
  <c r="B61" i="13"/>
  <c r="B59" i="13"/>
  <c r="B62" i="13"/>
  <c r="B60" i="13"/>
  <c r="I63" i="13"/>
  <c r="H21" i="11"/>
  <c r="D19" i="10"/>
  <c r="J77" i="7"/>
  <c r="H55" i="7"/>
  <c r="I73" i="10"/>
  <c r="I71" i="10"/>
  <c r="I74" i="10"/>
  <c r="I72" i="10"/>
  <c r="D240" i="5"/>
  <c r="B73" i="10"/>
  <c r="N73" i="10" s="1"/>
  <c r="B72" i="10"/>
  <c r="B71" i="10"/>
  <c r="N75" i="10"/>
  <c r="B74" i="10"/>
  <c r="O85" i="4"/>
  <c r="O84" i="4"/>
  <c r="O87" i="4"/>
  <c r="O86" i="4"/>
  <c r="I77" i="7"/>
  <c r="H56" i="7"/>
  <c r="D21" i="10"/>
  <c r="E56" i="4"/>
  <c r="B11" i="6"/>
  <c r="H61" i="12"/>
  <c r="H59" i="12"/>
  <c r="H62" i="12"/>
  <c r="H60" i="12"/>
  <c r="E61" i="13"/>
  <c r="E59" i="13"/>
  <c r="E62" i="13"/>
  <c r="E60" i="13"/>
  <c r="B238" i="5"/>
  <c r="I68" i="5"/>
  <c r="E74" i="10"/>
  <c r="E73" i="10"/>
  <c r="E71" i="10"/>
  <c r="E72" i="10"/>
  <c r="K92" i="7"/>
  <c r="K93" i="7"/>
  <c r="K91" i="7"/>
  <c r="K90" i="7"/>
  <c r="G61" i="12"/>
  <c r="G59" i="12"/>
  <c r="G62" i="12"/>
  <c r="G60" i="12"/>
  <c r="H19" i="11"/>
  <c r="E51" i="4"/>
  <c r="B43" i="9"/>
  <c r="H61" i="6"/>
  <c r="H66" i="6"/>
  <c r="H64" i="6"/>
  <c r="H62" i="6"/>
  <c r="H63" i="6"/>
  <c r="H65" i="6"/>
  <c r="Q78" i="4"/>
  <c r="Q75" i="4" s="1"/>
  <c r="D53" i="13"/>
  <c r="H46" i="13"/>
  <c r="D25" i="10"/>
  <c r="D82" i="10"/>
  <c r="D83" i="10"/>
  <c r="D81" i="10"/>
  <c r="D84" i="10"/>
  <c r="E238" i="5"/>
  <c r="C238" i="5"/>
  <c r="H50" i="13"/>
  <c r="H15" i="11"/>
  <c r="C26" i="5"/>
  <c r="K87" i="4"/>
  <c r="K86" i="4"/>
  <c r="K85" i="4"/>
  <c r="K84" i="4"/>
  <c r="H52" i="7"/>
  <c r="H77" i="7"/>
  <c r="I249" i="5"/>
  <c r="B252" i="5"/>
  <c r="B254" i="5"/>
  <c r="B256" i="5"/>
  <c r="B255" i="5"/>
  <c r="B250" i="5"/>
  <c r="B253" i="5"/>
  <c r="B251" i="5"/>
  <c r="D39" i="12"/>
  <c r="E46" i="5"/>
  <c r="G87" i="4"/>
  <c r="G86" i="4"/>
  <c r="G85" i="4"/>
  <c r="G84" i="4"/>
  <c r="D35" i="12"/>
  <c r="F86" i="4"/>
  <c r="F87" i="4"/>
  <c r="F85" i="4"/>
  <c r="F84" i="4"/>
  <c r="H238" i="5"/>
  <c r="D43" i="12"/>
  <c r="D40" i="11"/>
  <c r="D34" i="12"/>
  <c r="H87" i="4"/>
  <c r="H86" i="4"/>
  <c r="H85" i="4"/>
  <c r="H84" i="4"/>
  <c r="H231" i="5"/>
  <c r="H236" i="5" s="1"/>
  <c r="F62" i="12"/>
  <c r="F60" i="12"/>
  <c r="F61" i="12"/>
  <c r="F59" i="12"/>
  <c r="L71" i="10"/>
  <c r="L74" i="10"/>
  <c r="L73" i="10"/>
  <c r="L72" i="10"/>
  <c r="E237" i="5"/>
  <c r="D37" i="6"/>
  <c r="E65" i="4"/>
  <c r="H91" i="7"/>
  <c r="H92" i="7"/>
  <c r="H90" i="7"/>
  <c r="H93" i="7"/>
  <c r="I270" i="5"/>
  <c r="I266" i="5" s="1"/>
  <c r="C20" i="6"/>
  <c r="N75" i="4"/>
  <c r="N76" i="4"/>
  <c r="N77" i="4"/>
  <c r="N74" i="4"/>
  <c r="M74" i="4"/>
  <c r="M75" i="4"/>
  <c r="M76" i="4"/>
  <c r="M77" i="4"/>
  <c r="C19" i="12"/>
  <c r="J64" i="6"/>
  <c r="J62" i="6"/>
  <c r="J66" i="6"/>
  <c r="J65" i="6"/>
  <c r="J61" i="6"/>
  <c r="J63" i="6"/>
  <c r="F236" i="5"/>
  <c r="E54" i="10"/>
  <c r="D35" i="6"/>
  <c r="D241" i="5"/>
  <c r="E60" i="10"/>
  <c r="D27" i="10"/>
  <c r="I32" i="5"/>
  <c r="H46" i="5"/>
  <c r="I35" i="5" s="1"/>
  <c r="C55" i="6"/>
  <c r="D41" i="6" s="1"/>
  <c r="D27" i="6"/>
  <c r="R84" i="4"/>
  <c r="R86" i="4"/>
  <c r="R87" i="4"/>
  <c r="R85" i="4"/>
  <c r="G17" i="13"/>
  <c r="I66" i="5"/>
  <c r="D18" i="10"/>
  <c r="C18" i="12"/>
  <c r="I265" i="5"/>
  <c r="E55" i="4"/>
  <c r="E63" i="4"/>
  <c r="E240" i="5"/>
  <c r="G77" i="7"/>
  <c r="H51" i="7"/>
  <c r="C93" i="7"/>
  <c r="C90" i="7"/>
  <c r="C91" i="7"/>
  <c r="C92" i="7"/>
  <c r="D40" i="10"/>
  <c r="E52" i="10"/>
  <c r="D256" i="5"/>
  <c r="D251" i="5"/>
  <c r="D252" i="5"/>
  <c r="D254" i="5"/>
  <c r="D253" i="5"/>
  <c r="D250" i="5"/>
  <c r="D255" i="5"/>
  <c r="E64" i="10"/>
  <c r="S87" i="4"/>
  <c r="S86" i="4"/>
  <c r="S84" i="4"/>
  <c r="S85" i="4"/>
  <c r="F74" i="4"/>
  <c r="F75" i="4"/>
  <c r="F76" i="4"/>
  <c r="F77" i="4"/>
  <c r="I37" i="5"/>
  <c r="F40" i="7"/>
  <c r="F61" i="13"/>
  <c r="F59" i="13"/>
  <c r="F62" i="13"/>
  <c r="F60" i="13"/>
  <c r="G26" i="5"/>
  <c r="H20" i="5" s="1"/>
  <c r="O76" i="4"/>
  <c r="O77" i="4"/>
  <c r="O75" i="4"/>
  <c r="O74" i="4"/>
  <c r="C17" i="6"/>
  <c r="B27" i="3"/>
  <c r="B26" i="3"/>
  <c r="E55" i="10"/>
  <c r="C17" i="12"/>
  <c r="E241" i="5"/>
  <c r="B11" i="12"/>
  <c r="H25" i="5"/>
  <c r="G92" i="7"/>
  <c r="G93" i="7"/>
  <c r="G90" i="7"/>
  <c r="G91" i="7"/>
  <c r="C77" i="7"/>
  <c r="H47" i="7"/>
  <c r="I41" i="5"/>
  <c r="D46" i="6"/>
  <c r="E253" i="5"/>
  <c r="E254" i="5"/>
  <c r="E256" i="5"/>
  <c r="E252" i="5"/>
  <c r="E251" i="5"/>
  <c r="E250" i="5"/>
  <c r="E255" i="5"/>
  <c r="H40" i="11"/>
  <c r="I34" i="11" s="1"/>
  <c r="C241" i="5"/>
  <c r="H17" i="5"/>
  <c r="M73" i="10"/>
  <c r="M74" i="10"/>
  <c r="M71" i="10"/>
  <c r="M72" i="10"/>
  <c r="E52" i="4"/>
  <c r="B66" i="6"/>
  <c r="B65" i="6"/>
  <c r="B63" i="6"/>
  <c r="B61" i="6"/>
  <c r="K67" i="6"/>
  <c r="B64" i="6"/>
  <c r="B62" i="6"/>
  <c r="D53" i="6"/>
  <c r="E63" i="6"/>
  <c r="E61" i="6"/>
  <c r="E66" i="6"/>
  <c r="E62" i="6"/>
  <c r="E65" i="6"/>
  <c r="E64" i="6"/>
  <c r="E53" i="10"/>
  <c r="G239" i="5"/>
  <c r="D39" i="10"/>
  <c r="D48" i="6"/>
  <c r="H52" i="13"/>
  <c r="H47" i="13"/>
  <c r="F84" i="10"/>
  <c r="F83" i="10"/>
  <c r="F82" i="10"/>
  <c r="F81" i="10"/>
  <c r="I96" i="5"/>
  <c r="H16" i="11"/>
  <c r="D17" i="10"/>
  <c r="P81" i="10"/>
  <c r="P84" i="10"/>
  <c r="P82" i="10"/>
  <c r="P83" i="10"/>
  <c r="D39" i="6"/>
  <c r="B62" i="12"/>
  <c r="B60" i="12"/>
  <c r="I63" i="12"/>
  <c r="B61" i="12"/>
  <c r="B59" i="12"/>
  <c r="B240" i="5"/>
  <c r="I191" i="5"/>
  <c r="C240" i="5"/>
  <c r="E90" i="7"/>
  <c r="E91" i="7"/>
  <c r="E93" i="7"/>
  <c r="E92" i="7"/>
  <c r="C44" i="4"/>
  <c r="D36" i="4" s="1"/>
  <c r="E63" i="10"/>
  <c r="I85" i="4"/>
  <c r="I87" i="4"/>
  <c r="I86" i="4"/>
  <c r="I84" i="4"/>
  <c r="H62" i="13"/>
  <c r="H60" i="13"/>
  <c r="H61" i="13"/>
  <c r="H59" i="13"/>
  <c r="C61" i="13"/>
  <c r="C59" i="13"/>
  <c r="C62" i="13"/>
  <c r="C60" i="13"/>
  <c r="I230" i="5"/>
  <c r="B241" i="5"/>
  <c r="D42" i="6"/>
  <c r="C53" i="12"/>
  <c r="D44" i="12" s="1"/>
  <c r="I268" i="5"/>
  <c r="D239" i="5"/>
  <c r="N86" i="4"/>
  <c r="N85" i="4"/>
  <c r="N84" i="4"/>
  <c r="N87" i="4"/>
  <c r="F58" i="7"/>
  <c r="H49" i="7"/>
  <c r="E77" i="7"/>
  <c r="D20" i="10"/>
  <c r="H24" i="5" l="1"/>
  <c r="D30" i="6"/>
  <c r="C257" i="5"/>
  <c r="I30" i="11"/>
  <c r="D50" i="12"/>
  <c r="I42" i="5"/>
  <c r="D44" i="6"/>
  <c r="D52" i="6"/>
  <c r="H22" i="5"/>
  <c r="N72" i="10"/>
  <c r="H257" i="5"/>
  <c r="G40" i="13"/>
  <c r="H15" i="13"/>
  <c r="E61" i="4"/>
  <c r="H17" i="11"/>
  <c r="D33" i="6"/>
  <c r="D22" i="10"/>
  <c r="K83" i="7"/>
  <c r="K81" i="7"/>
  <c r="K79" i="7"/>
  <c r="K82" i="7"/>
  <c r="K80" i="7"/>
  <c r="K78" i="7"/>
  <c r="H16" i="7"/>
  <c r="F82" i="7"/>
  <c r="F78" i="7"/>
  <c r="F84" i="7" s="1"/>
  <c r="F83" i="7"/>
  <c r="F81" i="7"/>
  <c r="F79" i="7"/>
  <c r="F80" i="7"/>
  <c r="H20" i="11"/>
  <c r="D51" i="12"/>
  <c r="I251" i="5"/>
  <c r="E66" i="4"/>
  <c r="E59" i="4"/>
  <c r="E60" i="4"/>
  <c r="E58" i="4"/>
  <c r="E57" i="4"/>
  <c r="I31" i="11"/>
  <c r="D33" i="4"/>
  <c r="D32" i="4"/>
  <c r="D27" i="4"/>
  <c r="D34" i="4"/>
  <c r="D18" i="4"/>
  <c r="D42" i="4"/>
  <c r="D41" i="4"/>
  <c r="D29" i="4"/>
  <c r="D25" i="4"/>
  <c r="D43" i="4"/>
  <c r="D37" i="4"/>
  <c r="D17" i="4"/>
  <c r="D31" i="4"/>
  <c r="D30" i="4"/>
  <c r="D35" i="4"/>
  <c r="D33" i="12"/>
  <c r="D45" i="12"/>
  <c r="D38" i="6"/>
  <c r="C16" i="12"/>
  <c r="Q77" i="4"/>
  <c r="E51" i="10"/>
  <c r="E67" i="4"/>
  <c r="E59" i="10"/>
  <c r="N71" i="10"/>
  <c r="H17" i="13"/>
  <c r="I253" i="5"/>
  <c r="H16" i="5"/>
  <c r="D25" i="12"/>
  <c r="I34" i="5"/>
  <c r="B257" i="5"/>
  <c r="I250" i="5"/>
  <c r="I257" i="5" s="1"/>
  <c r="I56" i="7"/>
  <c r="I264" i="5"/>
  <c r="H14" i="11"/>
  <c r="D28" i="4"/>
  <c r="Q81" i="10"/>
  <c r="Q84" i="10"/>
  <c r="Q82" i="10"/>
  <c r="Q83" i="10"/>
  <c r="I32" i="11"/>
  <c r="I40" i="5"/>
  <c r="D21" i="4"/>
  <c r="D32" i="12"/>
  <c r="H18" i="5"/>
  <c r="H23" i="5"/>
  <c r="H14" i="5"/>
  <c r="H15" i="5"/>
  <c r="D42" i="12"/>
  <c r="I255" i="5"/>
  <c r="I36" i="11"/>
  <c r="D26" i="12"/>
  <c r="I80" i="7"/>
  <c r="I83" i="7"/>
  <c r="I81" i="7"/>
  <c r="I79" i="7"/>
  <c r="I82" i="7"/>
  <c r="I78" i="7"/>
  <c r="D38" i="12"/>
  <c r="C237" i="5"/>
  <c r="C236" i="5"/>
  <c r="C239" i="5"/>
  <c r="Q74" i="4"/>
  <c r="I231" i="5"/>
  <c r="I237" i="5" s="1"/>
  <c r="H16" i="13"/>
  <c r="D29" i="6"/>
  <c r="I39" i="11"/>
  <c r="I47" i="7"/>
  <c r="D37" i="12"/>
  <c r="I61" i="12"/>
  <c r="I59" i="12"/>
  <c r="I62" i="12"/>
  <c r="I60" i="12"/>
  <c r="I29" i="11"/>
  <c r="I51" i="7"/>
  <c r="C19" i="6"/>
  <c r="C21" i="6"/>
  <c r="I256" i="5"/>
  <c r="I33" i="11"/>
  <c r="D45" i="6"/>
  <c r="D29" i="12"/>
  <c r="D47" i="6"/>
  <c r="B235" i="5"/>
  <c r="I54" i="7"/>
  <c r="I267" i="5"/>
  <c r="D54" i="6"/>
  <c r="E56" i="10"/>
  <c r="D257" i="5"/>
  <c r="G79" i="7"/>
  <c r="G83" i="7"/>
  <c r="G81" i="7"/>
  <c r="G82" i="7"/>
  <c r="G80" i="7"/>
  <c r="G78" i="7"/>
  <c r="I254" i="5"/>
  <c r="D36" i="6"/>
  <c r="D26" i="4"/>
  <c r="D30" i="12"/>
  <c r="D31" i="12"/>
  <c r="D34" i="6"/>
  <c r="B236" i="5"/>
  <c r="B237" i="5"/>
  <c r="D19" i="4"/>
  <c r="I38" i="11"/>
  <c r="E57" i="10"/>
  <c r="N93" i="7"/>
  <c r="N91" i="7"/>
  <c r="N92" i="7"/>
  <c r="N90" i="7"/>
  <c r="D23" i="4"/>
  <c r="C82" i="7"/>
  <c r="C79" i="7"/>
  <c r="C80" i="7"/>
  <c r="C78" i="7"/>
  <c r="C84" i="7" s="1"/>
  <c r="C83" i="7"/>
  <c r="C81" i="7"/>
  <c r="I252" i="5"/>
  <c r="I55" i="7"/>
  <c r="I33" i="5"/>
  <c r="I35" i="11"/>
  <c r="G40" i="7"/>
  <c r="H18" i="7" s="1"/>
  <c r="H15" i="7"/>
  <c r="B78" i="7"/>
  <c r="B82" i="7"/>
  <c r="L82" i="7" s="1"/>
  <c r="B80" i="7"/>
  <c r="L80" i="7" s="1"/>
  <c r="L77" i="7"/>
  <c r="B83" i="7"/>
  <c r="B81" i="7"/>
  <c r="B79" i="7"/>
  <c r="G257" i="5"/>
  <c r="D46" i="12"/>
  <c r="K66" i="6"/>
  <c r="K64" i="6"/>
  <c r="K62" i="6"/>
  <c r="K65" i="6"/>
  <c r="K63" i="6"/>
  <c r="K61" i="6"/>
  <c r="D38" i="4"/>
  <c r="I52" i="13"/>
  <c r="E257" i="5"/>
  <c r="D24" i="4"/>
  <c r="D51" i="6"/>
  <c r="D49" i="6"/>
  <c r="D50" i="6"/>
  <c r="D40" i="4"/>
  <c r="J83" i="7"/>
  <c r="J81" i="7"/>
  <c r="J79" i="7"/>
  <c r="J82" i="7"/>
  <c r="J80" i="7"/>
  <c r="J78" i="7"/>
  <c r="J84" i="7" s="1"/>
  <c r="D39" i="4"/>
  <c r="C18" i="6"/>
  <c r="D48" i="12"/>
  <c r="D49" i="12"/>
  <c r="D47" i="12"/>
  <c r="E78" i="7"/>
  <c r="E83" i="7"/>
  <c r="E81" i="7"/>
  <c r="E79" i="7"/>
  <c r="E82" i="7"/>
  <c r="E80" i="7"/>
  <c r="D16" i="4"/>
  <c r="B50" i="5"/>
  <c r="B58" i="5" s="1"/>
  <c r="I43" i="5"/>
  <c r="I38" i="5"/>
  <c r="I45" i="5"/>
  <c r="H237" i="5"/>
  <c r="H239" i="5"/>
  <c r="H235" i="5"/>
  <c r="H240" i="5"/>
  <c r="H241" i="5"/>
  <c r="H83" i="7"/>
  <c r="H80" i="7"/>
  <c r="H81" i="7"/>
  <c r="H79" i="7"/>
  <c r="H82" i="7"/>
  <c r="H78" i="7"/>
  <c r="F257" i="5"/>
  <c r="D79" i="7"/>
  <c r="D78" i="7"/>
  <c r="D83" i="7"/>
  <c r="D81" i="7"/>
  <c r="D82" i="7"/>
  <c r="D80" i="7"/>
  <c r="I36" i="5"/>
  <c r="I48" i="13"/>
  <c r="E53" i="4"/>
  <c r="D52" i="12"/>
  <c r="I269" i="5"/>
  <c r="H58" i="7"/>
  <c r="I57" i="7" s="1"/>
  <c r="I46" i="7"/>
  <c r="D43" i="6"/>
  <c r="D27" i="12"/>
  <c r="D32" i="6"/>
  <c r="H21" i="5"/>
  <c r="I52" i="7"/>
  <c r="D20" i="4"/>
  <c r="H53" i="13"/>
  <c r="I46" i="13"/>
  <c r="D36" i="12"/>
  <c r="D41" i="12"/>
  <c r="D28" i="6"/>
  <c r="D34" i="10"/>
  <c r="D43" i="10"/>
  <c r="D33" i="10"/>
  <c r="D29" i="10"/>
  <c r="D35" i="10"/>
  <c r="D28" i="10"/>
  <c r="D32" i="10"/>
  <c r="D37" i="10"/>
  <c r="I263" i="5"/>
  <c r="D22" i="4"/>
  <c r="N74" i="10"/>
  <c r="D28" i="12"/>
  <c r="D40" i="12"/>
  <c r="I48" i="7"/>
  <c r="I39" i="5"/>
  <c r="I238" i="5"/>
  <c r="H19" i="5"/>
  <c r="I62" i="13"/>
  <c r="I60" i="13"/>
  <c r="I61" i="13"/>
  <c r="I59" i="13"/>
  <c r="D31" i="6"/>
  <c r="D40" i="6"/>
  <c r="L81" i="7" l="1"/>
  <c r="I53" i="7"/>
  <c r="L83" i="7"/>
  <c r="I235" i="5"/>
  <c r="E84" i="7"/>
  <c r="G84" i="7"/>
  <c r="I49" i="7"/>
  <c r="H37" i="13"/>
  <c r="H33" i="13"/>
  <c r="H38" i="13"/>
  <c r="H27" i="13"/>
  <c r="H26" i="13"/>
  <c r="H30" i="13"/>
  <c r="H39" i="13"/>
  <c r="H18" i="13"/>
  <c r="H36" i="13"/>
  <c r="H35" i="13"/>
  <c r="H23" i="13"/>
  <c r="H34" i="13"/>
  <c r="H22" i="13"/>
  <c r="H28" i="13"/>
  <c r="H31" i="13"/>
  <c r="H29" i="13"/>
  <c r="H21" i="13"/>
  <c r="H20" i="13"/>
  <c r="H25" i="13"/>
  <c r="H24" i="13"/>
  <c r="H32" i="13"/>
  <c r="H19" i="13"/>
  <c r="I50" i="7"/>
  <c r="I49" i="13"/>
  <c r="I51" i="13"/>
  <c r="H37" i="7"/>
  <c r="H38" i="7"/>
  <c r="H25" i="7"/>
  <c r="H39" i="7"/>
  <c r="H28" i="7"/>
  <c r="H21" i="7"/>
  <c r="H34" i="7"/>
  <c r="H23" i="7"/>
  <c r="H30" i="7"/>
  <c r="H20" i="7"/>
  <c r="H32" i="7"/>
  <c r="H33" i="7"/>
  <c r="H36" i="7"/>
  <c r="H31" i="7"/>
  <c r="H27" i="7"/>
  <c r="H35" i="7"/>
  <c r="H26" i="7"/>
  <c r="H17" i="7"/>
  <c r="H29" i="7"/>
  <c r="H24" i="7"/>
  <c r="H22" i="7"/>
  <c r="H19" i="7"/>
  <c r="I239" i="5"/>
  <c r="K84" i="7"/>
  <c r="I84" i="7"/>
  <c r="I240" i="5"/>
  <c r="I50" i="13"/>
  <c r="L78" i="7"/>
  <c r="B84" i="7"/>
  <c r="D84" i="7"/>
  <c r="H84" i="7"/>
  <c r="I241" i="5"/>
  <c r="I47" i="13"/>
  <c r="I236" i="5"/>
  <c r="L79" i="7"/>
  <c r="L84" i="7" l="1"/>
</calcChain>
</file>

<file path=xl/sharedStrings.xml><?xml version="1.0" encoding="utf-8"?>
<sst xmlns="http://schemas.openxmlformats.org/spreadsheetml/2006/main" count="48654" uniqueCount="10302">
  <si>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</si>
  <si>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</si>
  <si>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</si>
  <si>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</si>
  <si>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</si>
  <si>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</si>
  <si>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</si>
  <si>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</si>
  <si>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</si>
  <si>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</si>
  <si>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</si>
  <si>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</si>
  <si>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</si>
  <si>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</si>
  <si>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</si>
  <si>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</si>
  <si>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</si>
  <si>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</si>
  <si>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</si>
  <si>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</si>
  <si>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</si>
  <si>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</si>
  <si>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</si>
  <si>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</si>
  <si>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</si>
  <si>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</si>
  <si>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</si>
  <si>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</si>
  <si>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</si>
  <si>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</si>
  <si>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</si>
  <si>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</si>
  <si>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</si>
  <si>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</si>
  <si>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</si>
  <si>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</si>
  <si>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</si>
  <si>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</si>
  <si>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</si>
  <si>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</si>
  <si>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</si>
  <si>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</si>
  <si>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</si>
  <si>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</si>
  <si>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</si>
  <si>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</si>
  <si>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</si>
  <si>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</si>
  <si>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</si>
  <si>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</si>
  <si>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</si>
  <si>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</si>
  <si>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</si>
  <si>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</si>
  <si>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</si>
  <si>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</si>
  <si>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</si>
  <si>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</si>
  <si>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</si>
  <si>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</si>
  <si>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</si>
  <si>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</si>
  <si>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</si>
  <si>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</si>
  <si>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</si>
  <si>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</si>
  <si>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</si>
  <si>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</si>
  <si>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</si>
  <si>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</si>
  <si>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</si>
  <si>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</si>
  <si>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</si>
  <si>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</si>
  <si>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</si>
  <si>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</si>
  <si>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</si>
  <si>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</si>
  <si>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</si>
  <si>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</si>
  <si>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</si>
  <si>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</si>
  <si>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</si>
  <si>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</si>
  <si>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</si>
  <si>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</si>
  <si>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</si>
  <si>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</si>
  <si>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</si>
  <si>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</si>
  <si>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</si>
  <si>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</si>
  <si>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</si>
  <si>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</si>
  <si>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</si>
  <si>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</si>
  <si>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</si>
  <si>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</si>
  <si>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</si>
  <si>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</si>
  <si>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</si>
  <si>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</si>
  <si>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</si>
  <si>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</si>
  <si>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</si>
  <si>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</si>
  <si>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</si>
  <si>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</si>
  <si>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</si>
  <si>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</si>
  <si>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</si>
  <si>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</si>
  <si>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</si>
  <si>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</si>
  <si>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</si>
  <si>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</si>
  <si>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</si>
  <si>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</si>
  <si>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</si>
  <si>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</si>
  <si>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</si>
  <si>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</si>
  <si>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</si>
  <si>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</si>
  <si>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</si>
  <si>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</si>
  <si>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</si>
  <si>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</si>
  <si>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</si>
  <si>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</si>
  <si>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</si>
  <si>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</si>
  <si>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</si>
  <si>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</si>
  <si>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</si>
  <si>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</si>
  <si>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</si>
  <si>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</si>
  <si>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</si>
  <si>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</si>
  <si>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</si>
  <si>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</si>
  <si>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</si>
  <si>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</si>
  <si>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</si>
  <si>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</si>
  <si>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</si>
  <si>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</si>
  <si>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</si>
  <si>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</si>
  <si>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</si>
  <si>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</si>
  <si>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</si>
  <si>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</si>
  <si>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</si>
  <si>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</si>
  <si>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</si>
  <si>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</si>
  <si>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</si>
  <si>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</si>
  <si>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</si>
  <si>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</si>
  <si>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</si>
  <si>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</si>
  <si>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</si>
  <si>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</si>
  <si>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</si>
  <si>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</si>
  <si>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</si>
  <si>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</si>
  <si>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</si>
  <si>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</si>
  <si>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</si>
  <si>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</si>
  <si>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</si>
  <si>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</si>
  <si>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</si>
  <si>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</si>
  <si>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</si>
  <si>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</si>
  <si>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</si>
  <si>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</si>
  <si>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</si>
  <si>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</si>
  <si>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</si>
  <si>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</si>
  <si>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</si>
  <si>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</si>
  <si>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</si>
  <si>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</si>
  <si>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</si>
  <si>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</si>
  <si>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</si>
  <si>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</si>
  <si>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</si>
  <si>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</si>
  <si>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</si>
  <si>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</si>
  <si>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</si>
  <si>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</si>
  <si>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</si>
  <si>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</si>
  <si>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</si>
  <si>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</si>
  <si>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</si>
  <si>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</si>
  <si>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</si>
  <si>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</si>
  <si>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</si>
  <si>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</si>
  <si>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</si>
  <si>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</si>
  <si>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</si>
  <si>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</si>
  <si>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</si>
  <si>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</si>
  <si>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</si>
  <si>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</si>
  <si>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</si>
  <si>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</si>
  <si>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</si>
  <si>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</si>
  <si>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</si>
  <si>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</si>
  <si>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</si>
  <si>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</si>
  <si>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</si>
  <si>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</si>
  <si>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</si>
  <si>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</si>
  <si>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</si>
  <si>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</si>
  <si>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</si>
  <si>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</si>
  <si>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</si>
  <si>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</si>
  <si>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</si>
  <si>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</si>
  <si>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</si>
  <si>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</si>
  <si>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</si>
  <si>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</si>
  <si>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</si>
  <si>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</si>
  <si>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</si>
  <si>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</si>
  <si>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</si>
  <si>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</si>
  <si>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</si>
  <si>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</si>
  <si>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</si>
  <si>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</si>
  <si>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</si>
  <si>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</si>
  <si>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</si>
  <si>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</si>
  <si>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</si>
  <si>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</si>
  <si>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</si>
  <si>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</si>
  <si>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</si>
  <si>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</si>
  <si>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</si>
  <si>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</si>
  <si>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</si>
  <si>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</si>
  <si>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</si>
  <si>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</si>
  <si>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</si>
  <si>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</si>
  <si>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</si>
  <si>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</si>
  <si>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</si>
  <si>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</si>
  <si>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</si>
  <si>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</si>
  <si>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</si>
  <si>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</si>
  <si>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</si>
  <si>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</si>
  <si>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</si>
  <si>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</si>
  <si>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</si>
  <si>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</si>
  <si>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</si>
  <si>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</si>
  <si>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</si>
  <si>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</si>
  <si>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</si>
  <si>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</si>
  <si>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</si>
  <si>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</si>
  <si>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</si>
  <si>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</si>
  <si>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</si>
  <si>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</si>
  <si>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</si>
  <si>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</si>
  <si>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</si>
  <si>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</si>
  <si>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</si>
  <si>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</si>
  <si>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</si>
  <si>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</si>
  <si>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</si>
  <si>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</si>
  <si>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</si>
  <si>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</si>
  <si>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</si>
  <si>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</si>
  <si>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</si>
  <si>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</si>
  <si>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</si>
  <si>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</si>
  <si>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</si>
  <si>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</si>
  <si>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</si>
  <si>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</si>
  <si>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</si>
  <si>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</si>
  <si>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</si>
  <si>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</si>
  <si>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</si>
  <si>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</si>
  <si>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</si>
  <si>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</si>
  <si>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</si>
  <si>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</si>
  <si>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</si>
  <si>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</si>
  <si>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</si>
  <si>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</si>
  <si>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</si>
  <si>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</si>
  <si>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</si>
  <si>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</si>
  <si>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</si>
  <si>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</si>
  <si>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</si>
  <si>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</si>
  <si>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</si>
  <si>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</si>
  <si>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</si>
  <si>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</si>
  <si>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</si>
  <si>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</si>
  <si>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</si>
  <si>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</si>
  <si>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</si>
  <si>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</si>
  <si>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</si>
  <si>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</si>
  <si>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</si>
  <si>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</si>
  <si>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</si>
  <si>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</si>
  <si>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</si>
  <si>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</si>
  <si>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</si>
  <si>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</si>
  <si>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</si>
  <si>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</si>
  <si>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</si>
  <si>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</si>
  <si>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</si>
  <si>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</si>
  <si>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</si>
  <si>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</si>
  <si>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</si>
  <si>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</si>
  <si>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</si>
  <si>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</si>
  <si>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</si>
  <si>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</si>
  <si>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</si>
  <si>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</si>
  <si>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</si>
  <si>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</si>
  <si>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</si>
  <si>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</si>
  <si>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</si>
  <si>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</si>
  <si>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</si>
  <si>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</si>
  <si>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</si>
  <si>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</si>
  <si>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</si>
  <si>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</si>
  <si>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</si>
  <si>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</si>
  <si>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</si>
  <si>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</si>
  <si>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</si>
  <si>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</si>
  <si>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</si>
  <si>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</si>
  <si>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</si>
  <si>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</si>
  <si>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</si>
  <si>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</si>
  <si>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</si>
  <si>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</si>
  <si>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</si>
  <si>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</si>
  <si>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</si>
  <si>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</si>
  <si>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</si>
  <si>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</si>
  <si>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</si>
  <si>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</si>
  <si>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</si>
  <si>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</si>
  <si>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</si>
  <si>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</si>
  <si>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</si>
  <si>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</si>
  <si>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</si>
  <si>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</si>
  <si>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</si>
  <si>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</si>
  <si>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</si>
  <si>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</si>
  <si>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</si>
  <si>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</si>
  <si>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</si>
  <si>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</si>
  <si>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</si>
  <si>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</si>
  <si>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</si>
  <si>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</si>
  <si>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</si>
  <si>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</si>
  <si>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</si>
  <si>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</si>
  <si>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</si>
  <si>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</si>
  <si>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</si>
  <si>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</si>
  <si>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</si>
  <si>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</si>
  <si>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</si>
  <si>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</si>
  <si>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</si>
  <si>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</si>
  <si>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</si>
  <si>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</si>
  <si>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</si>
  <si>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</si>
  <si>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</si>
  <si>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</si>
  <si>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</si>
  <si>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</si>
  <si>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</si>
  <si>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</si>
  <si>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</si>
  <si>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</si>
  <si>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</si>
  <si>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</si>
  <si>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</si>
  <si>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</si>
  <si>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</si>
  <si>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</si>
  <si>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</si>
  <si>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</si>
  <si>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</si>
  <si>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</si>
  <si>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</si>
  <si>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</si>
  <si>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</si>
  <si>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</si>
  <si>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</si>
  <si>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</si>
  <si>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</si>
  <si>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</si>
  <si>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</si>
  <si>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</si>
  <si>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</si>
  <si>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</si>
  <si>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</si>
  <si>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</si>
  <si>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</si>
  <si>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</si>
  <si>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</si>
  <si>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</si>
  <si>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</si>
  <si>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</si>
  <si>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</si>
  <si>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</si>
  <si>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</si>
  <si>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</si>
  <si>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</si>
  <si>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</si>
  <si>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</si>
  <si>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</si>
  <si>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</si>
  <si>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</si>
  <si>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</si>
  <si>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</si>
  <si>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</si>
  <si>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</si>
  <si>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</si>
  <si>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</si>
  <si>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</si>
  <si>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</si>
  <si>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</si>
  <si>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</si>
  <si>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</si>
  <si>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</si>
  <si>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</si>
  <si>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</si>
  <si>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</si>
  <si>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</si>
  <si>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</si>
  <si>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</si>
  <si>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</si>
  <si>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</si>
  <si>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</si>
  <si>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</si>
  <si>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</si>
  <si>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</si>
  <si>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</si>
  <si>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</si>
  <si>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</si>
  <si>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</si>
  <si>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</si>
  <si>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</si>
  <si>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</si>
  <si>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</si>
  <si>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</si>
  <si>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</si>
  <si>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</si>
  <si>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</si>
  <si>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</si>
  <si>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</si>
  <si>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</si>
  <si>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</si>
  <si>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</si>
  <si>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</si>
  <si>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</si>
  <si>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</si>
  <si>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</si>
  <si>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</si>
  <si>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</si>
  <si>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</si>
  <si>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</si>
  <si>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</si>
  <si>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</si>
  <si>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</si>
  <si>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</si>
  <si>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</si>
  <si>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</si>
  <si>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</si>
  <si>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</si>
  <si>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</si>
  <si>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</si>
  <si>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</si>
  <si>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</si>
  <si>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</si>
  <si>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</si>
  <si>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</si>
  <si>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</si>
  <si>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</si>
  <si>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</si>
  <si>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</si>
  <si>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</si>
  <si>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</si>
  <si>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</si>
  <si>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</si>
  <si>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</si>
  <si>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</si>
  <si>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</si>
  <si>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</si>
  <si>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</si>
  <si>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</si>
  <si>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</si>
  <si>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</si>
  <si>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</si>
  <si>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</si>
  <si>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</si>
  <si>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</si>
  <si>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</si>
  <si>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</si>
  <si>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</si>
  <si>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</si>
  <si>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</si>
  <si>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</si>
  <si>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</si>
  <si>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</si>
  <si>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</si>
  <si>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</si>
  <si>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</si>
  <si>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</si>
  <si>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</si>
  <si>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</si>
  <si>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</si>
  <si>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</si>
  <si>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</si>
  <si>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</si>
  <si>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</si>
  <si>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</si>
  <si>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</si>
  <si>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</si>
  <si>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</si>
  <si>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</si>
  <si>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</si>
  <si>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</si>
  <si>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</si>
  <si>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</si>
  <si>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</si>
  <si>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</si>
  <si>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</si>
  <si>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</si>
  <si>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</si>
  <si>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</si>
  <si>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</si>
  <si>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</si>
  <si>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</si>
  <si>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</si>
  <si>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</si>
  <si>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</si>
  <si>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</si>
  <si>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</si>
  <si>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</si>
  <si>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</si>
  <si>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</si>
  <si>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</si>
  <si>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</si>
  <si>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</si>
  <si>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</si>
  <si>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</si>
  <si>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</si>
  <si>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</si>
  <si>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</si>
  <si>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</si>
  <si>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</si>
  <si>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</si>
  <si>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</si>
  <si>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</si>
  <si>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</si>
  <si>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</si>
  <si>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</si>
  <si>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</si>
  <si>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</si>
  <si>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</si>
  <si>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</si>
  <si>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</si>
  <si>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</si>
  <si>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</si>
  <si>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</si>
  <si>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</si>
  <si>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</si>
  <si>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</si>
  <si>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</si>
  <si>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</si>
  <si>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</si>
  <si>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</si>
  <si>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</si>
  <si>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</si>
  <si>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</si>
  <si>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</si>
  <si>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</si>
  <si>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</si>
  <si>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</si>
  <si>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</si>
  <si>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</si>
  <si>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</si>
  <si>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</si>
  <si>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</si>
  <si>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</si>
  <si>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</si>
  <si>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</si>
  <si>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</si>
  <si>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</si>
  <si>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</si>
  <si>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</si>
  <si>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</si>
  <si>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</si>
  <si>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</si>
  <si>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</si>
  <si>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</si>
  <si>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</si>
  <si>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</si>
  <si>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</si>
  <si>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</si>
  <si>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</si>
  <si>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</si>
  <si>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</si>
  <si>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</si>
  <si>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</si>
  <si>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</si>
  <si>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</si>
  <si>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</si>
  <si>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</si>
  <si>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</si>
  <si>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</si>
  <si>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</si>
  <si>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</si>
  <si>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</si>
  <si>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</si>
  <si>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</si>
  <si>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</si>
  <si>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</si>
  <si>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</si>
  <si>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</si>
  <si>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</si>
  <si>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</si>
  <si>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</si>
  <si>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</si>
  <si>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</si>
  <si>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</si>
  <si>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</si>
  <si>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</si>
  <si>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</si>
  <si>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</si>
  <si>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</si>
  <si>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</si>
  <si>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</si>
  <si>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</si>
  <si>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</si>
  <si>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</si>
  <si>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</si>
  <si>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</si>
  <si>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</si>
  <si>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</si>
  <si>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</si>
  <si>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</si>
  <si>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</si>
  <si>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</si>
  <si>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</si>
  <si>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</si>
  <si>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</si>
  <si>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</si>
  <si>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</si>
  <si>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</si>
  <si>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</si>
  <si>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</si>
  <si>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</si>
  <si>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</si>
  <si>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</si>
  <si>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</si>
  <si>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</si>
  <si>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</si>
  <si>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</si>
  <si>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</si>
  <si>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</si>
  <si>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</si>
  <si>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</si>
  <si>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</si>
  <si>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</si>
  <si>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</si>
  <si>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</si>
  <si>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</si>
  <si>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</si>
  <si>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</si>
  <si>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</si>
  <si>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</si>
  <si>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</si>
  <si>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</si>
  <si>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</si>
  <si>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</si>
  <si>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</si>
  <si>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</si>
  <si>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</si>
  <si>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</si>
  <si>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</si>
  <si>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</si>
  <si>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</si>
  <si>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</si>
  <si>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</si>
  <si>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</si>
  <si>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</si>
  <si>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</si>
  <si>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</si>
  <si>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</si>
  <si>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</si>
  <si>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</si>
  <si>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</si>
  <si>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</si>
  <si>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</si>
  <si>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</si>
  <si>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</si>
  <si>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</si>
  <si>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</si>
  <si>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</si>
  <si>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</si>
  <si>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</si>
  <si>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</si>
  <si>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</si>
  <si>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</si>
  <si>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</si>
  <si>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</si>
  <si>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</si>
  <si>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</si>
  <si>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</si>
  <si>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</si>
  <si>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</si>
  <si>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</si>
  <si>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</si>
  <si>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</si>
  <si>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</si>
  <si>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</si>
  <si>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</si>
  <si>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</si>
  <si>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</si>
  <si>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</si>
  <si>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</si>
  <si>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</si>
  <si>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</si>
  <si>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</si>
  <si>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</si>
  <si>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</si>
  <si>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</si>
  <si>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</si>
  <si>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</si>
  <si>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</si>
  <si>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</si>
  <si>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</si>
  <si>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</si>
  <si>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</si>
  <si>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</si>
  <si>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</si>
  <si>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</si>
  <si>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</si>
  <si>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</si>
  <si>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</si>
  <si>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</si>
  <si>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</si>
  <si>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</si>
  <si>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</si>
  <si>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</si>
  <si>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</si>
  <si>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</si>
  <si>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</si>
  <si>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</si>
  <si>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</si>
  <si>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</si>
  <si>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</si>
  <si>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</si>
  <si>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</si>
  <si>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</si>
  <si>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</si>
  <si>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</si>
  <si>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</si>
  <si>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</si>
  <si>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</si>
  <si>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</si>
  <si>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</si>
  <si>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</si>
  <si>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</si>
  <si>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</si>
  <si>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</si>
  <si>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</si>
  <si>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</si>
  <si>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</si>
  <si>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</si>
  <si>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</si>
  <si>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</si>
  <si>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</si>
  <si>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</si>
  <si>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</si>
  <si>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</si>
  <si>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</si>
  <si>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</si>
  <si>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</si>
  <si>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</si>
  <si>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</si>
  <si>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</si>
  <si>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</si>
  <si>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</si>
  <si>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</si>
  <si>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</si>
  <si>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</si>
  <si>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</si>
  <si>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</si>
  <si>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</si>
  <si>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</si>
  <si>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</si>
  <si>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</si>
  <si>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</si>
  <si>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</si>
  <si>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</si>
  <si>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</si>
  <si>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</si>
  <si>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</si>
  <si>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</si>
  <si>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</si>
  <si>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</si>
  <si>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</si>
  <si>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</si>
  <si>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</si>
  <si>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</si>
  <si>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</si>
  <si>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</si>
  <si>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</si>
  <si>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</si>
  <si>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</si>
  <si>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</si>
  <si>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</si>
  <si>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</si>
  <si>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</si>
  <si>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</si>
  <si>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</si>
  <si>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</si>
  <si>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</si>
  <si>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</si>
  <si>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</si>
  <si>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</si>
  <si>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</si>
  <si>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</si>
  <si>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</si>
  <si>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</si>
  <si>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</si>
  <si>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</si>
  <si>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</si>
  <si>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</si>
  <si>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</si>
  <si>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</si>
  <si>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</si>
  <si>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</si>
  <si>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</si>
  <si>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</si>
  <si>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</si>
  <si>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</si>
  <si>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</si>
  <si>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</si>
  <si>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</si>
  <si>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</si>
  <si>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</si>
  <si>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</si>
  <si>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</si>
  <si>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</si>
  <si>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</si>
  <si>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</si>
  <si>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</si>
  <si>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</si>
  <si>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</si>
  <si>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</si>
  <si>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</si>
  <si>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</si>
  <si>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</si>
  <si>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</si>
  <si>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</si>
  <si>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</si>
  <si>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</si>
  <si>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</si>
  <si>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</si>
  <si>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</si>
  <si>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</si>
  <si>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</si>
  <si>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</si>
  <si>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</si>
  <si>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</si>
  <si>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</si>
  <si>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</si>
  <si>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</si>
  <si>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</si>
  <si>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</si>
  <si>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</si>
  <si>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</si>
  <si>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</si>
  <si>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</si>
  <si>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</si>
  <si>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</si>
  <si>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</si>
  <si>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</si>
  <si>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</si>
  <si>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</si>
  <si>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</si>
  <si>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</si>
  <si>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</si>
  <si>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</si>
  <si>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</si>
  <si>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</si>
  <si>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</si>
  <si>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</si>
  <si>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</si>
  <si>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</si>
  <si>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</si>
  <si>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</si>
  <si>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</si>
  <si>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</si>
  <si>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</si>
  <si>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</si>
  <si>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</si>
  <si>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</si>
  <si>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</si>
  <si>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</si>
  <si>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</si>
  <si>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</si>
  <si>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</si>
  <si>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</si>
  <si>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</si>
  <si>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</si>
  <si>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</si>
  <si>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</si>
  <si>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</si>
  <si>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</si>
  <si>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</si>
  <si>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</si>
  <si>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</si>
  <si>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</si>
  <si>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</si>
  <si>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</si>
  <si>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</si>
  <si>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</si>
  <si>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</si>
  <si>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</si>
  <si>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</si>
  <si>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</si>
  <si>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</si>
  <si>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</si>
  <si>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</si>
  <si>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</si>
  <si>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</si>
  <si>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</si>
  <si>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</si>
  <si>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</si>
  <si>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</si>
  <si>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</si>
  <si>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</si>
  <si>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</si>
  <si>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</si>
  <si>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</si>
  <si>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</si>
  <si>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</si>
  <si>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</si>
  <si>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</si>
  <si>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</si>
  <si>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</si>
  <si>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</si>
  <si>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</si>
  <si>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</si>
  <si>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</si>
  <si>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</si>
  <si>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</si>
  <si>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</si>
  <si>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</si>
  <si>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</si>
  <si>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</si>
  <si>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</si>
  <si>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</si>
  <si>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</si>
  <si>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</si>
  <si>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</si>
  <si>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</si>
  <si>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</si>
  <si>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</si>
  <si>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</si>
  <si>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</si>
  <si>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</si>
  <si>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</si>
  <si>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</si>
  <si>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</si>
  <si>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</si>
  <si>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</si>
  <si>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</si>
  <si>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</si>
  <si>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</si>
  <si>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</si>
  <si>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</si>
  <si>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</si>
  <si>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</si>
  <si>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</si>
  <si>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</si>
  <si>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</si>
  <si>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</si>
  <si>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</si>
  <si>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</si>
  <si>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</si>
  <si>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</si>
  <si>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</si>
  <si>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</si>
  <si>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</si>
  <si>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</si>
  <si>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</si>
  <si>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</si>
  <si>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</si>
  <si>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</si>
  <si>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</si>
  <si>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</si>
  <si>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</si>
  <si>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</si>
  <si>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</si>
  <si>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</si>
  <si>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</si>
  <si>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</si>
  <si>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</si>
  <si>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</si>
  <si>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</si>
  <si>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</si>
  <si>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</si>
  <si>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</si>
  <si>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</si>
  <si>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</si>
  <si>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</si>
  <si>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</si>
  <si>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</si>
  <si>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</si>
  <si>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</si>
  <si>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</si>
  <si>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</si>
  <si>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</si>
  <si>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</si>
  <si>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</si>
  <si>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</si>
  <si>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</si>
  <si>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</si>
  <si>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</si>
  <si>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</si>
  <si>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</si>
  <si>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</si>
  <si>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</si>
  <si>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</si>
  <si>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</si>
  <si>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</si>
  <si>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</si>
  <si>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</si>
  <si>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</si>
  <si>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</si>
  <si>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</si>
  <si>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</si>
  <si>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</si>
  <si>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</si>
  <si>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</si>
  <si>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</si>
  <si>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</si>
  <si>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</si>
  <si>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</si>
  <si>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</si>
  <si>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</si>
  <si>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</si>
  <si>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</si>
  <si>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</si>
  <si>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</si>
  <si>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</si>
  <si>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</si>
  <si>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</si>
  <si>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</si>
  <si>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</si>
  <si>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</si>
  <si>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</si>
  <si>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</si>
  <si>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</si>
  <si>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</si>
  <si>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</si>
  <si>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</si>
  <si>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</si>
  <si>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</si>
  <si>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</si>
  <si>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</si>
  <si>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</si>
  <si>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</si>
  <si>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</si>
  <si>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</si>
  <si>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</si>
  <si>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</si>
  <si>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</si>
  <si>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</si>
  <si>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</si>
  <si>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</si>
  <si>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</si>
  <si>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</si>
  <si>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</si>
  <si>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</si>
  <si>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</si>
  <si>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</si>
  <si>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</si>
  <si>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</si>
  <si>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</si>
  <si>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</si>
  <si>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</si>
  <si>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</si>
  <si>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</si>
  <si>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</si>
  <si>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</si>
  <si>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</si>
  <si>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</si>
  <si>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</si>
  <si>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</si>
  <si>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</si>
  <si>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</si>
  <si>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</si>
  <si>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</si>
  <si>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</si>
  <si>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</si>
  <si>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</si>
  <si>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</si>
  <si>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</si>
  <si>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</si>
  <si>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</si>
  <si>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</si>
  <si>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</si>
  <si>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</si>
  <si>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</si>
  <si>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</si>
  <si>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</si>
  <si>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</si>
  <si>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</si>
  <si>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</si>
  <si>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</si>
  <si>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</si>
  <si>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</si>
  <si>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</si>
  <si>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</si>
  <si>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</si>
  <si>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</si>
  <si>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</si>
  <si>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</si>
  <si>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</si>
  <si>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</si>
  <si>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</si>
  <si>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</si>
  <si>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</si>
  <si>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</si>
  <si>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</si>
  <si>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</si>
  <si>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</si>
  <si>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</si>
  <si>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</si>
  <si>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</si>
  <si>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</si>
  <si>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</si>
  <si>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</si>
  <si>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</si>
  <si>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</si>
  <si>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</si>
  <si>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</si>
  <si>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</si>
  <si>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</si>
  <si>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</si>
  <si>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</si>
  <si>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</si>
  <si>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</si>
  <si>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</si>
  <si>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</si>
  <si>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</si>
  <si>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</si>
  <si>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</si>
  <si>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</si>
  <si>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</si>
  <si>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</si>
  <si>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</si>
  <si>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</si>
  <si>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</si>
  <si>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</si>
  <si>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</si>
  <si>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</si>
  <si>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</si>
  <si>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</si>
  <si>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</si>
  <si>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</si>
  <si>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</si>
  <si>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</si>
  <si>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</si>
  <si>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</si>
  <si>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</si>
  <si>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</si>
  <si>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</si>
  <si>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</si>
  <si>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</si>
  <si>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</si>
  <si>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</si>
  <si>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</si>
  <si>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</si>
  <si>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</si>
  <si>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</si>
  <si>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</si>
  <si>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</si>
  <si>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</si>
  <si>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</si>
  <si>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</si>
  <si>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</si>
  <si>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</si>
  <si>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</si>
  <si>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</si>
  <si>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</si>
  <si>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</si>
  <si>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</si>
  <si>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</si>
  <si>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</si>
  <si>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</si>
  <si>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</si>
  <si>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</si>
  <si>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</si>
  <si>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</si>
  <si>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</si>
  <si>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</si>
  <si>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</si>
  <si>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</si>
  <si>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</si>
  <si>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</si>
  <si>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</si>
  <si>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</si>
  <si>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</si>
  <si>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</si>
  <si>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</si>
  <si>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</si>
  <si>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</si>
  <si>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</si>
  <si>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</si>
  <si>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</si>
  <si>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</si>
  <si>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</si>
  <si>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</si>
  <si>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</si>
  <si>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</si>
  <si>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</si>
  <si>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</si>
  <si>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</si>
  <si>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</si>
  <si>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</si>
  <si>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</si>
  <si>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</si>
  <si>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</si>
  <si>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</si>
  <si>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</si>
  <si>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</si>
  <si>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</si>
  <si>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</si>
  <si>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</si>
  <si>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</si>
  <si>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</si>
  <si>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</si>
  <si>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</si>
  <si>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</si>
  <si>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</si>
  <si>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</si>
  <si>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</si>
  <si>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</si>
  <si>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</si>
  <si>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</si>
  <si>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</si>
  <si>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</si>
  <si>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</si>
  <si>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</si>
  <si>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</si>
  <si>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</si>
  <si>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</si>
  <si>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</si>
  <si>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</si>
  <si>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</si>
  <si>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</si>
  <si>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</si>
  <si>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</si>
  <si>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</si>
  <si>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</si>
  <si>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</si>
  <si>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</si>
  <si>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</si>
  <si>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</si>
  <si>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</si>
  <si>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</si>
  <si>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</si>
  <si>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</si>
  <si>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</si>
  <si>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</si>
  <si>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</si>
  <si>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</si>
  <si>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</si>
  <si>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</si>
  <si>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</si>
  <si>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</si>
  <si>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</si>
  <si>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</si>
  <si>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</si>
  <si>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</si>
  <si>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</si>
  <si>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</si>
  <si>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</si>
  <si>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</si>
  <si>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</si>
  <si>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</si>
  <si>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</si>
  <si>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</si>
  <si>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</si>
  <si>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</si>
  <si>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</si>
  <si>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</si>
  <si>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</si>
  <si>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</si>
  <si>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</si>
  <si>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</si>
  <si>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</si>
  <si>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</si>
  <si>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</si>
  <si>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</si>
  <si>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</si>
  <si>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</si>
  <si>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</si>
  <si>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</si>
  <si>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</si>
  <si>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</si>
  <si>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</si>
  <si>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</si>
  <si>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</si>
  <si>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</si>
  <si>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</si>
  <si>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</si>
  <si>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</si>
  <si>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</si>
  <si>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</si>
  <si>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</si>
  <si>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</si>
  <si>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</si>
  <si>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</si>
  <si>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</si>
  <si>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</si>
  <si>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</si>
  <si>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</si>
  <si>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</si>
  <si>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</si>
  <si>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</si>
  <si>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</si>
  <si>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</si>
  <si>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</si>
  <si>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</si>
  <si>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</si>
  <si>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</si>
  <si>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</si>
  <si>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</si>
  <si>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</si>
  <si>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</si>
  <si>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</si>
  <si>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</si>
  <si>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</si>
  <si>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</si>
  <si>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</si>
  <si>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</si>
  <si>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</si>
  <si>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</si>
  <si>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</si>
  <si>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</si>
  <si>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</si>
  <si>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</si>
  <si>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</si>
  <si>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</si>
  <si>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</si>
  <si>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</si>
  <si>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</si>
  <si>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</si>
  <si>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</si>
  <si>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</si>
  <si>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</si>
  <si>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</si>
  <si>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</si>
  <si>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</si>
  <si>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</si>
  <si>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</si>
  <si>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</si>
  <si>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</si>
  <si>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</si>
  <si>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</si>
  <si>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</si>
  <si>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</si>
  <si>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</si>
  <si>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</si>
  <si>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</si>
  <si>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</si>
  <si>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</si>
  <si>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</si>
  <si>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</si>
  <si>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</si>
  <si>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</si>
  <si>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</si>
  <si>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</si>
  <si>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</si>
  <si>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</si>
  <si>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</si>
  <si>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</si>
  <si>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</si>
  <si>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</si>
  <si>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</si>
  <si>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</si>
  <si>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</si>
  <si>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</si>
  <si>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</si>
  <si>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</si>
  <si>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</si>
  <si>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</si>
  <si>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</si>
  <si>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</si>
  <si>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</si>
  <si>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</si>
  <si>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</si>
  <si>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</si>
  <si>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</si>
  <si>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</si>
  <si>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</si>
  <si>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</si>
  <si>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</si>
  <si>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</si>
  <si>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</si>
  <si>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</si>
  <si>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</si>
  <si>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</si>
  <si>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</si>
  <si>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</si>
  <si>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</si>
  <si>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</si>
  <si>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</si>
  <si>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</si>
  <si>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</si>
  <si>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</si>
  <si>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</si>
  <si>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</si>
  <si>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</si>
  <si>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</si>
  <si>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</si>
  <si>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</si>
  <si>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</si>
  <si>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</si>
  <si>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</si>
  <si>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</si>
  <si>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</si>
  <si>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</si>
  <si>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</si>
  <si>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</si>
  <si>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</si>
  <si>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</si>
  <si>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</si>
  <si>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</si>
  <si>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</si>
  <si>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</si>
  <si>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</si>
  <si>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</si>
  <si>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</si>
  <si>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</si>
  <si>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</si>
  <si>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</si>
  <si>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</si>
  <si>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</si>
  <si>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</si>
  <si>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</si>
  <si>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</si>
  <si>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</si>
  <si>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</si>
  <si>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</si>
  <si>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</si>
  <si>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</si>
  <si>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</si>
  <si>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</si>
  <si>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</si>
  <si>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</si>
  <si>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</si>
  <si>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</si>
  <si>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</si>
  <si>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</si>
  <si>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</si>
  <si>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</si>
  <si>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</si>
  <si>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</si>
  <si>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</si>
  <si>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</si>
  <si>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</si>
  <si>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</si>
  <si>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</si>
  <si>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</si>
  <si>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</si>
  <si>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</si>
  <si>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</si>
  <si>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</si>
  <si>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</si>
  <si>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</si>
  <si>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</si>
  <si>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</si>
  <si>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</si>
  <si>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</si>
  <si>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</si>
  <si>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</si>
  <si>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</si>
  <si>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</si>
  <si>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</si>
  <si>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</si>
  <si>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</si>
  <si>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</si>
  <si>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</si>
  <si>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</si>
  <si>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</si>
  <si>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</si>
  <si>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</si>
  <si>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</si>
  <si>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</si>
  <si>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</si>
  <si>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</si>
  <si>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</si>
  <si>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</si>
  <si>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</si>
  <si>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</si>
  <si>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</si>
  <si>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</si>
  <si>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</si>
  <si>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</si>
  <si>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</si>
  <si>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</si>
  <si>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</si>
  <si>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</si>
  <si>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</si>
  <si>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</si>
  <si>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</si>
  <si>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</si>
  <si>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</si>
  <si>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</si>
  <si>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</si>
  <si>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</si>
  <si>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</si>
  <si>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</si>
  <si>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</si>
  <si>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</si>
  <si>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</si>
  <si>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</si>
  <si>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</si>
  <si>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</si>
  <si>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</si>
  <si>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</si>
  <si>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</si>
  <si>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</si>
  <si>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</si>
  <si>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</si>
  <si>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</si>
  <si>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</si>
  <si>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</si>
  <si>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</si>
  <si>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</si>
  <si>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</si>
  <si>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</si>
  <si>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</si>
  <si>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</si>
  <si>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</si>
  <si>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</si>
  <si>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</si>
  <si>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</si>
  <si>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</si>
  <si>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</si>
  <si>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</si>
  <si>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</si>
  <si>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</si>
  <si>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</si>
  <si>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</si>
  <si>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</si>
  <si>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</si>
  <si>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</si>
  <si>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</si>
  <si>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</si>
  <si>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</si>
  <si>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</si>
  <si>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</si>
  <si>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</si>
  <si>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</si>
  <si>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</si>
  <si>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</si>
  <si>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</si>
  <si>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</si>
  <si>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</si>
  <si>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</si>
  <si>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</si>
  <si>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</si>
  <si>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</si>
  <si>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</si>
  <si>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</si>
  <si>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</si>
  <si>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</si>
  <si>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</si>
  <si>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</si>
  <si>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</si>
  <si>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</si>
  <si>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</si>
  <si>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</si>
  <si>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</si>
  <si>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</si>
  <si>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</si>
  <si>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</si>
  <si>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</si>
  <si>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</si>
  <si>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</si>
  <si>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</si>
  <si>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</si>
  <si>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</si>
  <si>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</si>
  <si>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</si>
  <si>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</si>
  <si>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</si>
  <si>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</si>
  <si>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</si>
  <si>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</si>
  <si>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</si>
  <si>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</si>
  <si>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</si>
  <si>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</si>
  <si>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</si>
  <si>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</si>
  <si>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</si>
  <si>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</si>
  <si>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</si>
  <si>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</si>
  <si>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</si>
  <si>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</si>
  <si>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</si>
  <si>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</si>
  <si>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</si>
  <si>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</si>
  <si>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</si>
  <si>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</si>
  <si>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</si>
  <si>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</si>
  <si>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</si>
  <si>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</si>
  <si>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</si>
  <si>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</si>
  <si>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</si>
  <si>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</si>
  <si>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</si>
  <si>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</si>
  <si>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</si>
  <si>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</si>
  <si>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</si>
  <si>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</si>
  <si>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</si>
  <si>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</si>
  <si>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</si>
  <si>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</si>
  <si>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</si>
  <si>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</si>
  <si>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</si>
  <si>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</si>
  <si>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</si>
  <si>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</si>
  <si>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</si>
  <si>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</si>
  <si>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</si>
  <si>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</si>
  <si>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</si>
  <si>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</si>
  <si>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</si>
  <si>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</si>
  <si>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</si>
  <si>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</si>
  <si>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</si>
  <si>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</si>
  <si>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</si>
  <si>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</si>
  <si>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</si>
  <si>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</si>
  <si>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</si>
  <si>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</si>
  <si>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</si>
  <si>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</si>
  <si>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</si>
  <si>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</si>
  <si>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</si>
  <si>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</si>
  <si>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</si>
  <si>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</si>
  <si>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</si>
  <si>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</si>
  <si>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</si>
  <si>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</si>
  <si>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</si>
  <si>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</si>
  <si>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</si>
  <si>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</si>
  <si>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</si>
  <si>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</si>
  <si>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</si>
  <si>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</si>
  <si>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</si>
  <si>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</si>
  <si>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</si>
  <si>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</si>
  <si>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</si>
  <si>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</si>
  <si>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</si>
  <si>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</si>
  <si>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</si>
  <si>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</si>
  <si>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</si>
  <si>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</si>
  <si>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</si>
  <si>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</si>
  <si>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</si>
  <si>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</si>
  <si>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</si>
  <si>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</si>
  <si>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</si>
  <si>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</si>
  <si>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</si>
  <si>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</si>
  <si>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</si>
  <si>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</si>
  <si>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</si>
  <si>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</si>
  <si>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</si>
  <si>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</si>
  <si>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</si>
  <si>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</si>
  <si>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</si>
  <si>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</si>
  <si>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</si>
  <si>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</si>
  <si>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</si>
  <si>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</si>
  <si>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</si>
  <si>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</si>
  <si>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</si>
  <si>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</si>
  <si>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</si>
  <si>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</si>
  <si>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</si>
  <si>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</si>
  <si>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</si>
  <si>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</si>
  <si>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</si>
  <si>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</si>
  <si>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</si>
  <si>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</si>
  <si>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</si>
  <si>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</si>
  <si>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</si>
  <si>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</si>
  <si>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</si>
  <si>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</si>
  <si>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</si>
  <si>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</si>
  <si>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</si>
  <si>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</si>
  <si>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</si>
  <si>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</si>
  <si>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</si>
  <si>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</si>
  <si>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</si>
  <si>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</si>
  <si>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</si>
  <si>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</si>
  <si>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</si>
  <si>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</si>
  <si>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</si>
  <si>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</si>
  <si>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</si>
  <si>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</si>
  <si>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</si>
  <si>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</si>
  <si>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</si>
  <si>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</si>
  <si>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</si>
  <si>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</si>
  <si>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</si>
  <si>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</si>
  <si>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</si>
  <si>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</si>
  <si>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</si>
  <si>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</si>
  <si>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</si>
  <si>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</si>
  <si>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</si>
  <si>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</si>
  <si>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</si>
  <si>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</si>
  <si>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</si>
  <si>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</si>
  <si>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</si>
  <si>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</si>
  <si>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</si>
  <si>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</si>
  <si>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</si>
  <si>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</si>
  <si>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</si>
  <si>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</si>
  <si>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</si>
  <si>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</si>
  <si>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</si>
  <si>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</si>
  <si>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</si>
  <si>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</si>
  <si>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</si>
  <si>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</si>
  <si>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</si>
  <si>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</si>
  <si>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</si>
  <si>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</si>
  <si>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</si>
  <si>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</si>
  <si>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</si>
  <si>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</si>
  <si>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</si>
  <si>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</si>
  <si>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</si>
  <si>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</si>
  <si>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</si>
  <si>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</si>
  <si>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</si>
  <si>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</si>
  <si>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</si>
  <si>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</si>
  <si>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</si>
  <si>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</si>
  <si>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</si>
  <si>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</si>
  <si>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</si>
  <si>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</si>
  <si>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</si>
  <si>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</si>
  <si>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</si>
  <si>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</si>
  <si>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</si>
  <si>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</si>
  <si>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</si>
  <si>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</si>
  <si>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</si>
  <si>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</si>
  <si>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</si>
  <si>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</si>
  <si>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</si>
  <si>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</si>
  <si>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</si>
  <si>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</si>
  <si>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</si>
  <si>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</si>
  <si>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</si>
  <si>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</si>
  <si>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</si>
  <si>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</si>
  <si>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</si>
  <si>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</si>
  <si>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</si>
  <si>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</si>
  <si>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</si>
  <si>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</si>
  <si>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</si>
  <si>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</si>
  <si>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</si>
  <si>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</si>
  <si>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</si>
  <si>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</si>
  <si>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</si>
  <si>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</si>
  <si>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</si>
  <si>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</si>
  <si>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</si>
  <si>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</si>
  <si>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</si>
  <si>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</si>
  <si>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</si>
  <si>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</si>
  <si>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</si>
  <si>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</si>
  <si>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</si>
  <si>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</si>
  <si>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</si>
  <si>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</si>
  <si>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</si>
  <si>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</si>
  <si>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</si>
  <si>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</si>
  <si>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</si>
  <si>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</si>
  <si>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</si>
  <si>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</si>
  <si>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</si>
  <si>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</si>
  <si>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</si>
  <si>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</si>
  <si>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</si>
  <si>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</si>
  <si>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</si>
  <si>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</si>
  <si>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</si>
  <si>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</si>
  <si>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</si>
  <si>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</si>
  <si>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</si>
  <si>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</si>
  <si>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</si>
  <si>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</si>
  <si>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</si>
  <si>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</si>
  <si>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</si>
  <si>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</si>
  <si>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</si>
  <si>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</si>
  <si>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</si>
  <si>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</si>
  <si>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</si>
  <si>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</si>
  <si>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</si>
  <si>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</si>
  <si>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</si>
  <si>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</si>
  <si>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</si>
  <si>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</si>
  <si>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</si>
  <si>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</si>
  <si>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</si>
  <si>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</si>
  <si>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</si>
  <si>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</si>
  <si>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</si>
  <si>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</si>
  <si>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</si>
  <si>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</si>
  <si>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</si>
  <si>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</si>
  <si>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</si>
  <si>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</si>
  <si>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</si>
  <si>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</si>
  <si>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</si>
  <si>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</si>
  <si>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</si>
  <si>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</si>
  <si>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</si>
  <si>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</si>
  <si>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</si>
  <si>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</si>
  <si>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</si>
  <si>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</si>
  <si>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</si>
  <si>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</si>
  <si>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</si>
  <si>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</si>
  <si>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</si>
  <si>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</si>
  <si>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</si>
  <si>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</si>
  <si>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</si>
  <si>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</si>
  <si>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</si>
  <si>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</si>
  <si>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</si>
  <si>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</si>
  <si>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</si>
  <si>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</si>
  <si>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</si>
  <si>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</si>
  <si>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</si>
  <si>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</si>
  <si>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</si>
  <si>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</si>
  <si>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</si>
  <si>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</si>
  <si>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</si>
  <si>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</si>
  <si>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</si>
  <si>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</si>
  <si>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</si>
  <si>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</si>
  <si>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</si>
  <si>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</si>
  <si>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</si>
  <si>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</si>
  <si>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</si>
  <si>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</si>
  <si>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</si>
  <si>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</si>
  <si>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</si>
  <si>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</si>
  <si>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</si>
  <si>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</si>
  <si>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</si>
  <si>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</si>
  <si>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</si>
  <si>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</si>
  <si>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</si>
  <si>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</si>
  <si>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</si>
  <si>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</si>
  <si>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</si>
  <si>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</si>
  <si>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</si>
  <si>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</si>
  <si>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</si>
  <si>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</si>
  <si>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</si>
  <si>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</si>
  <si>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</si>
  <si>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</si>
  <si>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</si>
  <si>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</si>
  <si>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</si>
  <si>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</si>
  <si>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</si>
  <si>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</si>
  <si>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</si>
  <si>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</si>
  <si>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</si>
  <si>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</si>
  <si>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</si>
  <si>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</si>
  <si>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</si>
  <si>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</si>
  <si>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</si>
  <si>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</si>
  <si>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</si>
  <si>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</si>
  <si>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</si>
  <si>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</si>
  <si>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</si>
  <si>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</si>
  <si>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</si>
  <si>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</si>
  <si>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</si>
  <si>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</si>
  <si>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</si>
  <si>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</si>
  <si>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</si>
  <si>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</si>
  <si>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</si>
  <si>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</si>
  <si>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</si>
  <si>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</si>
  <si>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</si>
  <si>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</si>
  <si>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</si>
  <si>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</si>
  <si>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</si>
  <si>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</si>
  <si>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</si>
  <si>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</si>
  <si>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</si>
  <si>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</si>
  <si>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</si>
  <si>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</si>
  <si>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</si>
  <si>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</si>
  <si>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</si>
  <si>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</si>
  <si>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</si>
  <si>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</si>
  <si>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</si>
  <si>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</si>
  <si>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</si>
  <si>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</si>
  <si>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</si>
  <si>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</si>
  <si>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</si>
  <si>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</si>
  <si>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</si>
  <si>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</si>
  <si>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</si>
  <si>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</si>
  <si>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</si>
  <si>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</si>
  <si>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</si>
  <si>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</si>
  <si>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</si>
  <si>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</si>
  <si>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</si>
  <si>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</si>
  <si>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</si>
  <si>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</si>
  <si>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</si>
  <si>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</si>
  <si>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</si>
  <si>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</si>
  <si>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</si>
  <si>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</si>
  <si>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</si>
  <si>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</si>
  <si>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</si>
  <si>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</si>
  <si>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</si>
  <si>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</si>
  <si>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</si>
  <si>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</si>
  <si>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</si>
  <si>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</si>
  <si>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</si>
  <si>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</si>
  <si>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</si>
  <si>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</si>
  <si>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</si>
  <si>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</si>
  <si>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</si>
  <si>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</si>
  <si>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</si>
  <si>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</si>
  <si>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</si>
  <si>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</si>
  <si>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</si>
  <si>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</si>
  <si>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</si>
  <si>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</si>
  <si>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</si>
  <si>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</si>
  <si>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</si>
  <si>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</si>
  <si>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</si>
  <si>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</si>
  <si>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</si>
  <si>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</si>
  <si>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</si>
  <si>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</si>
  <si>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</si>
  <si>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</si>
  <si>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</si>
  <si>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</si>
  <si>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</si>
  <si>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</si>
  <si>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</si>
  <si>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</si>
  <si>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</si>
  <si>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</si>
  <si>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</si>
  <si>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</si>
  <si>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</si>
  <si>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</si>
  <si>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</si>
  <si>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</si>
  <si>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</si>
  <si>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</si>
  <si>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</si>
  <si>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</si>
  <si>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</si>
  <si>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</si>
  <si>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</si>
  <si>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</si>
  <si>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</si>
  <si>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</si>
  <si>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</si>
  <si>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</si>
  <si>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</si>
  <si>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</si>
  <si>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</si>
  <si>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</si>
  <si>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</si>
  <si>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</si>
  <si>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</si>
  <si>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</si>
  <si>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</si>
  <si>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</si>
  <si>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</si>
  <si>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</si>
  <si>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</si>
  <si>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</si>
  <si>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</si>
  <si>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</si>
  <si>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</si>
  <si>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</si>
  <si>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</si>
  <si>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</si>
  <si>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</si>
  <si>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</si>
  <si>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</si>
  <si>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</si>
  <si>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</si>
  <si>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</si>
  <si>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</si>
  <si>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</si>
  <si>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</si>
  <si>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</si>
  <si>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</si>
  <si>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</si>
  <si>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</si>
  <si>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</si>
  <si>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</si>
  <si>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</si>
  <si>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</si>
  <si>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</si>
  <si>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</si>
  <si>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</si>
  <si>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</si>
  <si>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</si>
  <si>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</si>
  <si>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</si>
  <si>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</si>
  <si>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</si>
  <si>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</si>
  <si>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</si>
  <si>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</si>
  <si>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</si>
  <si>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</si>
  <si>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</si>
  <si>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</si>
  <si>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</si>
  <si>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</si>
  <si>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</si>
  <si>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</si>
  <si>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</si>
  <si>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</si>
  <si>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</si>
  <si>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</si>
  <si>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</si>
  <si>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</si>
  <si>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</si>
  <si>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</si>
  <si>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</si>
  <si>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</si>
  <si>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</si>
  <si>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</si>
  <si>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</si>
  <si>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</si>
  <si>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</si>
  <si>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</si>
  <si>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</si>
  <si>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</si>
  <si>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</si>
  <si>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</si>
  <si>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</si>
  <si>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</si>
  <si>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</si>
  <si>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</si>
  <si>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</si>
  <si>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</si>
  <si>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</si>
  <si>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</si>
  <si>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</si>
  <si>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</si>
  <si>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</si>
  <si>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</si>
  <si>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</si>
  <si>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</si>
  <si>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</si>
  <si>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</si>
  <si>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</si>
  <si>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</si>
  <si>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</si>
  <si>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</si>
  <si>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</si>
  <si>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</si>
  <si>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</si>
  <si>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</si>
  <si>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</si>
  <si>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</si>
  <si>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</si>
  <si>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</si>
  <si>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</si>
  <si>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</si>
  <si>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</si>
  <si>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</si>
  <si>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</si>
  <si>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</si>
  <si>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</si>
  <si>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</si>
  <si>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</si>
  <si>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</si>
  <si>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</si>
  <si>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</si>
  <si>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</si>
  <si>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</si>
  <si>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</si>
  <si>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</si>
  <si>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</si>
  <si>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</si>
  <si>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</si>
  <si>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</si>
  <si>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</si>
  <si>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</si>
  <si>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</si>
  <si>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</si>
  <si>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</si>
  <si>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</si>
  <si>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</si>
  <si>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</si>
  <si>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</si>
  <si>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</si>
  <si>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</si>
  <si>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</si>
  <si>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</si>
  <si>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</si>
  <si>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</si>
  <si>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</si>
  <si>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</si>
  <si>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</si>
  <si>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</si>
  <si>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</si>
  <si>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</si>
  <si>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</si>
  <si>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</si>
  <si>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</si>
  <si>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</si>
  <si>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</si>
  <si>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</si>
  <si>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</si>
  <si>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</si>
  <si>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</si>
  <si>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</si>
  <si>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</si>
  <si>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</si>
  <si>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</si>
  <si>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</si>
  <si>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</si>
  <si>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</si>
  <si>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</si>
  <si>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</si>
  <si>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</si>
  <si>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</si>
  <si>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</si>
  <si>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</si>
  <si>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</si>
  <si>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</si>
  <si>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</si>
  <si>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</si>
  <si>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</si>
  <si>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</si>
  <si>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</si>
  <si>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</si>
  <si>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</si>
  <si>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</si>
  <si>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</si>
  <si>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</si>
  <si>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</si>
  <si>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</si>
  <si>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</si>
  <si>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</si>
  <si>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</si>
  <si>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</si>
  <si>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</si>
  <si>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</si>
  <si>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</si>
  <si>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</si>
  <si>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</si>
  <si>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</si>
  <si>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</si>
  <si>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</si>
  <si>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</si>
  <si>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</si>
  <si>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</si>
  <si>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</si>
  <si>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</si>
  <si>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</si>
  <si>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</si>
  <si>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</si>
  <si>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</si>
  <si>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</si>
  <si>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</si>
  <si>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</si>
  <si>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</si>
  <si>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</si>
  <si>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</si>
  <si>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</si>
  <si>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</si>
  <si>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</si>
  <si>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</si>
  <si>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</si>
  <si>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</si>
  <si>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</si>
  <si>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</si>
  <si>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</si>
  <si>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</si>
  <si>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</si>
  <si>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</si>
  <si>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</si>
  <si>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</si>
  <si>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</si>
  <si>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</si>
  <si>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</si>
  <si>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</si>
  <si>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</si>
  <si>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</si>
  <si>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</si>
  <si>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</si>
  <si>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</si>
  <si>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</si>
  <si>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</si>
  <si>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</si>
  <si>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</si>
  <si>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</si>
  <si>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</si>
  <si>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</si>
  <si>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</si>
  <si>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</si>
  <si>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</si>
  <si>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</si>
  <si>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</si>
  <si>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</si>
  <si>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</si>
  <si>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</si>
  <si>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</si>
  <si>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</si>
  <si>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</si>
  <si>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</si>
  <si>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</si>
  <si>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</si>
  <si>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</si>
  <si>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</si>
  <si>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</si>
  <si>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</si>
  <si>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</si>
  <si>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</si>
  <si>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</si>
  <si>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</si>
  <si>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</si>
  <si>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</si>
  <si>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</si>
  <si>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</si>
  <si>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</si>
  <si>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</si>
  <si>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</si>
  <si>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</si>
  <si>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</si>
  <si>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</si>
  <si>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</si>
  <si>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</si>
  <si>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</si>
  <si>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</si>
  <si>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</si>
  <si>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</si>
  <si>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</si>
  <si>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</si>
  <si>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</si>
  <si>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</si>
  <si>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</si>
  <si>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</si>
  <si>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</si>
  <si>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</si>
  <si>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</si>
  <si>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</si>
  <si>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</si>
  <si>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</si>
  <si>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</si>
  <si>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</si>
  <si>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</si>
  <si>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</si>
  <si>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</si>
  <si>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</si>
  <si>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</si>
  <si>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</si>
  <si>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</si>
  <si>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</si>
  <si>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</si>
  <si>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</si>
  <si>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</si>
  <si>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</si>
  <si>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</si>
  <si>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</si>
  <si>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</si>
  <si>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</si>
  <si>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</si>
  <si>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</si>
  <si>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</si>
  <si>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</si>
  <si>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</si>
  <si>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</si>
  <si>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</si>
  <si>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</si>
  <si>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</si>
  <si>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</si>
  <si>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</si>
  <si>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</si>
  <si>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</si>
  <si>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</si>
  <si>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</si>
  <si>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</si>
  <si>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</si>
  <si>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</si>
  <si>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</si>
  <si>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</si>
  <si>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</si>
  <si>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</si>
  <si>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</si>
  <si>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</si>
  <si>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</si>
  <si>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</si>
  <si>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</si>
  <si>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</si>
  <si>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</si>
  <si>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</si>
  <si>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</si>
  <si>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</si>
  <si>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</si>
  <si>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</si>
  <si>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</si>
  <si>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</si>
  <si>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</si>
  <si>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</si>
  <si>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</si>
  <si>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</si>
  <si>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</si>
  <si>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</si>
  <si>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</si>
  <si>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</si>
  <si>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</si>
  <si>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</si>
  <si>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</si>
  <si>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</si>
  <si>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</si>
  <si>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</si>
  <si>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</si>
  <si>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</si>
  <si>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</si>
  <si>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</si>
  <si>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</si>
  <si>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</si>
  <si>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</si>
  <si>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</si>
  <si>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</si>
  <si>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</si>
  <si>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</si>
  <si>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</si>
  <si>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</si>
  <si>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</si>
  <si>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</si>
  <si>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</si>
  <si>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</si>
  <si>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</si>
  <si>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</si>
  <si>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</si>
  <si>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</si>
  <si>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</si>
  <si>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</si>
  <si>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</si>
  <si>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</si>
  <si>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</si>
  <si>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</si>
  <si>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</si>
  <si>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</si>
  <si>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</si>
  <si>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</si>
  <si>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</si>
  <si>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</si>
  <si>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</si>
  <si>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</si>
  <si>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</si>
  <si>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</si>
  <si>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</si>
  <si>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</si>
  <si>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</si>
  <si>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</si>
  <si>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</si>
  <si>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</si>
  <si>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</si>
  <si>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</si>
  <si>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</si>
  <si>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</si>
  <si>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</si>
  <si>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</si>
  <si>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</si>
  <si>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</si>
  <si>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</si>
  <si>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</si>
  <si>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</si>
  <si>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</si>
  <si>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</si>
  <si>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</si>
  <si>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</si>
  <si>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</si>
  <si>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</si>
  <si>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</si>
  <si>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</si>
  <si>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</si>
  <si>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</si>
  <si>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</si>
  <si>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</si>
  <si>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</si>
  <si>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</si>
  <si>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</si>
  <si>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</si>
  <si>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</si>
  <si>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</si>
  <si>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</si>
  <si>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</si>
  <si>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</si>
  <si>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</si>
  <si>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</si>
  <si>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</si>
  <si>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</si>
  <si>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</si>
  <si>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</si>
  <si>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</si>
  <si>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</si>
  <si>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</si>
  <si>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</si>
  <si>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</si>
  <si>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</si>
  <si>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</si>
  <si>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</si>
  <si>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</si>
  <si>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</si>
  <si>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</si>
  <si>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</si>
  <si>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</si>
  <si>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</si>
  <si>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</si>
  <si>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</si>
  <si>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</si>
  <si>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</si>
  <si>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</si>
  <si>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</si>
  <si>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</si>
  <si>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</si>
  <si>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</si>
  <si>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</si>
  <si>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</si>
  <si>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</si>
  <si>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</si>
  <si>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</si>
  <si>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</si>
  <si>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</si>
  <si>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</si>
  <si>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</si>
  <si>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</si>
  <si>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</si>
  <si>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</si>
  <si>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</si>
  <si>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</si>
  <si>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</si>
  <si>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</si>
  <si>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</si>
  <si>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</si>
  <si>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</si>
  <si>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</si>
  <si>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</si>
  <si>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</si>
  <si>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</si>
  <si>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</si>
  <si>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</si>
  <si>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</si>
  <si>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</si>
  <si>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</si>
  <si>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</si>
  <si>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</si>
  <si>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</si>
  <si>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</si>
  <si>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</si>
  <si>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</si>
  <si>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</si>
  <si>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</si>
  <si>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</si>
  <si>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</si>
  <si>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</si>
  <si>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</si>
  <si>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</si>
  <si>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</si>
  <si>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</si>
  <si>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</si>
  <si>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</si>
  <si>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</si>
  <si>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</si>
  <si>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</si>
  <si>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</si>
  <si>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</si>
  <si>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</si>
  <si>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</si>
  <si>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</si>
  <si>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</si>
  <si>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</si>
  <si>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</si>
  <si>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</si>
  <si>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</si>
  <si>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</si>
  <si>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</si>
  <si>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</si>
  <si>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</si>
  <si>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</si>
  <si>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</si>
  <si>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</si>
  <si>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</si>
  <si>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</si>
  <si>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</si>
  <si>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</si>
  <si>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</si>
  <si>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</si>
  <si>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</si>
  <si>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</si>
  <si>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</si>
  <si>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</si>
  <si>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</si>
  <si>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</si>
  <si>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</si>
  <si>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</si>
  <si>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</si>
  <si>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</si>
  <si>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</si>
  <si>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</si>
  <si>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</si>
  <si>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</si>
  <si>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</si>
  <si>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</si>
  <si>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</si>
  <si>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</si>
  <si>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</si>
  <si>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</si>
  <si>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</si>
  <si>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</si>
  <si>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</si>
  <si>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</si>
  <si>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</si>
  <si>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</si>
  <si>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</si>
  <si>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</si>
  <si>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</si>
  <si>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</si>
  <si>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</si>
  <si>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</si>
  <si>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</si>
  <si>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</si>
  <si>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</si>
  <si>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</si>
  <si>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</si>
  <si>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</si>
  <si>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</si>
  <si>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</si>
  <si>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</si>
  <si>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</si>
  <si>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</si>
  <si>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</si>
  <si>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</si>
  <si>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</si>
  <si>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</si>
  <si>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</si>
  <si>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</si>
  <si>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</si>
  <si>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</si>
  <si>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</si>
  <si>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</si>
  <si>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</si>
  <si>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</si>
  <si>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</si>
  <si>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</si>
  <si>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</si>
  <si>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</si>
  <si>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</si>
  <si>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</si>
  <si>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</si>
  <si>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</si>
  <si>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</si>
  <si>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</si>
  <si>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</si>
  <si>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</si>
  <si>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</si>
  <si>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</si>
  <si>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</si>
  <si>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</si>
  <si>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</si>
  <si>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</si>
  <si>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</si>
  <si>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</si>
  <si>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</si>
  <si>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</si>
  <si>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</si>
  <si>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</si>
  <si>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</si>
  <si>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</si>
  <si>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</si>
  <si>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</si>
  <si>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</si>
  <si>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</si>
  <si>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</si>
  <si>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</si>
  <si>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</si>
  <si>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</si>
  <si>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</si>
  <si>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</si>
  <si>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</si>
  <si>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</si>
  <si>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</si>
  <si>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</si>
  <si>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</si>
  <si>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</si>
  <si>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</si>
  <si>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</si>
  <si>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</si>
  <si>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</si>
  <si>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</si>
  <si>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</si>
  <si>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</si>
  <si>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</si>
  <si>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</si>
  <si>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</si>
  <si>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</si>
  <si>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</si>
  <si>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</si>
  <si>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</si>
  <si>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</si>
  <si>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</si>
  <si>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</si>
  <si>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</si>
  <si>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</si>
  <si>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</si>
  <si>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</si>
  <si>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</si>
  <si>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</si>
  <si>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</si>
  <si>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</si>
  <si>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</si>
  <si>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</si>
  <si>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</si>
  <si>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</si>
  <si>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</si>
  <si>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</si>
  <si>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</si>
  <si>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</si>
  <si>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</si>
  <si>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</si>
  <si>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</si>
  <si>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</si>
  <si>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</si>
  <si>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</si>
  <si>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</si>
  <si>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</si>
  <si>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</si>
  <si>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</si>
  <si>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</si>
  <si>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</si>
  <si>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</si>
  <si>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</si>
  <si>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</si>
  <si>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</si>
  <si>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</si>
  <si>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</si>
  <si>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</si>
  <si>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</si>
  <si>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</si>
  <si>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</si>
  <si>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</si>
  <si>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</si>
  <si>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</si>
  <si>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</si>
  <si>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</si>
  <si>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</si>
  <si>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</si>
  <si>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</si>
  <si>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</si>
  <si>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</si>
  <si>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</si>
  <si>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</si>
  <si>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</si>
  <si>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</si>
  <si>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</si>
  <si>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</si>
  <si>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</si>
  <si>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</si>
  <si>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</si>
  <si>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</si>
  <si>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</si>
  <si>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</si>
  <si>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</si>
  <si>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</si>
  <si>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</si>
  <si>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</si>
  <si>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</si>
  <si>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</si>
  <si>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</si>
  <si>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</si>
  <si>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</si>
  <si>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</si>
  <si>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</si>
  <si>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</si>
  <si>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</si>
  <si>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</si>
  <si>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</si>
  <si>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</si>
  <si>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</si>
  <si>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</si>
  <si>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</si>
  <si>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</si>
  <si>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</si>
  <si>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</si>
  <si>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</si>
  <si>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</si>
  <si>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</si>
  <si>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</si>
  <si>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</si>
  <si>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</si>
  <si>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</si>
  <si>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</si>
  <si>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</si>
  <si>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</si>
  <si>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</si>
  <si>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</si>
  <si>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</si>
  <si>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</si>
  <si>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</si>
  <si>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</si>
  <si>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</si>
  <si>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</si>
  <si>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</si>
  <si>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</si>
  <si>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</si>
  <si>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</si>
  <si>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</si>
  <si>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</si>
  <si>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</si>
  <si>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</si>
  <si>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</si>
  <si>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</si>
  <si>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</si>
  <si>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</si>
  <si>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</si>
  <si>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</si>
  <si>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</si>
  <si>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</si>
  <si>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</si>
  <si>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</si>
  <si>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</si>
  <si>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</si>
  <si>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</si>
  <si>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</si>
  <si>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</si>
  <si>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</si>
  <si>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</si>
  <si>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</si>
  <si>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</si>
  <si>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</si>
  <si>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</si>
  <si>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</si>
  <si>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</si>
  <si>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</si>
  <si>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</si>
  <si>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</si>
  <si>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</si>
  <si>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</si>
  <si>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</si>
  <si>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</si>
  <si>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</si>
  <si>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</si>
  <si>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</si>
  <si>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</si>
  <si>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</si>
  <si>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</si>
  <si>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</si>
  <si>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</si>
  <si>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</si>
  <si>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</si>
  <si>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</si>
  <si>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</si>
  <si>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</si>
  <si>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</si>
  <si>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</si>
  <si>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</si>
  <si>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</si>
  <si>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</si>
  <si>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</si>
  <si>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</si>
  <si>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</si>
  <si>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</si>
  <si>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</si>
  <si>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</si>
  <si>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</si>
  <si>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</si>
  <si>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</si>
  <si>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</si>
  <si>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</si>
  <si>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</si>
  <si>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</si>
  <si>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</si>
  <si>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</si>
  <si>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</si>
  <si>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</si>
  <si>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</si>
  <si>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</si>
  <si>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</si>
  <si>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</si>
  <si>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</si>
  <si>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</si>
  <si>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</si>
  <si>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</si>
  <si>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</si>
  <si>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</si>
  <si>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</si>
  <si>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</si>
  <si>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</si>
  <si>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</si>
  <si>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</si>
  <si>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</si>
  <si>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</si>
  <si>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</si>
  <si>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</si>
  <si>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</si>
  <si>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</si>
  <si>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</si>
  <si>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</si>
  <si>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</si>
  <si>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</si>
  <si>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</si>
  <si>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</si>
  <si>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</si>
  <si>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</si>
  <si>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</si>
  <si>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</si>
  <si>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</si>
  <si>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</si>
  <si>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</si>
  <si>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</si>
  <si>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</si>
  <si>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</si>
  <si>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</si>
  <si>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</si>
  <si>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</si>
  <si>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</si>
  <si>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</si>
  <si>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</si>
  <si>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</si>
  <si>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</si>
  <si>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</si>
  <si>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</si>
  <si>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</si>
  <si>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</si>
  <si>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</si>
  <si>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</si>
  <si>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</si>
  <si>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</si>
  <si>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</si>
  <si>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</si>
  <si>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</si>
  <si>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</si>
  <si>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</si>
  <si>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</si>
  <si>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</si>
  <si>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</si>
  <si>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</si>
  <si>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</si>
  <si>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</si>
  <si>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</si>
  <si>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</si>
  <si>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</si>
  <si>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</si>
  <si>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</si>
  <si>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</si>
  <si>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</si>
  <si>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</si>
  <si>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</si>
  <si>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</si>
  <si>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</si>
  <si>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</si>
  <si>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</si>
  <si>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</si>
  <si>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</si>
  <si>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</si>
  <si>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</si>
  <si>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</si>
  <si>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</si>
  <si>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</si>
  <si>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</si>
  <si>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</si>
  <si>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</si>
  <si>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</si>
  <si>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</si>
  <si>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</si>
  <si>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</si>
  <si>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</si>
  <si>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</si>
  <si>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</si>
  <si>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</si>
  <si>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</si>
  <si>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</si>
  <si>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</si>
  <si>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</si>
  <si>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</si>
  <si>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</si>
  <si>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</si>
  <si>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</si>
  <si>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</si>
  <si>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</si>
  <si>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</si>
  <si>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</si>
  <si>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</si>
  <si>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</si>
  <si>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</si>
  <si>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</si>
  <si>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</si>
  <si>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</si>
  <si>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</si>
  <si>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</si>
  <si>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</si>
  <si>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</si>
  <si>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</si>
  <si>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</si>
  <si>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</si>
  <si>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</si>
  <si>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</si>
  <si>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</si>
  <si>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</si>
  <si>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</si>
  <si>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</si>
  <si>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</si>
  <si>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</si>
  <si>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</si>
  <si>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</si>
  <si>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</si>
  <si>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</si>
  <si>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</si>
  <si>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</si>
  <si>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</si>
  <si>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</si>
  <si>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</si>
  <si>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</si>
  <si>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</si>
  <si>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</si>
  <si>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</si>
  <si>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</si>
  <si>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</si>
  <si>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</si>
  <si>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</si>
  <si>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</si>
  <si>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</si>
  <si>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</si>
  <si>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</si>
  <si>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</si>
  <si>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</si>
  <si>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</si>
  <si>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</si>
  <si>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</si>
  <si>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</si>
  <si>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</si>
  <si>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</si>
  <si>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</si>
  <si>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</si>
  <si>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</si>
  <si>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</si>
  <si>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</si>
  <si>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</si>
  <si>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</si>
  <si>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</si>
  <si>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</si>
  <si>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</si>
  <si>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</si>
  <si>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</si>
  <si>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</si>
  <si>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</si>
  <si>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</si>
  <si>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</si>
  <si>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</si>
  <si>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</si>
  <si>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</si>
  <si>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</si>
  <si>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</si>
  <si>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</si>
  <si>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</si>
  <si>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</si>
  <si>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</si>
  <si>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</si>
  <si>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</si>
  <si>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</si>
  <si>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</si>
  <si>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</si>
  <si>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</si>
  <si>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</si>
  <si>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</si>
  <si>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</si>
  <si>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</si>
  <si>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</si>
  <si>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</si>
  <si>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</si>
  <si>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</si>
  <si>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</si>
  <si>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</si>
  <si>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</si>
  <si>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</si>
  <si>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</si>
  <si>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</si>
  <si>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</si>
  <si>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</si>
  <si>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</si>
  <si>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</si>
  <si>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</si>
  <si>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</si>
  <si>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</si>
  <si>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</si>
  <si>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</si>
  <si>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</si>
  <si>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</si>
  <si>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</si>
  <si>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</si>
  <si>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</si>
  <si>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</si>
  <si>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</si>
  <si>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</si>
  <si>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</si>
  <si>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</si>
  <si>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</si>
  <si>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</si>
  <si>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</si>
  <si>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</si>
  <si>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</si>
  <si>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</si>
  <si>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</si>
  <si>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</si>
  <si>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</si>
  <si>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</si>
  <si>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</si>
  <si>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</si>
  <si>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</si>
  <si>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</si>
  <si>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</si>
  <si>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</si>
  <si>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</si>
  <si>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</si>
  <si>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</si>
  <si>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</si>
  <si>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</si>
  <si>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</si>
  <si>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</si>
  <si>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</si>
  <si>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</si>
  <si>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</si>
  <si>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</si>
  <si>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</si>
  <si>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</si>
  <si>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</si>
  <si>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</si>
  <si>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</si>
  <si>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</si>
  <si>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</si>
  <si>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</si>
  <si>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</si>
  <si>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</si>
  <si>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</si>
  <si>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</si>
  <si>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</si>
  <si>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</si>
  <si>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</si>
  <si>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</si>
  <si>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</si>
  <si>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</si>
  <si>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</si>
  <si>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</si>
  <si>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</si>
  <si>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</si>
  <si>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</si>
  <si>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</si>
  <si>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</si>
  <si>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</si>
  <si>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</si>
  <si>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</si>
  <si>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</si>
  <si>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</si>
  <si>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</si>
  <si>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</si>
  <si>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</si>
  <si>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</si>
  <si>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</si>
  <si>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</si>
  <si>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</si>
  <si>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</si>
  <si>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</si>
  <si>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</si>
  <si>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</si>
  <si>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</si>
  <si>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</si>
  <si>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</si>
  <si>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</si>
  <si>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</si>
  <si>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</si>
  <si>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</si>
  <si>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</si>
  <si>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</si>
  <si>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</si>
  <si>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</si>
  <si>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</si>
  <si>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</si>
  <si>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</si>
  <si>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</si>
  <si>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</si>
  <si>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</si>
  <si>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</si>
  <si>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</si>
  <si>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</si>
  <si>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</si>
  <si>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</si>
  <si>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</si>
  <si>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</si>
  <si>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</si>
  <si>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</si>
  <si>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</si>
  <si>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</si>
  <si>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</si>
  <si>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</si>
  <si>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</si>
  <si>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</si>
  <si>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</si>
  <si>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</si>
  <si>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</si>
  <si>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</si>
  <si>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</si>
  <si>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</si>
  <si>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</si>
  <si>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</si>
  <si>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</si>
  <si>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</si>
  <si>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</si>
  <si>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</si>
  <si>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</si>
  <si>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</si>
  <si>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</si>
  <si>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</si>
  <si>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</si>
  <si>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</si>
  <si>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</si>
  <si>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</si>
  <si>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</si>
  <si>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</si>
  <si>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</si>
  <si>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</si>
  <si>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</si>
  <si>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</si>
  <si>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</si>
  <si>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</si>
  <si>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</si>
  <si>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</si>
  <si>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</si>
  <si>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</si>
  <si>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</si>
  <si>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</si>
  <si>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</si>
  <si>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</si>
  <si>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</si>
  <si>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</si>
  <si>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</si>
  <si>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</si>
  <si>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</si>
  <si>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</si>
  <si>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</si>
  <si>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</si>
  <si>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</si>
  <si>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</si>
  <si>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</si>
  <si>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</si>
  <si>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</si>
  <si>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</si>
  <si>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</si>
  <si>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</si>
  <si>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</si>
  <si>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</si>
  <si>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</si>
  <si>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</si>
  <si>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</si>
  <si>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</si>
  <si>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</si>
  <si>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</si>
  <si>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</si>
  <si>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</si>
  <si>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</si>
  <si>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</si>
  <si>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</si>
  <si>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</si>
  <si>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</si>
  <si>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</si>
  <si>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</si>
  <si>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</si>
  <si>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</si>
  <si>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</si>
  <si>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</si>
  <si>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</si>
  <si>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</si>
  <si>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</si>
  <si>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</si>
  <si>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</si>
  <si>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</si>
  <si>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</si>
  <si>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</si>
  <si>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</si>
  <si>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</si>
  <si>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</si>
  <si>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</si>
  <si>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</si>
  <si>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</si>
  <si>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</si>
  <si>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</si>
  <si>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</si>
  <si>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</si>
  <si>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</si>
  <si>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</si>
  <si>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</si>
  <si>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</si>
  <si>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</si>
  <si>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</si>
  <si>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</si>
  <si>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</si>
  <si>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</si>
  <si>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</si>
  <si>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</si>
  <si>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</si>
  <si>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</si>
  <si>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</si>
  <si>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</si>
  <si>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</si>
  <si>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</si>
  <si>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</si>
  <si>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</si>
  <si>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</si>
  <si>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</si>
  <si>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</si>
  <si>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</si>
  <si>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</si>
  <si>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</si>
  <si>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</si>
  <si>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</si>
  <si>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</si>
  <si>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</si>
  <si>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</si>
  <si>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</si>
  <si>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</si>
  <si>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</si>
  <si>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</si>
  <si>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</si>
  <si>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</si>
  <si>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</si>
  <si>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</si>
  <si>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</si>
  <si>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</si>
  <si>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</si>
  <si>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</si>
  <si>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</si>
  <si>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</si>
  <si>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</si>
  <si>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</si>
  <si>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</si>
  <si>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</si>
  <si>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</si>
  <si>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</si>
  <si>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</si>
  <si>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</si>
  <si>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</si>
  <si>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</si>
  <si>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</si>
  <si>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</si>
  <si>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</si>
  <si>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</si>
  <si>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</si>
  <si>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</si>
  <si>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</si>
  <si>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</si>
  <si>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</si>
  <si>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</si>
  <si>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</si>
  <si>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</si>
  <si>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</si>
  <si>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</si>
  <si>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</si>
  <si>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</si>
  <si>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</si>
  <si>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</si>
  <si>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</si>
  <si>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</si>
  <si>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</si>
  <si>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</si>
  <si>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</si>
  <si>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</si>
  <si>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</si>
  <si>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</si>
  <si>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</si>
  <si>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</si>
  <si>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</si>
  <si>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</si>
  <si>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</si>
  <si>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</si>
  <si>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</si>
  <si>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</si>
  <si>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</si>
  <si>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</si>
  <si>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</si>
  <si>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</si>
  <si>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</si>
  <si>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</si>
  <si>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</si>
  <si>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</si>
  <si>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</si>
  <si>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</si>
  <si>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</si>
  <si>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</si>
  <si>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</si>
  <si>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</si>
  <si>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</si>
  <si>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</si>
  <si>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</si>
  <si>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</si>
  <si>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</si>
  <si>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</si>
  <si>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</si>
  <si>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</si>
  <si>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</si>
  <si>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</si>
  <si>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</si>
  <si>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</si>
  <si>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</si>
  <si>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</si>
  <si>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</si>
  <si>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</si>
  <si>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</si>
  <si>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</si>
  <si>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</si>
  <si>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</si>
  <si>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</si>
  <si>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</si>
  <si>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</si>
  <si>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</si>
  <si>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</si>
  <si>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</si>
  <si>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</si>
  <si>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</si>
  <si>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</si>
  <si>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</si>
  <si>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</si>
  <si>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</si>
  <si>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</si>
  <si>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</si>
  <si>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</si>
  <si>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</si>
  <si>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</si>
  <si>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</si>
  <si>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</si>
  <si>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</si>
  <si>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</si>
  <si>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</si>
  <si>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</si>
  <si>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</si>
  <si>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</si>
  <si>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</si>
  <si>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</si>
  <si>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</si>
  <si>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</si>
  <si>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</si>
  <si>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</si>
  <si>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</si>
  <si>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</si>
  <si>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</si>
  <si>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</si>
  <si>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</si>
  <si>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</si>
  <si>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</si>
  <si>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</si>
  <si>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</si>
  <si>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</si>
  <si>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</si>
  <si>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</si>
  <si>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</si>
  <si>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</si>
  <si>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</si>
  <si>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</si>
  <si>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</si>
  <si>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</si>
  <si>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</si>
  <si>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</si>
  <si>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</si>
  <si>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</si>
  <si>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</si>
  <si>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</si>
  <si>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</si>
  <si>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</si>
  <si>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</si>
  <si>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</si>
  <si>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</si>
  <si>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</si>
  <si>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</si>
  <si>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</si>
  <si>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</si>
  <si>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</si>
  <si>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</si>
  <si>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</si>
  <si>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</si>
  <si>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</si>
  <si>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</si>
  <si>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</si>
  <si>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</si>
  <si>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</si>
  <si>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</si>
  <si>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</si>
  <si>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</si>
  <si>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</si>
  <si>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</si>
  <si>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</si>
  <si>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</si>
  <si>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</si>
  <si>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</si>
  <si>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</si>
  <si>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</si>
  <si>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</si>
  <si>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</si>
  <si>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</si>
  <si>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</si>
  <si>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</si>
  <si>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</si>
  <si>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</si>
  <si>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</si>
  <si>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</si>
  <si>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</si>
  <si>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</si>
  <si>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</si>
  <si>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</si>
  <si>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</si>
  <si>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</si>
  <si>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</si>
  <si>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</si>
  <si>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</si>
  <si>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</si>
  <si>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</si>
  <si>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</si>
  <si>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</si>
  <si>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</si>
  <si>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</si>
  <si>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</si>
  <si>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</si>
  <si>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</si>
  <si>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</si>
  <si>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</si>
  <si>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</si>
  <si>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</si>
  <si>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</si>
  <si>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</si>
  <si>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</si>
  <si>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</si>
  <si>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</si>
  <si>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</si>
  <si>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</si>
  <si>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</si>
  <si>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</si>
  <si>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</si>
  <si>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</si>
  <si>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</si>
  <si>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</si>
  <si>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</si>
  <si>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</si>
  <si>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</si>
  <si>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</si>
  <si>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</si>
  <si>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</si>
  <si>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</si>
  <si>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</si>
  <si>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</si>
  <si>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</si>
  <si>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</si>
  <si>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</si>
  <si>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</si>
  <si>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</si>
  <si>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</si>
  <si>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</si>
  <si>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</si>
  <si>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</si>
  <si>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</si>
  <si>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</si>
  <si>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</si>
  <si>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</si>
  <si>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</si>
  <si>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</si>
  <si>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</si>
  <si>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</si>
  <si>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</si>
  <si>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</si>
  <si>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</si>
  <si>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</si>
  <si>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</si>
  <si>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</si>
  <si>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</si>
  <si>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</si>
  <si>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</si>
  <si>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</si>
  <si>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</si>
  <si>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</si>
  <si>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</si>
  <si>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</si>
  <si>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</si>
  <si>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</si>
  <si>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</si>
  <si>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</si>
  <si>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</si>
  <si>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</si>
  <si>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</si>
  <si>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</si>
  <si>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</si>
  <si>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</si>
  <si>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</si>
  <si>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</si>
  <si>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</si>
  <si>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</si>
  <si>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</si>
  <si>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</si>
  <si>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</si>
  <si>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</si>
  <si>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</si>
  <si>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</si>
  <si>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</si>
  <si>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</si>
  <si>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</si>
  <si>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</si>
  <si>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</si>
  <si>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</si>
  <si>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</si>
  <si>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</si>
  <si>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</si>
  <si>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</si>
  <si>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</si>
  <si>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</si>
  <si>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</si>
  <si>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</si>
  <si>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</si>
  <si>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</si>
  <si>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</si>
  <si>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</si>
  <si>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</si>
  <si>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</si>
  <si>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</si>
  <si>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</si>
  <si>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</si>
  <si>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</si>
  <si>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</si>
  <si>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</si>
  <si>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</si>
  <si>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</si>
  <si>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</si>
  <si>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</si>
  <si>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</si>
  <si>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</si>
  <si>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</si>
  <si>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</si>
  <si>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</si>
  <si>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</si>
  <si>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</si>
  <si>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</si>
  <si>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</si>
  <si>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</si>
  <si>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</si>
  <si>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</si>
  <si>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</si>
  <si>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</si>
  <si>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</si>
  <si>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</si>
  <si>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</si>
  <si>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</si>
  <si>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</si>
  <si>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</si>
  <si>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</si>
  <si>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</si>
  <si>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</si>
  <si>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</si>
  <si>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</si>
  <si>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</si>
  <si>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</si>
  <si>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</si>
  <si>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</si>
  <si>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</si>
  <si>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</si>
  <si>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</si>
  <si>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</si>
  <si>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</si>
  <si>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</si>
  <si>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</si>
  <si>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</si>
  <si>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</si>
  <si>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</si>
  <si>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</si>
  <si>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</si>
  <si>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</si>
  <si>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</si>
  <si>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</si>
  <si>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</si>
  <si>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</si>
  <si>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</si>
  <si>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</si>
  <si>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</si>
  <si>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</si>
  <si>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</si>
  <si>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</si>
  <si>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</si>
  <si>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</si>
  <si>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</si>
  <si>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</si>
  <si>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</si>
  <si>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</si>
  <si>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</si>
  <si>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</si>
  <si>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</si>
  <si>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</si>
  <si>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</si>
  <si>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</si>
  <si>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</si>
  <si>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</si>
  <si>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</si>
  <si>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</si>
  <si>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</si>
  <si>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</si>
  <si>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</si>
  <si>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</si>
  <si>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</si>
  <si>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</si>
  <si>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</si>
  <si>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</si>
  <si>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</si>
  <si>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</si>
  <si>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</si>
  <si>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</si>
  <si>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</si>
  <si>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</si>
  <si>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</si>
  <si>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</si>
  <si>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</si>
  <si>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</si>
  <si>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</si>
  <si>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</si>
  <si>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</si>
  <si>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</si>
  <si>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</si>
  <si>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</si>
  <si>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</si>
  <si>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</si>
  <si>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</si>
  <si>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</si>
  <si>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</si>
  <si>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</si>
  <si>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</si>
  <si>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</si>
  <si>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</si>
  <si>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</si>
  <si>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</si>
  <si>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</si>
  <si>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</si>
  <si>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</si>
  <si>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</si>
  <si>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</si>
  <si>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</si>
  <si>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</si>
  <si>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</si>
  <si>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</si>
  <si>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</si>
  <si>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</si>
  <si>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</si>
  <si>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</si>
  <si>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</si>
  <si>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</si>
  <si>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</si>
  <si>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</si>
  <si>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</si>
  <si>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</si>
  <si>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</si>
  <si>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</si>
  <si>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</si>
  <si>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</si>
  <si>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</si>
  <si>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</si>
  <si>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</si>
  <si>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</si>
  <si>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</si>
  <si>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</si>
  <si>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</si>
  <si>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</si>
  <si>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</si>
  <si>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</si>
  <si>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</si>
  <si>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</si>
  <si>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</si>
  <si>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</si>
  <si>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</si>
  <si>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</si>
  <si>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</si>
  <si>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</si>
  <si>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</si>
  <si>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</si>
  <si>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</si>
  <si>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</si>
  <si>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</si>
  <si>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</si>
  <si>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</si>
  <si>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</si>
  <si>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</si>
  <si>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</si>
  <si>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</si>
  <si>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</si>
  <si>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</si>
  <si>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</si>
  <si>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</si>
  <si>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</si>
  <si>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</si>
  <si>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</si>
  <si>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</si>
  <si>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</si>
  <si>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</si>
  <si>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</si>
  <si>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</si>
  <si>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</si>
  <si>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</si>
  <si>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</si>
  <si>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</si>
  <si>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</si>
  <si>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</si>
  <si>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</si>
  <si>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</si>
  <si>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</si>
  <si>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</si>
  <si>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</si>
  <si>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</si>
  <si>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</si>
  <si>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</si>
  <si>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</si>
  <si>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</si>
  <si>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</si>
  <si>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</si>
  <si>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</si>
  <si>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</si>
  <si>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</si>
  <si>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</si>
  <si>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</si>
  <si>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</si>
  <si>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</si>
  <si>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</si>
  <si>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</si>
  <si>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</si>
  <si>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</si>
  <si>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</si>
  <si>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</si>
  <si>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</si>
  <si>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</si>
  <si>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</si>
  <si>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</si>
  <si>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</si>
  <si>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</si>
  <si>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</si>
  <si>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</si>
  <si>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</si>
  <si>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</si>
  <si>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</si>
  <si>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</si>
  <si>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</si>
  <si>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</si>
  <si>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</si>
  <si>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</si>
  <si>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</si>
  <si>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</si>
  <si>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</si>
  <si>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</si>
  <si>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</si>
  <si>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</si>
  <si>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</si>
  <si>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</si>
  <si>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</si>
  <si>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</si>
  <si>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</si>
  <si>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</si>
  <si>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</si>
  <si>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</si>
  <si>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</si>
  <si>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</si>
  <si>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</si>
  <si>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</si>
  <si>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</si>
  <si>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</si>
  <si>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</si>
  <si>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</si>
  <si>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</si>
  <si>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</si>
  <si>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</si>
  <si>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</si>
  <si>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</si>
  <si>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</si>
  <si>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</si>
  <si>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</si>
  <si>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</si>
  <si>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</si>
  <si>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</si>
  <si>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</si>
  <si>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</si>
  <si>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</si>
  <si>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</si>
  <si>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</si>
  <si>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</si>
  <si>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</si>
  <si>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</si>
  <si>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</si>
  <si>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</si>
  <si>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</si>
  <si>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</si>
  <si>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</si>
  <si>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</si>
  <si>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</si>
  <si>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</si>
  <si>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</si>
  <si>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</si>
  <si>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</si>
  <si>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</si>
  <si>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</si>
  <si>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</si>
  <si>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</si>
  <si>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</si>
  <si>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</si>
  <si>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</si>
  <si>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</si>
  <si>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</si>
  <si>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</si>
  <si>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</si>
  <si>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</si>
  <si>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</si>
  <si>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</si>
  <si>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</si>
  <si>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</si>
  <si>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</si>
  <si>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</si>
  <si>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</si>
  <si>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</si>
  <si>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</si>
  <si>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</si>
  <si>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</si>
  <si>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</si>
  <si>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</si>
  <si>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</si>
  <si>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</si>
  <si>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</si>
  <si>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</si>
  <si>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</si>
  <si>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</si>
  <si>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</si>
  <si>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</si>
  <si>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</si>
  <si>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</si>
  <si>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</si>
  <si>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</si>
  <si>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</si>
  <si>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</si>
  <si>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</si>
  <si>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</si>
  <si>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</si>
  <si>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</si>
  <si>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</si>
  <si>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</si>
  <si>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</si>
  <si>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</si>
  <si>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</si>
  <si>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</si>
  <si>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</si>
  <si>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</si>
  <si>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</si>
  <si>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</si>
  <si>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</si>
  <si>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</si>
  <si>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</si>
  <si>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</si>
  <si>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</si>
  <si>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</si>
  <si>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</si>
  <si>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</si>
  <si>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</si>
  <si>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</si>
  <si>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</si>
  <si>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</si>
  <si>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</si>
  <si>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</si>
  <si>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</si>
  <si>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</si>
  <si>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</si>
  <si>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</si>
  <si>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</si>
  <si>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</si>
  <si>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</si>
  <si>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</si>
  <si>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</si>
  <si>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</si>
  <si>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</si>
  <si>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</si>
  <si>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</si>
  <si>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</si>
  <si>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</si>
  <si>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</si>
  <si>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</si>
  <si>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</si>
  <si>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</si>
  <si>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</si>
  <si>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</si>
  <si>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</si>
  <si>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</si>
  <si>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</si>
  <si>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</si>
  <si>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</si>
  <si>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</si>
  <si>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</si>
  <si>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</si>
  <si>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</si>
  <si>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</si>
  <si>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</si>
  <si>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</si>
  <si>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</si>
  <si>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</si>
  <si>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</si>
  <si>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</si>
  <si>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</si>
  <si>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</si>
  <si>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</si>
  <si>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</si>
  <si>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</si>
  <si>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</si>
  <si>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</si>
  <si>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</si>
  <si>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</si>
  <si>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</si>
  <si>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</si>
  <si>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</si>
  <si>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</si>
  <si>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</si>
  <si>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</si>
  <si>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</si>
  <si>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</si>
  <si>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</si>
  <si>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</si>
  <si>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</si>
  <si>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</si>
  <si>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</si>
  <si>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</si>
  <si>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</si>
  <si>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</si>
  <si>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</si>
  <si>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</si>
  <si>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</si>
  <si>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</si>
  <si>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</si>
  <si>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</si>
  <si>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</si>
  <si>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</si>
  <si>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</si>
  <si>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</si>
  <si>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</si>
  <si>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</si>
  <si>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</si>
  <si>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</si>
  <si>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</si>
  <si>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</si>
  <si>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</si>
  <si>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</si>
  <si>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</si>
  <si>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</si>
  <si>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</si>
  <si>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</si>
  <si>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</si>
  <si>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</si>
  <si>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</si>
  <si>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</si>
  <si>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</si>
  <si>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</si>
  <si>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</si>
  <si>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</si>
  <si>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</si>
  <si>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</si>
  <si>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</si>
  <si>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</si>
  <si>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</si>
  <si>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</si>
  <si>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</si>
  <si>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</si>
  <si>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</si>
  <si>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</si>
  <si>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</si>
  <si>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</si>
  <si>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</si>
  <si>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</si>
  <si>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</si>
  <si>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</si>
  <si>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</si>
  <si>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</si>
  <si>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</si>
  <si>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</si>
  <si>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</si>
  <si>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</si>
  <si>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</si>
  <si>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</si>
  <si>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</si>
  <si>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</si>
  <si>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</si>
  <si>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</si>
  <si>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</si>
  <si>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</si>
  <si>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</si>
  <si>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</si>
  <si>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</si>
  <si>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</si>
  <si>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</si>
  <si>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</si>
  <si>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</si>
  <si>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</si>
  <si>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</si>
  <si>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</si>
  <si>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</si>
  <si>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</si>
  <si>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</si>
  <si>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</si>
  <si>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</si>
  <si>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</si>
  <si>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</si>
  <si>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</si>
  <si>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</si>
  <si>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</si>
  <si>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</si>
  <si>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</si>
  <si>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</si>
  <si>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</si>
  <si>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</si>
  <si>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</si>
  <si>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</si>
  <si>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</si>
  <si>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</si>
  <si>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</si>
  <si>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</si>
  <si>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</si>
  <si>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</si>
  <si>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</si>
  <si>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</si>
  <si>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</si>
  <si>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</si>
  <si>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</si>
  <si>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</si>
  <si>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</si>
  <si>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</si>
  <si>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</si>
  <si>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</si>
  <si>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</si>
  <si>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</si>
  <si>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</si>
  <si>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</si>
  <si>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</si>
  <si>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</si>
  <si>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</si>
  <si>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</si>
  <si>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</si>
  <si>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</si>
  <si>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</si>
  <si>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</si>
  <si>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</si>
  <si>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</si>
  <si>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</si>
  <si>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</si>
  <si>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</si>
  <si>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</si>
  <si>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</si>
  <si>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</si>
  <si>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</si>
  <si>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</si>
  <si>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</si>
  <si>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</si>
  <si>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</si>
  <si>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</si>
  <si>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</si>
  <si>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</si>
  <si>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</si>
  <si>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</si>
  <si>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</si>
  <si>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</si>
  <si>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</si>
  <si>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</si>
  <si>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</si>
  <si>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</si>
  <si>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</si>
  <si>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</si>
  <si>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</si>
  <si>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</si>
  <si>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</si>
  <si>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</si>
  <si>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</si>
  <si>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</si>
  <si>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</si>
  <si>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</si>
  <si>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</si>
  <si>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</si>
  <si>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</si>
  <si>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</si>
  <si>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</si>
  <si>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</si>
  <si>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</si>
  <si>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</si>
  <si>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</si>
  <si>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</si>
  <si>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</si>
  <si>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</si>
  <si>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</si>
  <si>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</si>
  <si>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</si>
  <si>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</si>
  <si>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</si>
  <si>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</si>
  <si>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</si>
  <si>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</si>
  <si>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</si>
  <si>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</si>
  <si>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</si>
  <si>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</si>
  <si>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</si>
  <si>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</si>
  <si>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</si>
  <si>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</si>
  <si>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</si>
  <si>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</si>
  <si>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</si>
  <si>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</si>
  <si>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</si>
  <si>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</si>
  <si>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</si>
  <si>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</si>
  <si>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</si>
  <si>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</si>
  <si>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</si>
  <si>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</si>
  <si>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</si>
  <si>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</si>
  <si>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</si>
  <si>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</si>
  <si>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</si>
  <si>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</si>
  <si>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</si>
  <si>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</si>
  <si>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</si>
  <si>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</si>
  <si>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</si>
  <si>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</si>
  <si>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</si>
  <si>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</si>
  <si>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</si>
  <si>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</si>
  <si>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</si>
  <si>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</si>
  <si>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</si>
  <si>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</si>
  <si>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</si>
  <si>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</si>
  <si>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</si>
  <si>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</si>
  <si>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</si>
  <si>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</si>
  <si>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</si>
  <si>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</si>
  <si>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</si>
  <si>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</si>
  <si>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</si>
  <si>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</si>
  <si>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</si>
  <si>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</si>
  <si>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</si>
  <si>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</si>
  <si>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</si>
  <si>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</si>
  <si>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</si>
  <si>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</si>
  <si>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</si>
  <si>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</si>
  <si>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</si>
  <si>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</si>
  <si>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</si>
  <si>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</si>
  <si>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</si>
  <si>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</si>
  <si>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</si>
  <si>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</si>
  <si>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</si>
  <si>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</si>
  <si>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</si>
  <si>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</si>
  <si>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</si>
  <si>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</si>
  <si>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</si>
  <si>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</si>
  <si>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</si>
  <si>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</si>
  <si>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</si>
  <si>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</si>
  <si>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</si>
  <si>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</si>
  <si>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</si>
  <si>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</si>
  <si>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</si>
  <si>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</si>
  <si>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</si>
  <si>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</si>
  <si>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</si>
  <si>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</si>
  <si>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</si>
  <si>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</si>
  <si>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</si>
  <si>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</si>
  <si>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</si>
  <si>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</si>
  <si>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</si>
  <si>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</si>
  <si>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</si>
  <si>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</si>
  <si>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</si>
  <si>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</si>
  <si>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</si>
  <si>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</si>
  <si>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</si>
  <si>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</si>
  <si>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</si>
  <si>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</si>
  <si>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</si>
  <si>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</si>
  <si>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</si>
  <si>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</si>
  <si>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</si>
  <si>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</si>
  <si>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</si>
  <si>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</si>
  <si>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</si>
  <si>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</si>
  <si>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</si>
  <si>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</si>
  <si>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</si>
  <si>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</si>
  <si>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</si>
  <si>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</si>
  <si>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</si>
  <si>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</si>
  <si>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</si>
  <si>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</si>
  <si>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</si>
  <si>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</si>
  <si>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</si>
  <si>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</si>
  <si>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</si>
  <si>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</si>
  <si>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</si>
  <si>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</si>
  <si>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</si>
  <si>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</si>
  <si>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</si>
  <si>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</si>
  <si>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</si>
  <si>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</si>
  <si>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</si>
  <si>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</si>
  <si>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</si>
  <si>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</si>
  <si>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</si>
  <si>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</si>
  <si>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</si>
  <si>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</si>
  <si>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</si>
  <si>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</si>
  <si>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</si>
  <si>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</si>
  <si>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</si>
  <si>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</si>
  <si>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</si>
  <si>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</si>
  <si>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</si>
  <si>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</si>
  <si>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</si>
  <si>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</si>
  <si>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</si>
  <si>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</si>
  <si>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</si>
  <si>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</si>
  <si>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</si>
  <si>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</si>
  <si>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</si>
  <si>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</si>
  <si>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</si>
  <si>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</si>
  <si>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</si>
  <si>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</si>
  <si>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</si>
  <si>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</si>
  <si>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</si>
  <si>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</si>
  <si>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</si>
  <si>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</si>
  <si>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</si>
  <si>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</si>
  <si>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</si>
  <si>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</si>
  <si>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</si>
  <si>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</si>
  <si>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</si>
  <si>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</si>
  <si>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</si>
  <si>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</si>
  <si>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</si>
  <si>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</si>
  <si>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</si>
  <si>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</si>
  <si>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</si>
  <si>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</si>
  <si>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</si>
  <si>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</si>
  <si>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</si>
  <si>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</si>
  <si>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</si>
  <si>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</si>
  <si>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</si>
  <si>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</si>
  <si>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</si>
  <si>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</si>
  <si>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</si>
  <si>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</si>
  <si>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</si>
  <si>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</si>
  <si>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</si>
  <si>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</si>
  <si>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</si>
  <si>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</si>
  <si>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</si>
  <si>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</si>
  <si>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</si>
  <si>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</si>
  <si>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</si>
  <si>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</si>
  <si>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</si>
  <si>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</si>
  <si>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</si>
  <si>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</si>
  <si>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</si>
  <si>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</si>
  <si>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</si>
  <si>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</si>
  <si>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</si>
  <si>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</si>
  <si>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</si>
  <si>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</si>
  <si>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</si>
  <si>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</si>
  <si>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</si>
  <si>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</si>
  <si>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</si>
  <si>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</si>
  <si>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</si>
  <si>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</si>
  <si>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</si>
  <si>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</si>
  <si>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</si>
  <si>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</si>
  <si>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</si>
  <si>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</si>
  <si>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</si>
  <si>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</si>
  <si>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</si>
  <si>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</si>
  <si>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</si>
  <si>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</si>
  <si>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</si>
  <si>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</si>
  <si>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</si>
  <si>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</si>
  <si>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</si>
  <si>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</si>
  <si>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</si>
  <si>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</si>
  <si>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</si>
  <si>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</si>
  <si>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</si>
  <si>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</si>
  <si>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</si>
  <si>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</si>
  <si>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</si>
  <si>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</si>
  <si>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</si>
  <si>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</si>
  <si>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</si>
  <si>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</si>
  <si>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</si>
  <si>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</si>
  <si>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</si>
  <si>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</si>
  <si>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</si>
  <si>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</si>
  <si>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</si>
  <si>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</si>
  <si>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</si>
  <si>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</si>
  <si>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</si>
  <si>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</si>
  <si>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</si>
  <si>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</si>
  <si>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</si>
  <si>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</si>
  <si>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</si>
  <si>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</si>
  <si>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</si>
  <si>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</si>
  <si>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</si>
  <si>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</si>
  <si>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</si>
  <si>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</si>
  <si>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</si>
  <si>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</si>
  <si>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</si>
  <si>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</si>
  <si>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</si>
  <si>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</si>
  <si>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</si>
  <si>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</si>
  <si>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</si>
  <si>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</si>
  <si>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</si>
  <si>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</si>
  <si>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</si>
  <si>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</si>
  <si>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</si>
  <si>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</si>
  <si>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</si>
  <si>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</si>
  <si>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</si>
  <si>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</si>
  <si>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</si>
  <si>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</si>
  <si>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</si>
  <si>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</si>
  <si>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</si>
  <si>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</si>
  <si>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</si>
  <si>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</si>
  <si>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</si>
  <si>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</si>
  <si>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</si>
  <si>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</si>
  <si>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</si>
  <si>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</si>
  <si>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</si>
  <si>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</si>
  <si>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</si>
  <si>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</si>
  <si>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</si>
  <si>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</si>
  <si>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</si>
  <si>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</si>
  <si>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</si>
  <si>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</si>
  <si>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</si>
  <si>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</si>
  <si>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</si>
  <si>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</si>
  <si>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</si>
  <si>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</si>
  <si>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</si>
  <si>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</si>
  <si>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</si>
  <si>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</si>
  <si>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</si>
  <si>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</si>
  <si>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</si>
  <si>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</si>
  <si>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</si>
  <si>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</si>
  <si>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</si>
  <si>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</si>
  <si>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</si>
  <si>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</si>
  <si>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</si>
  <si>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</si>
  <si>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</si>
  <si>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</si>
  <si>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</si>
  <si>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</si>
  <si>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</si>
  <si>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</si>
  <si>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</si>
  <si>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</si>
  <si>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</si>
  <si>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</si>
  <si>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</si>
  <si>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</si>
  <si>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</si>
  <si>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</si>
  <si>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</si>
  <si>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</si>
  <si>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</si>
  <si>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</si>
  <si>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</si>
  <si>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</si>
  <si>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</si>
  <si>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</si>
  <si>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</si>
  <si>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</si>
  <si>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</si>
  <si>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</si>
  <si>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</si>
  <si>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</si>
  <si>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</si>
  <si>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</si>
  <si>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</si>
  <si>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</si>
  <si>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</si>
  <si>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</si>
  <si>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</si>
  <si>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</si>
  <si>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</si>
  <si>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</si>
  <si>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</si>
  <si>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</si>
  <si>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</si>
  <si>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</si>
  <si>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</si>
  <si>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</si>
  <si>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</si>
  <si>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</si>
  <si>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</si>
  <si>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</si>
  <si>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</si>
  <si>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</si>
  <si>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</si>
  <si>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</si>
  <si>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</si>
  <si>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</si>
  <si>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</si>
  <si>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</si>
  <si>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</si>
  <si>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</si>
  <si>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</si>
  <si>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</si>
  <si>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</si>
  <si>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</si>
  <si>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</si>
  <si>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</si>
  <si>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</si>
  <si>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</si>
  <si>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</si>
  <si>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</si>
  <si>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</si>
  <si>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</si>
  <si>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</si>
  <si>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</si>
  <si>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</si>
  <si>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</si>
  <si>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</si>
  <si>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</si>
  <si>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</si>
  <si>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</si>
  <si>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</si>
  <si>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</si>
  <si>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</si>
  <si>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</si>
  <si>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</si>
  <si>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</si>
  <si>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</si>
  <si>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</si>
  <si>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</si>
  <si>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</si>
  <si>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</si>
  <si>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</si>
  <si>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</si>
  <si>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</si>
  <si>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</si>
  <si>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</si>
  <si>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</si>
  <si>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</si>
  <si>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</si>
  <si>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</si>
  <si>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</si>
  <si>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</si>
  <si>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</si>
  <si>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</si>
  <si>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</si>
  <si>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</si>
  <si>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</si>
  <si>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</si>
  <si>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</si>
  <si>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</si>
  <si>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</si>
  <si>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</si>
  <si>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</si>
  <si>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</si>
  <si>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</si>
  <si>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</si>
  <si>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</si>
  <si>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</si>
  <si>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</si>
  <si>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</si>
  <si>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</si>
  <si>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</si>
  <si>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</si>
  <si>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</si>
  <si>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</si>
  <si>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</si>
  <si>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</si>
  <si>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</si>
  <si>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</si>
  <si>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</si>
  <si>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</si>
  <si>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</si>
  <si>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</si>
  <si>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</si>
  <si>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</si>
  <si>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</si>
  <si>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</si>
  <si>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</si>
  <si>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</si>
  <si>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</si>
  <si>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</si>
  <si>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</si>
  <si>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</si>
  <si>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</si>
  <si>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</si>
  <si>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</si>
  <si>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</si>
  <si>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</si>
  <si>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</si>
  <si>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</si>
  <si>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</si>
  <si>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</si>
  <si>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</si>
  <si>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</si>
  <si>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</si>
  <si>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</si>
  <si>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</si>
  <si>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</si>
  <si>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</si>
  <si>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</si>
  <si>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</si>
  <si>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</si>
  <si>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</si>
  <si>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</si>
  <si>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</si>
  <si>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</si>
  <si>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</si>
  <si>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</si>
  <si>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</si>
  <si>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</si>
  <si>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</si>
  <si>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</si>
  <si>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</si>
  <si>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</si>
  <si>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</si>
  <si>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</si>
  <si>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</si>
  <si>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</si>
  <si>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</si>
  <si>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</si>
  <si>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</si>
  <si>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</si>
  <si>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</si>
  <si>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</si>
  <si>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</si>
  <si>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</si>
  <si>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</si>
  <si>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</si>
  <si>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</si>
  <si>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</si>
  <si>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</si>
  <si>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</si>
  <si>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</si>
  <si>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</si>
  <si>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</si>
  <si>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</si>
  <si>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</si>
  <si>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</si>
  <si>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</si>
  <si>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</si>
  <si>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</si>
  <si>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</si>
  <si>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</si>
  <si>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</si>
  <si>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</si>
  <si>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</si>
  <si>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</si>
  <si>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</si>
  <si>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</si>
  <si>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</si>
  <si>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</si>
  <si>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</si>
  <si>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</si>
  <si>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</si>
  <si>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</si>
  <si>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</si>
  <si>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</si>
  <si>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</si>
  <si>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</si>
  <si>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</si>
  <si>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</si>
  <si>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</si>
  <si>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</si>
  <si>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</si>
  <si>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</si>
  <si>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</si>
  <si>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</si>
  <si>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</si>
  <si>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</si>
  <si>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</si>
  <si>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</si>
  <si>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</si>
  <si>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</si>
  <si>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</si>
  <si>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</si>
  <si>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</si>
  <si>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</si>
  <si>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</si>
  <si>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</si>
  <si>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</si>
  <si>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</si>
  <si>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</si>
  <si>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</si>
  <si>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</si>
  <si>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</si>
  <si>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</si>
  <si>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</si>
  <si>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</si>
  <si>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</si>
  <si>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</si>
  <si>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</si>
  <si>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</si>
  <si>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</si>
  <si>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</si>
  <si>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</si>
  <si>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</si>
  <si>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</si>
  <si>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</si>
  <si>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</si>
  <si>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</si>
  <si>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</si>
  <si>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</si>
  <si>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</si>
  <si>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</si>
  <si>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</si>
  <si>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</si>
  <si>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</si>
  <si>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</si>
  <si>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</si>
  <si>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</si>
  <si>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</si>
  <si>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</si>
  <si>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</si>
  <si>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</si>
  <si>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</si>
  <si>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</si>
  <si>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</si>
  <si>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</si>
  <si>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</si>
  <si>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</si>
  <si>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</si>
  <si>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</si>
  <si>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</si>
  <si>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</si>
  <si>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</si>
  <si>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</si>
  <si>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</si>
  <si>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</si>
  <si>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</si>
  <si>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</si>
  <si>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</si>
  <si>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</si>
  <si>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</si>
  <si>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</si>
  <si>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</si>
  <si>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</si>
  <si>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</si>
  <si>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</si>
  <si>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</si>
  <si>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</si>
  <si>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</si>
  <si>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</si>
  <si>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</si>
  <si>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</si>
  <si>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</si>
  <si>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</si>
  <si>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</si>
  <si>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</si>
  <si>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</si>
  <si>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</si>
  <si>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</si>
  <si>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</si>
  <si>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</si>
  <si>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</si>
  <si>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</si>
  <si>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</si>
  <si>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</si>
  <si>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</si>
  <si>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</si>
  <si>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</si>
  <si>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</si>
  <si>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</si>
  <si>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</si>
  <si>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</si>
  <si>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</si>
  <si>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</si>
  <si>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</si>
  <si>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</si>
  <si>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</si>
  <si>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</si>
  <si>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</si>
  <si>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</si>
  <si>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</si>
  <si>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</si>
  <si>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</si>
  <si>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</si>
  <si>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</si>
  <si>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</si>
  <si>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</si>
  <si>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</si>
  <si>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</si>
  <si>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</si>
  <si>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</si>
  <si>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</si>
  <si>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</si>
  <si>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</si>
  <si>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</si>
  <si>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</si>
  <si>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</si>
  <si>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</si>
  <si>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</si>
  <si>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</si>
  <si>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</si>
  <si>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</si>
  <si>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</si>
  <si>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</si>
  <si>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</si>
  <si>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</si>
  <si>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</si>
  <si>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</si>
  <si>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</si>
  <si>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</si>
  <si>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</si>
  <si>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</si>
  <si>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</si>
  <si>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</si>
  <si>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</si>
  <si>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</si>
  <si>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</si>
  <si>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</si>
  <si>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</si>
  <si>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</si>
  <si>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</si>
  <si>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</si>
  <si>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</si>
  <si>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</si>
  <si>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</si>
  <si>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</si>
  <si>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</si>
  <si>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</si>
  <si>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</si>
  <si>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</si>
  <si>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</si>
  <si>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</si>
  <si>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</si>
  <si>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</si>
  <si>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</si>
  <si>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</si>
  <si>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</si>
  <si>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</si>
  <si>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</si>
  <si>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</si>
  <si>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</si>
  <si>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</si>
  <si>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</si>
  <si>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</si>
  <si>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</si>
  <si>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</si>
  <si>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</si>
  <si>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</si>
  <si>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</si>
  <si>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</si>
  <si>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</si>
  <si>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</si>
  <si>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</si>
  <si>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</si>
  <si>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</si>
  <si>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</si>
  <si>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</si>
  <si>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</si>
  <si>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</si>
  <si>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</si>
  <si>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</si>
  <si>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</si>
  <si>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</si>
  <si>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</si>
  <si>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</si>
  <si>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</si>
  <si>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</si>
  <si>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</si>
  <si>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</si>
  <si>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</si>
  <si>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</si>
  <si>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</si>
  <si>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</si>
  <si>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</si>
  <si>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</si>
  <si>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</si>
  <si>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</si>
  <si>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</si>
  <si>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</si>
  <si>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</si>
  <si>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</si>
  <si>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</si>
  <si>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</si>
  <si>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</si>
  <si>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</si>
  <si>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</si>
  <si>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</si>
  <si>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</si>
  <si>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</si>
  <si>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</si>
  <si>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</si>
  <si>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</si>
  <si>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</si>
  <si>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</si>
  <si>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</si>
  <si>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</si>
  <si>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</si>
  <si>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</si>
  <si>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</si>
  <si>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</si>
  <si>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</si>
  <si>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</si>
  <si>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</si>
  <si>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</si>
  <si>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</si>
  <si>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</si>
  <si>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</si>
  <si>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</si>
  <si>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</si>
  <si>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</si>
  <si>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</si>
  <si>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</si>
  <si>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</si>
  <si>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</si>
  <si>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</si>
  <si>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</si>
  <si>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</si>
  <si>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</si>
  <si>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</si>
  <si>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</si>
  <si>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</si>
  <si>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</si>
  <si>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</si>
  <si>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</si>
  <si>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</si>
  <si>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</si>
  <si>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</si>
  <si>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</si>
  <si>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</si>
  <si>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</si>
  <si>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</si>
  <si>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</si>
  <si>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</si>
  <si>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</si>
  <si>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</si>
  <si>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</si>
  <si>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</si>
  <si>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</si>
  <si>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</si>
  <si>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</si>
  <si>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</si>
  <si>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</si>
  <si>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</si>
  <si>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</si>
  <si>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</si>
  <si>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</si>
  <si>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</si>
  <si>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</si>
  <si>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</si>
  <si>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</si>
  <si>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</si>
  <si>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</si>
  <si>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</si>
  <si>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</si>
  <si>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</si>
  <si>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</si>
  <si>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</si>
  <si>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</si>
  <si>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</si>
  <si>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</si>
  <si>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</si>
  <si>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</si>
  <si>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</si>
  <si>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</si>
  <si>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</si>
  <si>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</si>
  <si>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</si>
  <si>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</si>
  <si>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</si>
  <si>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</si>
  <si>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</si>
  <si>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</si>
  <si>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</si>
  <si>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</si>
  <si>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</si>
  <si>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</si>
  <si>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</si>
  <si>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</si>
  <si>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</si>
  <si>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</si>
  <si>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</si>
  <si>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</si>
  <si>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</si>
  <si>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</si>
  <si>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</si>
  <si>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</si>
  <si>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</si>
  <si>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</si>
  <si>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</si>
  <si>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</si>
  <si>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</si>
  <si>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</si>
  <si>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</si>
  <si>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</si>
  <si>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</si>
  <si>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</si>
  <si>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</si>
  <si>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</si>
  <si>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</si>
  <si>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</si>
  <si>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</si>
  <si>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</si>
  <si>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</si>
  <si>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</si>
  <si>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</si>
  <si>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</si>
  <si>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</si>
  <si>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</si>
  <si>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</si>
  <si>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</si>
  <si>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</si>
  <si>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</si>
  <si>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</si>
  <si>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</si>
  <si>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</si>
  <si>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</si>
  <si>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</si>
  <si>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</si>
  <si>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</si>
  <si>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</si>
  <si>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</si>
  <si>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</si>
  <si>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</si>
  <si>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</si>
  <si>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</si>
  <si>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</si>
  <si>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</si>
  <si>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</si>
  <si>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</si>
  <si>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</si>
  <si>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</si>
  <si>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</si>
  <si>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</si>
  <si>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</si>
  <si>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</si>
  <si>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</si>
  <si>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</si>
  <si>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</si>
  <si>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</si>
  <si>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</si>
  <si>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</si>
  <si>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</si>
  <si>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</si>
  <si>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</si>
  <si>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</si>
  <si>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</si>
  <si>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</si>
  <si>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</si>
  <si>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</si>
  <si>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</si>
  <si>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</si>
  <si>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</si>
  <si>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</si>
  <si>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</si>
  <si>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</si>
  <si>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</si>
  <si>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</si>
  <si>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</si>
  <si>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</si>
  <si>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</si>
  <si>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</si>
  <si>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</si>
  <si>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</si>
  <si>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</si>
  <si>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</si>
  <si>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</si>
  <si>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</si>
  <si>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</si>
  <si>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</si>
  <si>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</si>
  <si>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</si>
  <si>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</si>
  <si>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</si>
  <si>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</si>
  <si>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</si>
  <si>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</si>
  <si>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</si>
  <si>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</si>
  <si>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</si>
  <si>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</si>
  <si>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</si>
  <si>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</si>
  <si>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</si>
  <si>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</si>
  <si>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</si>
  <si>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</si>
  <si>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</si>
  <si>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</si>
  <si>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</si>
  <si>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</si>
  <si>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</si>
  <si>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</si>
  <si>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</si>
  <si>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</si>
  <si>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</si>
  <si>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</si>
  <si>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</si>
  <si>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</si>
  <si>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</si>
  <si>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</si>
  <si>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</si>
  <si>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</si>
  <si>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</si>
  <si>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</si>
  <si>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</si>
  <si>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</si>
  <si>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</si>
  <si>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</si>
  <si>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</si>
  <si>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</si>
  <si>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</si>
  <si>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</si>
  <si>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</si>
  <si>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</si>
  <si>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</si>
  <si>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</si>
  <si>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</si>
  <si>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</si>
  <si>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</si>
  <si>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</si>
  <si>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</si>
  <si>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</si>
  <si>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</si>
  <si>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</si>
  <si>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</si>
  <si>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</si>
  <si>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</si>
  <si>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</si>
  <si>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</si>
  <si>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</si>
  <si>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</si>
  <si>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</si>
  <si>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</si>
  <si>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</si>
  <si>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</si>
  <si>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</si>
  <si>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</si>
  <si>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</si>
  <si>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</si>
  <si>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</si>
  <si>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</si>
  <si>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</si>
  <si>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</si>
  <si>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</si>
  <si>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</si>
  <si>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</si>
  <si>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</si>
  <si>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</si>
  <si>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</si>
  <si>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</si>
  <si>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</si>
  <si>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</si>
  <si>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</si>
  <si>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</si>
  <si>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</si>
  <si>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</si>
  <si>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</si>
  <si>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</si>
  <si>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</si>
  <si>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</si>
  <si>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</si>
  <si>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</si>
  <si>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</si>
  <si>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</si>
  <si>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</si>
  <si>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</si>
  <si>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</si>
  <si>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</si>
  <si>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</si>
  <si>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</si>
  <si>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</si>
  <si>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</si>
  <si>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</si>
  <si>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</si>
  <si>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</si>
  <si>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</si>
  <si>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</si>
  <si>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</si>
  <si>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</si>
  <si>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</si>
  <si>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</si>
  <si>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</si>
  <si>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</si>
  <si>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</si>
  <si>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</si>
  <si>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</si>
  <si>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</si>
  <si>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</si>
  <si>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</si>
  <si>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</si>
  <si>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</si>
  <si>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</si>
  <si>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</si>
  <si>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</si>
  <si>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</si>
  <si>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</si>
  <si>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</si>
  <si>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</si>
  <si>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</si>
  <si>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</si>
  <si>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</si>
  <si>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</si>
  <si>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</si>
  <si>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</si>
  <si>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</si>
  <si>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</si>
  <si>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</si>
  <si>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</si>
  <si>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</si>
  <si>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</si>
  <si>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</si>
  <si>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</si>
  <si>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</si>
  <si>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</si>
  <si>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</si>
  <si>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</si>
  <si>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</si>
  <si>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</si>
  <si>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</si>
  <si>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</si>
  <si>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</si>
  <si>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</si>
  <si>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</si>
  <si>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</si>
  <si>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</si>
  <si>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</si>
  <si>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</si>
  <si>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</si>
  <si>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</si>
  <si>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</si>
  <si>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</si>
  <si>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</si>
  <si>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</si>
  <si>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</si>
  <si>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</si>
  <si>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</si>
  <si>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</si>
  <si>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</si>
  <si>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</si>
  <si>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</si>
  <si>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</si>
  <si>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</si>
  <si>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</si>
  <si>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</si>
  <si>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</si>
  <si>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</si>
  <si>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</si>
  <si>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</si>
  <si>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</si>
  <si>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</si>
  <si>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</si>
  <si>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</si>
  <si>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</si>
  <si>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</si>
  <si>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</si>
  <si>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</si>
  <si>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</si>
  <si>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</si>
  <si>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</si>
  <si>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</si>
  <si>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</si>
  <si>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</si>
  <si>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</si>
  <si>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</si>
  <si>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</si>
  <si>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</si>
  <si>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</si>
  <si>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</si>
  <si>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</si>
  <si>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</si>
  <si>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</si>
  <si>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</si>
  <si>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</si>
  <si>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</si>
  <si>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</si>
  <si>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</si>
  <si>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</si>
  <si>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</si>
  <si>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</si>
  <si>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</si>
  <si>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</si>
  <si>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</si>
  <si>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</si>
  <si>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</si>
  <si>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</si>
  <si>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</si>
  <si>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</si>
  <si>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</si>
  <si>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</si>
  <si>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</si>
  <si>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</si>
  <si>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</si>
  <si>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</si>
  <si>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</si>
  <si>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</si>
  <si>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</si>
  <si>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</si>
  <si>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</si>
  <si>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</si>
  <si>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</si>
  <si>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</si>
  <si>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</si>
  <si>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</si>
  <si>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</si>
  <si>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</si>
  <si>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</si>
  <si>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</si>
  <si>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</si>
  <si>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</si>
  <si>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</si>
  <si>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</si>
  <si>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</si>
  <si>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</si>
  <si>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</si>
  <si>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</si>
  <si>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</si>
  <si>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</si>
  <si>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</si>
  <si>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</si>
  <si>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</si>
  <si>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</si>
  <si>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</si>
  <si>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</si>
  <si>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</si>
  <si>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</si>
  <si>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</si>
  <si>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</si>
  <si>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</si>
  <si>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</si>
  <si>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</si>
  <si>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</si>
  <si>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</si>
  <si>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</si>
  <si>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</si>
  <si>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</si>
  <si>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</si>
  <si>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</si>
  <si>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</si>
  <si>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</si>
  <si>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</si>
  <si>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</si>
  <si>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</si>
  <si>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</si>
  <si>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</si>
  <si>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</si>
  <si>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</si>
  <si>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</si>
  <si>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</si>
  <si>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</si>
  <si>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</si>
  <si>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</si>
  <si>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</si>
  <si>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</si>
  <si>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</si>
  <si>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</si>
  <si>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</si>
  <si>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</si>
  <si>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</si>
  <si>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</si>
  <si>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</si>
  <si>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</si>
  <si>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</si>
  <si>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</si>
  <si>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</si>
  <si>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</si>
  <si>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</si>
  <si>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</si>
  <si>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</si>
  <si>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</si>
  <si>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</si>
  <si>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</si>
  <si>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</si>
  <si>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</si>
  <si>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</si>
  <si>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</si>
  <si>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</si>
  <si>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</si>
  <si>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</si>
  <si>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</si>
  <si>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</si>
  <si>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</si>
  <si>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</si>
  <si>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</si>
  <si>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</si>
  <si>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</si>
  <si>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</si>
  <si>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</si>
  <si>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</si>
  <si>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</si>
  <si>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</si>
  <si>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</si>
  <si>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</si>
  <si>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</si>
  <si>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</si>
  <si>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</si>
  <si>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</si>
  <si>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</si>
  <si>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</si>
  <si>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</si>
  <si>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</si>
  <si>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</si>
  <si>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</si>
  <si>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</si>
  <si>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</si>
  <si>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</si>
  <si>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</si>
  <si>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</si>
  <si>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</si>
  <si>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</si>
  <si>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</si>
  <si>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</si>
  <si>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</si>
  <si>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</si>
  <si>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</si>
  <si>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</si>
  <si>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</si>
  <si>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</si>
  <si>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</si>
  <si>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</si>
  <si>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</si>
  <si>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</si>
  <si>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</si>
  <si>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</si>
  <si>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</si>
  <si>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</si>
  <si>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</si>
  <si>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</si>
  <si>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</si>
  <si>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</si>
  <si>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</si>
  <si>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</si>
  <si>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</si>
  <si>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</si>
  <si>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</si>
  <si>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</si>
  <si>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</si>
  <si>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</si>
  <si>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</si>
  <si>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</si>
  <si>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</si>
  <si>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</si>
  <si>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</si>
  <si>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</si>
  <si>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</si>
  <si>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</si>
  <si>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</si>
  <si>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</si>
  <si>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</si>
  <si>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</si>
  <si>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</si>
  <si>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</si>
  <si>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</si>
  <si>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</si>
  <si>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</si>
  <si>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</si>
  <si>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</si>
  <si>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</si>
  <si>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</si>
  <si>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</si>
  <si>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</si>
  <si>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</si>
  <si>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</si>
  <si>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</si>
  <si>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</si>
  <si>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</si>
  <si>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</si>
  <si>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</si>
  <si>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</si>
  <si>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</si>
  <si>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</si>
  <si>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</si>
  <si>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</si>
  <si>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</si>
  <si>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</si>
  <si>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</si>
  <si>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</si>
  <si>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</si>
  <si>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</si>
  <si>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</si>
  <si>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</si>
  <si>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</si>
  <si>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</si>
  <si>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</si>
  <si>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</si>
  <si>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</si>
  <si>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</si>
  <si>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</si>
  <si>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</si>
  <si>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</si>
  <si>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</si>
  <si>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</si>
  <si>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</si>
  <si>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</si>
  <si>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</si>
  <si>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</si>
  <si>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</si>
  <si>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</si>
  <si>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</si>
  <si>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</si>
  <si>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</si>
  <si>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</si>
  <si>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</si>
  <si>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</si>
  <si>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</si>
  <si>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</si>
  <si>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</si>
  <si>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</si>
  <si>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</si>
  <si>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</si>
  <si>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</si>
  <si>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</si>
  <si>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</si>
  <si>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</si>
  <si>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</si>
  <si>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</si>
  <si>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</si>
  <si>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</si>
  <si>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</si>
  <si>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</si>
  <si>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</si>
  <si>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</si>
  <si>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</si>
  <si>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</si>
  <si>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</si>
  <si>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</si>
  <si>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</si>
  <si>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</si>
  <si>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</si>
  <si>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</si>
  <si>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</si>
  <si>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</si>
  <si>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</si>
  <si>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</si>
  <si>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</si>
  <si>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</si>
  <si>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</si>
  <si>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</si>
  <si>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</si>
  <si>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</si>
  <si>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</si>
  <si>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</si>
  <si>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</si>
  <si>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</si>
  <si>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</si>
  <si>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</si>
  <si>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</si>
  <si>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</si>
  <si>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</si>
  <si>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</si>
  <si>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</si>
  <si>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</si>
  <si>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</si>
  <si>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</si>
  <si>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</si>
  <si>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</si>
  <si>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</si>
  <si>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</si>
  <si>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</si>
  <si>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</si>
  <si>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</si>
  <si>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</si>
  <si>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</si>
  <si>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</si>
  <si>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</si>
  <si>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</si>
  <si>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</si>
  <si>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</si>
  <si>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</si>
  <si>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</si>
  <si>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</si>
  <si>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</si>
  <si>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</si>
  <si>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</si>
  <si>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</si>
  <si>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</si>
  <si>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</si>
  <si>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</si>
  <si>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</si>
  <si>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</si>
  <si>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</si>
  <si>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</si>
  <si>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</si>
  <si>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</si>
  <si>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</si>
  <si>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</si>
  <si>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</si>
  <si>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</si>
  <si>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</si>
  <si>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</si>
  <si>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</si>
  <si>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</si>
  <si>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</si>
  <si>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</si>
  <si>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</si>
  <si>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</si>
  <si>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</si>
  <si>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</si>
  <si>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</si>
  <si>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</si>
  <si>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</si>
  <si>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</si>
  <si>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</si>
  <si>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</si>
  <si>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</si>
  <si>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</si>
  <si>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</si>
  <si>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</si>
  <si>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</si>
  <si>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</si>
  <si>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</si>
  <si>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</si>
  <si>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</si>
  <si>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</si>
  <si>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</si>
  <si>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</si>
  <si>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</si>
  <si>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</si>
  <si>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</si>
  <si>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</si>
  <si>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</si>
  <si>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</si>
  <si>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</si>
  <si>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</si>
  <si>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</si>
  <si>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</si>
  <si>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</si>
  <si>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</si>
  <si>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</si>
  <si>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</si>
  <si>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</si>
  <si>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</si>
  <si>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</si>
  <si>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</si>
  <si>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</si>
  <si>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</si>
  <si>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</si>
  <si>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</si>
  <si>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</si>
  <si>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</si>
  <si>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</si>
  <si>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</si>
  <si>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</si>
  <si>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</si>
  <si>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</si>
  <si>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</si>
  <si>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</si>
  <si>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</si>
  <si>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</si>
  <si>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</si>
  <si>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</si>
  <si>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</si>
  <si>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</si>
  <si>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</si>
  <si>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</si>
  <si>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</si>
  <si>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</si>
  <si>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</si>
  <si>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</si>
  <si>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</si>
  <si>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</si>
  <si>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</si>
  <si>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</si>
  <si>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</si>
  <si>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</si>
  <si>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</si>
  <si>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</si>
  <si>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</si>
  <si>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</si>
  <si>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</si>
  <si>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</si>
  <si>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</si>
  <si>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</si>
  <si>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</si>
  <si>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</si>
  <si>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</si>
  <si>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</si>
  <si>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</si>
  <si>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</si>
  <si>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</si>
  <si>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</si>
  <si>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</si>
  <si>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</si>
  <si>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</si>
  <si>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</si>
  <si>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</si>
  <si>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</si>
  <si>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</si>
  <si>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</si>
  <si>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</si>
  <si>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</si>
  <si>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</si>
  <si>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</si>
  <si>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</si>
  <si>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</si>
  <si>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</si>
  <si>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</si>
  <si>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</si>
  <si>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</si>
  <si>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</si>
  <si>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</si>
  <si>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</si>
  <si>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</si>
  <si>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</si>
  <si>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</si>
  <si>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</si>
  <si>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</si>
  <si>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</si>
  <si>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</si>
  <si>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</si>
  <si>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</si>
  <si>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</si>
  <si>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</si>
  <si>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</si>
  <si>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</si>
  <si>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</si>
  <si>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</si>
  <si>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</si>
  <si>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</si>
  <si>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</si>
  <si>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</si>
  <si>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</si>
  <si>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</si>
  <si>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</si>
  <si>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</si>
  <si>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</si>
  <si>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</si>
  <si>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</si>
  <si>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</si>
  <si>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</si>
  <si>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</si>
  <si>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</si>
  <si>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</si>
  <si>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</si>
  <si>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</si>
  <si>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</si>
  <si>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</si>
  <si>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</si>
  <si>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</si>
  <si>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</si>
  <si>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</si>
  <si>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</si>
  <si>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</si>
  <si>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</si>
  <si>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</si>
  <si>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</si>
  <si>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</si>
  <si>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</si>
  <si>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</si>
  <si>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</si>
  <si>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</si>
  <si>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</si>
  <si>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</si>
  <si>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</si>
  <si>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</si>
  <si>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</si>
  <si>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</si>
  <si>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</si>
  <si>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</si>
  <si>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</si>
  <si>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</si>
  <si>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</si>
  <si>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</si>
  <si>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</si>
  <si>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</si>
  <si>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</si>
  <si>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</si>
  <si>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</si>
  <si>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</si>
  <si>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</si>
  <si>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</si>
  <si>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</si>
  <si>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</si>
  <si>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</si>
  <si>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</si>
  <si>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</si>
  <si>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</si>
  <si>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</si>
  <si>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</si>
  <si>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</si>
  <si>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</si>
  <si>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</si>
  <si>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</si>
  <si>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</si>
  <si>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</si>
  <si>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</si>
  <si>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</si>
  <si>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</si>
  <si>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</si>
  <si>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</si>
  <si>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</si>
  <si>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</si>
  <si>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</si>
  <si>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</si>
  <si>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</si>
  <si>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</si>
  <si>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</si>
  <si>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</si>
  <si>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</si>
  <si>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</si>
  <si>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</si>
  <si>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</si>
  <si>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</si>
  <si>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</si>
  <si>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</si>
  <si>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</si>
  <si>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</si>
  <si>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</si>
  <si>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</si>
  <si>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</si>
  <si>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</si>
  <si>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</si>
  <si>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</si>
  <si>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</si>
  <si>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</si>
  <si>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</si>
  <si>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</si>
  <si>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</si>
  <si>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</si>
  <si>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</si>
  <si>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</si>
  <si>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</si>
  <si>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</si>
  <si>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</si>
  <si>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</si>
  <si>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</si>
  <si>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</si>
  <si>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</si>
  <si>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</si>
  <si>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</si>
  <si>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</si>
  <si>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</si>
  <si>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</si>
  <si>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</si>
  <si>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</si>
  <si>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</si>
  <si>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</si>
  <si>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</si>
  <si>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</si>
  <si>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</si>
  <si>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</si>
  <si>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</si>
  <si>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</si>
  <si>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</si>
  <si>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</si>
  <si>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</si>
  <si>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</si>
  <si>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</si>
  <si>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</si>
  <si>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</si>
  <si>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</si>
  <si>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</si>
  <si>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</si>
  <si>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</si>
  <si>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</si>
  <si>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</si>
  <si>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</si>
  <si>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</si>
  <si>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</si>
  <si>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</si>
  <si>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</si>
  <si>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</si>
  <si>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</si>
  <si>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</si>
  <si>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</si>
  <si>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</si>
  <si>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</si>
  <si>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</si>
  <si>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</si>
  <si>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</si>
  <si>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</si>
  <si>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</si>
  <si>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</si>
  <si>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</si>
  <si>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</si>
  <si>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</si>
  <si>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</si>
  <si>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</si>
  <si>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</si>
  <si>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</si>
  <si>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</si>
  <si>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</si>
  <si>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</si>
  <si>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</si>
  <si>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</si>
  <si>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</si>
  <si>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</si>
  <si>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</si>
  <si>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</si>
  <si>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</si>
  <si>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</si>
  <si>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</si>
  <si>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</si>
  <si>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</si>
  <si>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</si>
  <si>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</si>
  <si>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</si>
  <si>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</si>
  <si>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</si>
  <si>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</si>
  <si>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</si>
  <si>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</si>
  <si>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</si>
  <si>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</si>
  <si>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</si>
  <si>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</si>
  <si>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</si>
  <si>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</si>
  <si>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</si>
  <si>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</si>
  <si>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</si>
  <si>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</si>
  <si>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</si>
  <si>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</si>
  <si>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</si>
  <si>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</si>
  <si>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</si>
  <si>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</si>
  <si>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</si>
  <si>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</si>
  <si>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</si>
  <si>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</si>
  <si>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</si>
  <si>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</si>
  <si>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</si>
  <si>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</si>
  <si>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</si>
  <si>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</si>
  <si>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</si>
  <si>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</si>
  <si>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</si>
  <si>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</si>
  <si>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</si>
  <si>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</si>
  <si>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</si>
  <si>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</si>
  <si>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</si>
  <si>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</si>
  <si>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</si>
  <si>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</si>
  <si>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</si>
  <si>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</si>
  <si>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</si>
  <si>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</si>
  <si>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</si>
  <si>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</si>
  <si>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</si>
  <si>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</si>
  <si>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</si>
  <si>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</si>
  <si>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</si>
  <si>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</si>
  <si>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</si>
  <si>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</si>
  <si>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</si>
  <si>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</si>
  <si>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</si>
  <si>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</si>
  <si>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</si>
  <si>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</si>
  <si>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</si>
  <si>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</si>
  <si>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</si>
  <si>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</si>
  <si>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</si>
  <si>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</si>
  <si>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</si>
  <si>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</si>
  <si>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</si>
  <si>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</si>
  <si>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</si>
  <si>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</si>
  <si>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</si>
  <si>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</si>
  <si>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</si>
  <si>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</si>
  <si>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</si>
  <si>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</si>
  <si>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</si>
  <si>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</si>
  <si>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</si>
  <si>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</si>
  <si>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</si>
  <si>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</si>
  <si>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</si>
  <si>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</si>
  <si>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</si>
  <si>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</si>
  <si>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</si>
  <si>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</si>
  <si>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</si>
  <si>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</si>
  <si>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</si>
  <si>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</si>
  <si>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</si>
  <si>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</si>
  <si>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</si>
  <si>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</si>
  <si>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</si>
  <si>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</si>
  <si>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</si>
  <si>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</si>
  <si>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</si>
  <si>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</si>
  <si>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</si>
  <si>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</si>
  <si>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</si>
  <si>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</si>
  <si>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</si>
  <si>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</si>
  <si>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</si>
  <si>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</si>
  <si>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</si>
  <si>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</si>
  <si>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</si>
  <si>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</si>
  <si>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</si>
  <si>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</si>
  <si>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</si>
  <si>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</si>
  <si>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</si>
  <si>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</si>
  <si>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</si>
  <si>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</si>
  <si>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</si>
  <si>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</si>
  <si>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</si>
  <si>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</si>
  <si>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</si>
  <si>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</si>
  <si>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</si>
  <si>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</si>
  <si>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</si>
  <si>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</si>
  <si>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</si>
  <si>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</si>
  <si>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</si>
  <si>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</si>
  <si>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</si>
  <si>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</si>
  <si>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</si>
  <si>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</si>
  <si>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</si>
  <si>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</si>
  <si>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</si>
  <si>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</si>
  <si>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</si>
  <si>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</si>
  <si>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</si>
  <si>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</si>
  <si>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</si>
  <si>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</si>
  <si>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</si>
  <si>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</si>
  <si>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</si>
  <si>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</si>
  <si>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</si>
  <si>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</si>
  <si>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</si>
  <si>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</si>
  <si>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</si>
  <si>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</si>
  <si>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</si>
  <si>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</si>
  <si>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</si>
  <si>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</si>
  <si>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</si>
  <si>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</si>
  <si>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</si>
  <si>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</si>
  <si>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</si>
  <si>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</si>
  <si>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</si>
  <si>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</si>
  <si>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</si>
  <si>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</si>
  <si>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</si>
  <si>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</si>
  <si>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</si>
  <si>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</si>
  <si>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</si>
  <si>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</si>
  <si>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</si>
  <si>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</si>
  <si>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</si>
  <si>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</si>
  <si>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</si>
  <si>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</si>
  <si>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</si>
  <si>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</si>
  <si>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</si>
  <si>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</si>
  <si>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</si>
  <si>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</si>
  <si>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</si>
  <si>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</si>
  <si>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</si>
  <si>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</si>
  <si>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</si>
  <si>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</si>
  <si>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</si>
  <si>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</si>
  <si>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</si>
  <si>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</si>
  <si>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</si>
  <si>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</si>
  <si>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</si>
  <si>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</si>
  <si>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</si>
  <si>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</si>
  <si>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</si>
  <si>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</si>
  <si>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</si>
  <si>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</si>
  <si>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</si>
  <si>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</si>
  <si>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</si>
  <si>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</si>
  <si>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</si>
  <si>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</si>
  <si>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</si>
  <si>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</si>
  <si>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</si>
  <si>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</si>
  <si>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</si>
  <si>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</si>
  <si>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</si>
  <si>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</si>
  <si>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</si>
  <si>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</si>
  <si>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</si>
  <si>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</si>
  <si>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</si>
  <si>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</si>
  <si>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</si>
  <si>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</si>
  <si>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</si>
  <si>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</si>
  <si>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</si>
  <si>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</si>
  <si>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</si>
  <si>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</si>
  <si>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</si>
  <si>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</si>
  <si>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</si>
  <si>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</si>
  <si>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</si>
  <si>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</si>
  <si>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</si>
  <si>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</si>
  <si>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</si>
  <si>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</si>
  <si>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</si>
  <si>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</si>
  <si>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</si>
  <si>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</si>
  <si>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</si>
  <si>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</si>
  <si>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</si>
  <si>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</si>
  <si>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</si>
  <si>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</si>
  <si>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</si>
  <si>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</si>
  <si>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</si>
  <si>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</si>
  <si>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</si>
  <si>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</si>
  <si>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</si>
  <si>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</si>
  <si>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</si>
  <si>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</si>
  <si>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</si>
  <si>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</si>
  <si>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</si>
  <si>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</si>
  <si>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</si>
  <si>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</si>
  <si>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</si>
  <si>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</si>
  <si>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</si>
  <si>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</si>
  <si>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</si>
  <si>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</si>
  <si>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</si>
  <si>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</si>
  <si>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</si>
  <si>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</si>
  <si>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</si>
  <si>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</si>
  <si>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</si>
  <si>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</si>
  <si>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</si>
  <si>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</si>
  <si>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</si>
  <si>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</si>
  <si>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</si>
  <si>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</si>
  <si>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</si>
  <si>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</si>
  <si>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</si>
  <si>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</si>
  <si>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</si>
  <si>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</si>
  <si>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</si>
  <si>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</si>
  <si>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</si>
  <si>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</si>
  <si>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</si>
  <si>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</si>
  <si>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</si>
  <si>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</si>
  <si>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</si>
  <si>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</si>
  <si>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</si>
  <si>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</si>
  <si>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</si>
  <si>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</si>
  <si>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</si>
  <si>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</si>
  <si>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</si>
  <si>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</si>
  <si>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</si>
  <si>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</si>
  <si>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</si>
  <si>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</si>
  <si>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</si>
  <si>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</si>
  <si>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</si>
  <si>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</si>
  <si>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</si>
  <si>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</si>
  <si>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</si>
  <si>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</si>
  <si>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</si>
  <si>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</si>
  <si>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</si>
  <si>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</si>
  <si>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</si>
  <si>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</si>
  <si>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</si>
  <si>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</si>
  <si>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</si>
  <si>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</si>
  <si>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</si>
  <si>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</si>
  <si>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</si>
  <si>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</si>
  <si>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</si>
  <si>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</si>
  <si>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</si>
  <si>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</si>
  <si>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</si>
  <si>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</si>
  <si>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</si>
  <si>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</si>
  <si>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</si>
  <si>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</si>
  <si>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</si>
  <si>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</si>
  <si>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</si>
  <si>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</si>
  <si>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</si>
  <si>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</si>
  <si>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</si>
  <si>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</si>
  <si>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</si>
  <si>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</si>
  <si>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</si>
  <si>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</si>
  <si>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</si>
  <si>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</si>
  <si>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</si>
  <si>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</si>
  <si>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</si>
  <si>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</si>
  <si>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</si>
  <si>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</si>
  <si>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</si>
  <si>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</si>
  <si>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</si>
  <si>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</si>
  <si>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</si>
  <si>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</si>
  <si>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</si>
  <si>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</si>
  <si>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</si>
  <si>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</si>
  <si>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</si>
  <si>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</si>
  <si>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</si>
  <si>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</si>
  <si>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</si>
  <si>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</si>
  <si>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</si>
  <si>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</si>
  <si>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</si>
  <si>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</si>
  <si>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</si>
  <si>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</si>
  <si>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</si>
  <si>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</si>
  <si>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</si>
  <si>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</si>
  <si>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</si>
  <si>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</si>
  <si>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</si>
  <si>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</si>
  <si>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</si>
  <si>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</si>
  <si>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</si>
  <si>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</si>
  <si>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</si>
  <si>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</si>
  <si>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</si>
  <si>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</si>
  <si>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</si>
  <si>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</si>
  <si>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</si>
  <si>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</si>
  <si>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</si>
  <si>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</si>
  <si>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</si>
  <si>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</si>
  <si>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</si>
  <si>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</si>
  <si>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</si>
  <si>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</si>
  <si>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</si>
  <si>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</si>
  <si>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</si>
  <si>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</si>
  <si>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</si>
  <si>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</si>
  <si>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</si>
  <si>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</si>
  <si>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</si>
  <si>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</si>
  <si>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</si>
  <si>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</si>
  <si>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</si>
  <si>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</si>
  <si>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</si>
  <si>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</si>
  <si>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</si>
  <si>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</si>
  <si>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</si>
  <si>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</si>
  <si>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</si>
  <si>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</si>
  <si>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</si>
  <si>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</si>
  <si>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</si>
  <si>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</si>
  <si>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</si>
  <si>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</si>
  <si>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</si>
  <si>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</si>
  <si>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</si>
  <si>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</si>
  <si>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</si>
  <si>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</si>
  <si>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</si>
  <si>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</si>
  <si>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</si>
  <si>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</si>
  <si>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</si>
  <si>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</si>
  <si>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</si>
  <si>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</si>
  <si>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</si>
  <si>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</si>
  <si>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</si>
  <si>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</si>
  <si>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</si>
  <si>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</si>
  <si>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</si>
  <si>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</si>
  <si>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</si>
  <si>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</si>
  <si>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</si>
  <si>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</si>
  <si>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</si>
  <si>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</si>
  <si>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</si>
  <si>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</si>
  <si>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</si>
  <si>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</si>
  <si>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</si>
  <si>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</si>
  <si>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</si>
  <si>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</si>
  <si>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</si>
  <si>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</si>
  <si>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</si>
  <si>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</si>
  <si>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</si>
  <si>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</si>
  <si>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</si>
  <si>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</si>
  <si>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</si>
  <si>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</si>
  <si>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</si>
  <si>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</si>
  <si>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</si>
  <si>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</si>
  <si>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</si>
  <si>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</si>
  <si>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</si>
  <si>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</si>
  <si>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</si>
  <si>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</si>
  <si>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</si>
  <si>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</si>
  <si>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</si>
  <si>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</si>
  <si>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</si>
  <si>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</si>
  <si>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</si>
  <si>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</si>
  <si>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</si>
  <si>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</si>
  <si>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</si>
  <si>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</si>
  <si>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</si>
  <si>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</si>
  <si>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</si>
  <si>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</si>
  <si>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</si>
  <si>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</si>
  <si>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</si>
  <si>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</si>
  <si>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</si>
  <si>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</si>
  <si>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</si>
  <si>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</si>
  <si>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</si>
  <si>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</si>
  <si>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</si>
  <si>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</si>
  <si>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</si>
  <si>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</si>
  <si>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</si>
  <si>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</si>
  <si>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</si>
  <si>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</si>
  <si>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</si>
  <si>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</si>
  <si>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</si>
  <si>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</si>
  <si>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</si>
  <si>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</si>
  <si>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</si>
  <si>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</si>
  <si>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</si>
  <si>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</si>
  <si>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</si>
  <si>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</si>
  <si>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</si>
  <si>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</si>
  <si>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</si>
  <si>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</si>
  <si>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</si>
  <si>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</si>
  <si>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</si>
  <si>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</si>
  <si>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</si>
  <si>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</si>
  <si>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</si>
  <si>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</si>
  <si>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</si>
  <si>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</si>
  <si>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</si>
  <si>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</si>
  <si>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</si>
  <si>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</si>
  <si>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</si>
  <si>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</si>
  <si>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</si>
  <si>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</si>
  <si>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</si>
  <si>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</si>
  <si>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</si>
  <si>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</si>
  <si>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</si>
  <si>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</si>
  <si>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</si>
  <si>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</si>
  <si>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</si>
  <si>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</si>
  <si>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</si>
  <si>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</si>
  <si>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</si>
  <si>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</si>
  <si>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</si>
  <si>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</si>
  <si>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</si>
  <si>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</si>
  <si>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</si>
  <si>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</si>
  <si>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</si>
  <si>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</si>
  <si>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</si>
  <si>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</si>
  <si>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</si>
  <si>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</si>
  <si>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</si>
  <si>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</si>
  <si>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</si>
  <si>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</si>
  <si>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</si>
  <si>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</si>
  <si>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</si>
  <si>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</si>
  <si>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</si>
  <si>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</si>
  <si>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</si>
  <si>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</si>
  <si>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</si>
  <si>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</si>
  <si>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</si>
  <si>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</si>
  <si>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</si>
  <si>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</si>
  <si>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</si>
  <si>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</si>
  <si>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</si>
  <si>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</si>
  <si>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</si>
  <si>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</si>
  <si>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</si>
  <si>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</si>
  <si>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</si>
  <si>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</si>
  <si>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</si>
  <si>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</si>
  <si>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</si>
  <si>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</si>
  <si>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</si>
  <si>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</si>
  <si>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</si>
  <si>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</si>
  <si>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</si>
  <si>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</si>
  <si>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</si>
  <si>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</si>
  <si>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</si>
  <si>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</si>
  <si>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</si>
  <si>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</si>
  <si>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</si>
  <si>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</si>
  <si>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</si>
  <si>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</si>
  <si>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</si>
  <si>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</si>
  <si>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</si>
  <si>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</si>
  <si>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</si>
  <si>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</si>
  <si>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</si>
  <si>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</si>
  <si>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</si>
  <si>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</si>
  <si>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</si>
  <si>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</si>
  <si>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</si>
  <si>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</si>
  <si>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</si>
  <si>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</si>
  <si>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</si>
  <si>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</si>
  <si>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</si>
  <si>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</si>
  <si>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</si>
  <si>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</si>
  <si>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</si>
  <si>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</si>
  <si>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</si>
  <si>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</si>
  <si>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</si>
  <si>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</si>
  <si>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</si>
  <si>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</si>
  <si>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</si>
  <si>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</si>
  <si>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</si>
  <si>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</si>
  <si>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</si>
  <si>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</si>
  <si>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</si>
  <si>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</si>
  <si>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</si>
  <si>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</si>
  <si>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</si>
  <si>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</si>
  <si>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</si>
  <si>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</si>
  <si>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</si>
  <si>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</si>
  <si>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</si>
  <si>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</si>
  <si>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</si>
  <si>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</si>
  <si>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</si>
  <si>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</si>
  <si>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</si>
  <si>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</si>
  <si>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</si>
  <si>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</si>
  <si>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</si>
  <si>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</si>
  <si>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</si>
  <si>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</si>
  <si>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</si>
  <si>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</si>
  <si>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</si>
  <si>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</si>
  <si>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</si>
  <si>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</si>
  <si>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</si>
  <si>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</si>
  <si>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</si>
  <si>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</si>
  <si>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</si>
  <si>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</si>
  <si>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</si>
  <si>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</si>
  <si>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</si>
  <si>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</si>
  <si>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</si>
  <si>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</si>
  <si>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</si>
  <si>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</si>
  <si>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</si>
  <si>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</si>
  <si>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</si>
  <si>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</si>
  <si>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</si>
  <si>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</si>
  <si>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</si>
  <si>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</si>
  <si>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</si>
  <si>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</si>
  <si>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</si>
  <si>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</si>
  <si>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</si>
  <si>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</si>
  <si>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</si>
  <si>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</si>
  <si>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</si>
  <si>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</si>
  <si>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</si>
  <si>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</si>
  <si>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</si>
  <si>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</si>
  <si>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</si>
  <si>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</si>
  <si>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</si>
  <si>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</si>
  <si>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</si>
  <si>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</si>
  <si>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</si>
  <si>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</si>
  <si>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</si>
  <si>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</si>
  <si>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</si>
  <si>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</si>
  <si>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</si>
  <si>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</si>
  <si>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</si>
  <si>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</si>
  <si>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</si>
  <si>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</si>
  <si>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</si>
  <si>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</si>
  <si>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</si>
  <si>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</si>
  <si>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</si>
  <si>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</si>
  <si>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</si>
  <si>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</si>
  <si>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</si>
  <si>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</si>
  <si>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</si>
  <si>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</si>
  <si>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</si>
  <si>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</si>
  <si>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</si>
  <si>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</si>
  <si>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</si>
  <si>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</si>
  <si>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</si>
  <si>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</si>
  <si>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</si>
  <si>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</si>
  <si>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</si>
  <si>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</si>
  <si>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</si>
  <si>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</si>
  <si>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</si>
  <si>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</si>
  <si>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</si>
  <si>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</si>
  <si>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</si>
  <si>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</si>
  <si>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</si>
  <si>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</si>
  <si>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</si>
  <si>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</si>
  <si>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</si>
  <si>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</si>
  <si>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</si>
  <si>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</si>
  <si>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</si>
  <si>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</si>
  <si>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</si>
  <si>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</si>
  <si>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</si>
  <si>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</si>
  <si>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</si>
  <si>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</si>
  <si>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</si>
  <si>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</si>
  <si>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</si>
  <si>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</si>
  <si>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</si>
  <si>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</si>
  <si>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</si>
  <si>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</si>
  <si>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</si>
  <si>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</si>
  <si>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</si>
  <si>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</si>
  <si>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</si>
  <si>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</si>
  <si>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</si>
  <si>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</si>
  <si>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</si>
  <si>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</si>
  <si>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</si>
  <si>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</si>
  <si>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</si>
  <si>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</si>
  <si>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</si>
  <si>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</si>
  <si>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</si>
  <si>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</si>
  <si>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</si>
  <si>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</si>
  <si>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</si>
  <si>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</si>
  <si>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</si>
  <si>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</si>
  <si>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</si>
  <si>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</si>
  <si>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</si>
  <si>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</si>
  <si>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</si>
  <si>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</si>
  <si>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</si>
  <si>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</si>
  <si>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</si>
  <si>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</si>
  <si>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</si>
  <si>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</si>
  <si>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</si>
  <si>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</si>
  <si>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</si>
  <si>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</si>
  <si>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</si>
  <si>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</si>
  <si>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</si>
  <si>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</si>
  <si>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</si>
  <si>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</si>
  <si>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</si>
  <si>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</si>
  <si>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</si>
  <si>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</si>
  <si>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</si>
  <si>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</si>
  <si>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</si>
  <si>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</si>
  <si>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</si>
  <si>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</si>
  <si>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</si>
  <si>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</si>
  <si>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</si>
  <si>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</si>
  <si>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</si>
  <si>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</si>
  <si>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</si>
  <si>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</si>
  <si>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</si>
  <si>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</si>
  <si>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</si>
  <si>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</si>
  <si>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</si>
  <si>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</si>
  <si>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</si>
  <si>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</si>
  <si>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</si>
  <si>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</si>
  <si>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</si>
  <si>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</si>
  <si>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</si>
  <si>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</si>
  <si>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</si>
  <si>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</si>
  <si>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</si>
  <si>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</si>
  <si>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</si>
  <si>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</si>
  <si>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</si>
  <si>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</si>
  <si>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</si>
  <si>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</si>
  <si>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</si>
  <si>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</si>
  <si>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</si>
  <si>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</si>
  <si>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</si>
  <si>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</si>
  <si>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</si>
  <si>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</si>
  <si>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</si>
  <si>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</si>
  <si>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</si>
  <si>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</si>
  <si>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</si>
  <si>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</si>
  <si>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</si>
  <si>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</si>
  <si>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</si>
  <si>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</si>
  <si>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</si>
  <si>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</si>
  <si>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</si>
  <si>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</si>
  <si>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</si>
  <si>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</si>
  <si>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</si>
  <si>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</si>
  <si>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</si>
  <si>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</si>
  <si>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</si>
  <si>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</si>
  <si>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</si>
  <si>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</si>
  <si>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</si>
  <si>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</si>
  <si>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</si>
  <si>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</si>
  <si>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</si>
  <si>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</si>
  <si>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</si>
  <si>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</si>
  <si>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</si>
  <si>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</si>
  <si>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</si>
  <si>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</si>
  <si>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</si>
  <si>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</si>
  <si>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</si>
  <si>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</si>
  <si>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</si>
  <si>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</si>
  <si>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</si>
  <si>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</si>
  <si>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</si>
  <si>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</si>
  <si>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</si>
  <si>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</si>
  <si>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</si>
  <si>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</si>
  <si>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</si>
  <si>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</si>
  <si>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</si>
  <si>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</si>
  <si>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</si>
  <si>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</si>
  <si>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</si>
  <si>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</si>
  <si>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</si>
  <si>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</si>
  <si>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</si>
  <si>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</si>
  <si>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</si>
  <si>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</si>
  <si>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</si>
  <si>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</si>
  <si>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</si>
  <si>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</si>
  <si>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</si>
  <si>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</si>
  <si>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</si>
  <si>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</si>
  <si>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</si>
  <si>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</si>
  <si>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</si>
  <si>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</si>
  <si>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</si>
  <si>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</si>
  <si>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</si>
  <si>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</si>
  <si>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</si>
  <si>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</si>
  <si>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</si>
  <si>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</si>
  <si>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</si>
  <si>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</si>
  <si>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</si>
  <si>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</si>
  <si>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</si>
  <si>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</si>
  <si>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</si>
  <si>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</si>
  <si>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</si>
  <si>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</si>
  <si>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</si>
  <si>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</si>
  <si>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</si>
  <si>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</si>
  <si>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</si>
  <si>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</si>
  <si>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</si>
  <si>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</si>
  <si>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</si>
  <si>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</si>
  <si>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</si>
  <si>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</si>
  <si>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</si>
  <si>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</si>
  <si>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</si>
  <si>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</si>
  <si>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</si>
  <si>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</si>
  <si>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</si>
  <si>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</si>
  <si>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</si>
  <si>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</si>
  <si>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</si>
  <si>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</si>
  <si>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</si>
  <si>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</si>
  <si>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</si>
  <si>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</si>
  <si>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</si>
  <si>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</si>
  <si>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</si>
  <si>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</si>
  <si>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</si>
  <si>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</si>
  <si>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</si>
  <si>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</si>
  <si>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</si>
  <si>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</si>
  <si>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</si>
  <si>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</si>
  <si>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</si>
  <si>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</si>
  <si>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</si>
  <si>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</si>
  <si>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</si>
  <si>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</si>
  <si>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</si>
  <si>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</si>
  <si>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</si>
  <si>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</si>
  <si>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</si>
  <si>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</si>
  <si>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</si>
  <si>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</si>
  <si>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</si>
  <si>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</si>
  <si>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</si>
  <si>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</si>
  <si>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</si>
  <si>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</si>
  <si>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</si>
  <si>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</si>
  <si>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</si>
  <si>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</si>
  <si>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</si>
  <si>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</si>
  <si>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</si>
  <si>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</si>
  <si>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</si>
  <si>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</si>
  <si>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</si>
  <si>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</si>
  <si>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</si>
  <si>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</si>
  <si>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</si>
  <si>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</si>
  <si>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</si>
  <si>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</si>
  <si>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</si>
  <si>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</si>
  <si>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</si>
  <si>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</si>
  <si>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</si>
  <si>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</si>
  <si>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</si>
  <si>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</si>
  <si>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</si>
  <si>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</si>
  <si>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</si>
  <si>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</si>
  <si>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</si>
  <si>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</si>
  <si>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</si>
  <si>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</si>
  <si>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</si>
  <si>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</si>
  <si>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</si>
  <si>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</si>
  <si>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</si>
  <si>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</si>
  <si>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</si>
  <si>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</si>
  <si>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</si>
  <si>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</si>
  <si>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</si>
  <si>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</si>
  <si>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</si>
  <si>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</si>
  <si>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</si>
  <si>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</si>
  <si>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</si>
  <si>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</si>
  <si>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</si>
  <si>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</si>
  <si>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</si>
  <si>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</si>
  <si>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</si>
  <si>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</si>
  <si>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</si>
  <si>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</si>
  <si>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</si>
  <si>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</si>
  <si>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</si>
  <si>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</si>
  <si>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</si>
  <si>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</si>
  <si>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</si>
  <si>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</si>
  <si>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</si>
  <si>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</si>
  <si>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</si>
  <si>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</si>
  <si>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</si>
  <si>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</si>
  <si>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</si>
  <si>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</si>
  <si>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</si>
  <si>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</si>
  <si>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</si>
  <si>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</si>
  <si>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</si>
  <si>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</si>
  <si>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</si>
  <si>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</si>
  <si>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</si>
  <si>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</si>
  <si>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</si>
  <si>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</si>
  <si>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</si>
  <si>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</si>
  <si>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</si>
  <si>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</si>
  <si>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</si>
  <si>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</si>
  <si>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</si>
  <si>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</si>
  <si>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</si>
  <si>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</si>
  <si>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</si>
  <si>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</si>
  <si>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</si>
  <si>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</si>
  <si>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</si>
  <si>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</si>
  <si>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</si>
  <si>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</si>
  <si>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</si>
  <si>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</si>
  <si>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</si>
  <si>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</si>
  <si>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</si>
  <si>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</si>
  <si>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</si>
  <si>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</si>
  <si>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</si>
  <si>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</si>
  <si>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</si>
  <si>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</si>
  <si>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</si>
  <si>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</si>
  <si>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</si>
  <si>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</si>
  <si>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</si>
  <si>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</si>
  <si>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</si>
  <si>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</si>
  <si>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</si>
  <si>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</si>
  <si>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</si>
  <si>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</si>
  <si>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</si>
  <si>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</si>
  <si>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</si>
  <si>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</si>
  <si>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</si>
  <si>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</si>
  <si>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</si>
  <si>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</si>
  <si>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</si>
  <si>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</si>
  <si>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</si>
  <si>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</si>
  <si>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</si>
  <si>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</si>
  <si>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</si>
  <si>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</si>
  <si>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</si>
  <si>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</si>
  <si>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</si>
  <si>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</si>
  <si>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</si>
  <si>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</si>
  <si>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</si>
  <si>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</si>
  <si>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</si>
  <si>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</si>
  <si>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</si>
  <si>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</si>
  <si>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</si>
  <si>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</si>
  <si>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</si>
  <si>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</si>
  <si>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</si>
  <si>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</si>
  <si>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</si>
  <si>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</si>
  <si>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</si>
  <si>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</si>
  <si>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</si>
  <si>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</si>
  <si>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</si>
  <si>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</si>
  <si>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</si>
  <si>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</si>
  <si>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</si>
  <si>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</si>
  <si>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</si>
  <si>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</si>
  <si>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</si>
  <si>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</si>
  <si>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</si>
  <si>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</si>
  <si>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</si>
  <si>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</si>
  <si>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</si>
  <si>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</si>
  <si>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</si>
  <si>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</si>
  <si>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</si>
  <si>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</si>
  <si>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</si>
  <si>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</si>
  <si>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</si>
  <si>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</si>
  <si>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</si>
  <si>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</si>
  <si>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</si>
  <si>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</si>
  <si>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</si>
  <si>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</si>
  <si>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</si>
  <si>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</si>
  <si>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</si>
  <si>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</si>
  <si>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</si>
  <si>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</si>
  <si>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</si>
  <si>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</si>
  <si>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</si>
  <si>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</si>
  <si>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</si>
  <si>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</si>
  <si>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</si>
  <si>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</si>
  <si>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</si>
  <si>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</si>
  <si>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</si>
  <si>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</si>
  <si>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</si>
  <si>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</si>
  <si>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</si>
  <si>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</si>
  <si>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</si>
  <si>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</si>
  <si>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</si>
  <si>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</si>
  <si>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</si>
  <si>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</si>
  <si>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</si>
  <si>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</si>
  <si>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</si>
  <si>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</si>
  <si>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</si>
  <si>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</si>
  <si>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</si>
  <si>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</si>
  <si>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</si>
  <si>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</si>
  <si>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</si>
  <si>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</si>
  <si>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</si>
  <si>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</si>
  <si>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</si>
  <si>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</si>
  <si>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</si>
  <si>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</si>
  <si>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</si>
  <si>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</si>
  <si>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</si>
  <si>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</si>
  <si>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</si>
  <si>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</si>
  <si>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</si>
  <si>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</si>
  <si>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</si>
  <si>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</si>
  <si>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</si>
  <si>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</si>
  <si>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</si>
  <si>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</si>
  <si>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</si>
  <si>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</si>
  <si>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</si>
  <si>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</si>
  <si>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</si>
  <si>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</si>
  <si>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</si>
  <si>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</si>
  <si>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</si>
  <si>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</si>
  <si>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</si>
  <si>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</si>
  <si>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</si>
  <si>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</si>
  <si>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</si>
  <si>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</si>
  <si>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</si>
  <si>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</si>
  <si>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</si>
  <si>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</si>
  <si>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</si>
  <si>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</si>
  <si>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</si>
  <si>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</si>
  <si>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</si>
  <si>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</si>
  <si>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</si>
  <si>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</si>
  <si>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</si>
  <si>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</si>
  <si>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</si>
  <si>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</si>
  <si>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</si>
  <si>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</si>
  <si>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</si>
  <si>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</si>
  <si>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</si>
  <si>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</si>
  <si>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</si>
  <si>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</si>
  <si>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</si>
  <si>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</si>
  <si>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</si>
  <si>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</si>
  <si>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</si>
  <si>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</si>
  <si>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</si>
  <si>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</si>
  <si>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</si>
  <si>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</si>
  <si>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</si>
  <si>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</si>
  <si>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</si>
  <si>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</si>
  <si>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</si>
  <si>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</si>
  <si>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</si>
  <si>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</si>
  <si>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</si>
  <si>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</si>
  <si>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</si>
  <si>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</si>
  <si>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</si>
  <si>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</si>
  <si>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</si>
  <si>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</si>
  <si>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</si>
  <si>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</si>
  <si>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</si>
  <si>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</si>
  <si>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</si>
  <si>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</si>
  <si>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</si>
  <si>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</si>
  <si>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</si>
  <si>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</si>
  <si>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</si>
  <si>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</si>
  <si>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</si>
  <si>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</si>
  <si>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</si>
  <si>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</si>
  <si>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</si>
  <si>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</si>
  <si>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</si>
  <si>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</si>
  <si>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</si>
  <si>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</si>
  <si>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</si>
  <si>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</si>
  <si>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</si>
  <si>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</si>
  <si>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</si>
  <si>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</si>
  <si>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</si>
  <si>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</si>
  <si>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</si>
  <si>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</si>
  <si>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</si>
  <si>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</si>
  <si>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</si>
  <si>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</si>
  <si>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</si>
  <si>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</si>
  <si>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</si>
  <si>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</si>
  <si>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</si>
  <si>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</si>
  <si>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</si>
  <si>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</si>
  <si>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</si>
  <si>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</si>
  <si>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</si>
  <si>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</si>
  <si>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</si>
  <si>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</si>
  <si>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</si>
  <si>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</si>
  <si>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</si>
  <si>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</si>
  <si>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</si>
  <si>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</si>
  <si>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</si>
  <si>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</si>
  <si>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</si>
  <si>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</si>
  <si>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</si>
  <si>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</si>
  <si>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</si>
  <si>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</si>
  <si>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</si>
  <si>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</si>
  <si>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</si>
  <si>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</si>
  <si>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</si>
  <si>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</si>
  <si>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</si>
  <si>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</si>
  <si>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</si>
  <si>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</si>
  <si>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</si>
  <si>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</si>
  <si>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</si>
  <si>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</si>
  <si>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</si>
  <si>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</si>
  <si>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</si>
  <si>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</si>
  <si>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</si>
  <si>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</si>
  <si>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</si>
  <si>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</si>
  <si>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</si>
  <si>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</si>
  <si>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</si>
  <si>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</si>
  <si>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</si>
  <si>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</si>
  <si>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</si>
  <si>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</si>
  <si>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</si>
  <si>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</si>
  <si>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</si>
  <si>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</si>
  <si>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</si>
  <si>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</si>
  <si>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</si>
  <si>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</si>
  <si>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</si>
  <si>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</si>
  <si>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</si>
  <si>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</si>
  <si>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</si>
  <si>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</si>
  <si>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</si>
  <si>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</si>
  <si>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</si>
  <si>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</si>
  <si>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</si>
  <si>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</si>
  <si>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</si>
  <si>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</si>
  <si>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</si>
  <si>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</si>
  <si>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</si>
  <si>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</si>
  <si>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</si>
  <si>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</si>
  <si>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</si>
  <si>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</si>
  <si>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</si>
  <si>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</si>
  <si>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</si>
  <si>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</si>
  <si>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</si>
  <si>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</si>
  <si>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</si>
  <si>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</si>
  <si>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</si>
  <si>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</si>
  <si>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</si>
  <si>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</si>
  <si>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</si>
  <si>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</si>
  <si>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</si>
  <si>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</si>
  <si>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</si>
  <si>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</si>
  <si>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</si>
  <si>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</si>
  <si>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</si>
  <si>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</si>
  <si>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</si>
  <si>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</si>
  <si>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</si>
  <si>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</si>
  <si>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</si>
  <si>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</si>
  <si>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</si>
  <si>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</si>
  <si>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</si>
  <si>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</si>
  <si>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</si>
  <si>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</si>
  <si>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</si>
  <si>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</si>
  <si>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</si>
  <si>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</si>
  <si>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</si>
  <si>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</si>
  <si>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</si>
  <si>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</si>
  <si>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</si>
  <si>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</si>
  <si>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</si>
  <si>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</si>
  <si>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</si>
  <si>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</si>
  <si>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</si>
  <si>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</si>
  <si>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</si>
  <si>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</si>
  <si>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</si>
  <si>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</si>
  <si>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</si>
  <si>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</si>
  <si>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</si>
  <si>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</si>
  <si>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</si>
  <si>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</si>
  <si>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</si>
  <si>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</si>
  <si>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</si>
  <si>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</si>
  <si>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</si>
  <si>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</si>
  <si>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</si>
  <si>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</si>
  <si>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</si>
  <si>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</si>
  <si>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</si>
  <si>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</si>
  <si>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</si>
  <si>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</si>
  <si>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</si>
  <si>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</si>
  <si>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</si>
  <si>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</si>
  <si>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</si>
  <si>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</si>
  <si>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</si>
  <si>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</si>
  <si>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</si>
  <si>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</si>
  <si>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</si>
  <si>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</si>
  <si>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</si>
  <si>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</si>
  <si>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</si>
  <si>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</si>
  <si>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</si>
  <si>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</si>
  <si>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</si>
  <si>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</si>
  <si>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</si>
  <si>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</si>
  <si>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</si>
  <si>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</si>
  <si>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</si>
  <si>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</si>
  <si>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</si>
  <si>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</si>
  <si>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</si>
  <si>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</si>
  <si>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</si>
  <si>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</si>
  <si>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</si>
  <si>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</si>
  <si>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</si>
  <si>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</si>
  <si>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</si>
  <si>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</si>
  <si>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</si>
  <si>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</si>
  <si>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</si>
  <si>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</si>
  <si>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</si>
  <si>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</si>
  <si>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</si>
  <si>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</si>
  <si>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</si>
  <si>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</si>
  <si>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</si>
  <si>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</si>
  <si>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</si>
  <si>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</si>
  <si>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</si>
  <si>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</si>
  <si>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</si>
  <si>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</si>
  <si>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</si>
  <si>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</si>
  <si>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</si>
  <si>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</si>
  <si>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</si>
  <si>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</si>
  <si>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</si>
  <si>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</si>
  <si>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</si>
  <si>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</si>
  <si>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</si>
  <si>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</si>
  <si>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</si>
  <si>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</si>
  <si>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</si>
  <si>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</si>
  <si>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</si>
  <si>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</si>
  <si>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</si>
  <si>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</si>
  <si>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</si>
  <si>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</si>
  <si>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</si>
  <si>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</si>
  <si>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</si>
  <si>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</si>
  <si>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</si>
  <si>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</si>
  <si>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</si>
  <si>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</si>
  <si>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</si>
  <si>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</si>
  <si>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</si>
  <si>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</si>
  <si>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</si>
  <si>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</si>
  <si>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</si>
  <si>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</si>
  <si>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</si>
  <si>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</si>
  <si>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</si>
  <si>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</si>
  <si>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</si>
  <si>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</si>
  <si>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</si>
  <si>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</si>
  <si>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</si>
  <si>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</si>
  <si>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</si>
  <si>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</si>
  <si>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</si>
  <si>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</si>
  <si>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</si>
  <si>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</si>
  <si>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</si>
  <si>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</si>
  <si>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</si>
  <si>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</si>
  <si>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</si>
  <si>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</si>
  <si>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</si>
  <si>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</si>
  <si>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</si>
  <si>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</si>
  <si>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</si>
  <si>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</si>
  <si>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</si>
  <si>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</si>
  <si>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</si>
  <si>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</si>
  <si>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</si>
  <si>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</si>
  <si>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</si>
  <si>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</si>
  <si>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</si>
  <si>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</si>
  <si>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</si>
  <si>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</si>
  <si>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</si>
  <si>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</si>
  <si>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</si>
  <si>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</si>
  <si>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</si>
  <si>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</si>
  <si>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</si>
  <si>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</si>
  <si>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</si>
  <si>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</si>
  <si>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</si>
  <si>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</si>
  <si>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</si>
  <si>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</si>
  <si>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</si>
  <si>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</si>
  <si>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</si>
  <si>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</si>
  <si>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</si>
  <si>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</si>
  <si>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</si>
  <si>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</si>
  <si>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</si>
  <si>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</si>
  <si>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</si>
  <si>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</si>
  <si>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</si>
  <si>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</si>
  <si>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</si>
  <si>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</si>
  <si>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</si>
  <si>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</si>
  <si>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</si>
  <si>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</si>
  <si>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</si>
  <si>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</si>
  <si>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</si>
  <si>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</si>
  <si>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</si>
  <si>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</si>
  <si>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</si>
  <si>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</si>
  <si>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</si>
  <si>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</si>
  <si>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</si>
  <si>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</si>
  <si>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</si>
  <si>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</si>
  <si>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</si>
  <si>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</si>
  <si>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</si>
  <si>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</si>
  <si>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</si>
  <si>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</si>
  <si>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</si>
  <si>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</si>
  <si>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</si>
  <si>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</si>
  <si>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</si>
  <si>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</si>
  <si>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</si>
  <si>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</si>
  <si>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</si>
  <si>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</si>
  <si>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</si>
  <si>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</si>
  <si>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</si>
  <si>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</si>
  <si>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</si>
  <si>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</si>
  <si>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</si>
  <si>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</si>
  <si>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</si>
  <si>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</si>
  <si>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</si>
  <si>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</si>
  <si>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</si>
  <si>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</si>
  <si>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</si>
  <si>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</si>
  <si>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</si>
  <si>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</si>
  <si>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</si>
  <si>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</si>
  <si>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</si>
  <si>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</si>
  <si>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</si>
  <si>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</si>
  <si>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</si>
  <si>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</si>
  <si>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</si>
  <si>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</si>
  <si>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</si>
  <si>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</si>
  <si>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</si>
  <si>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</si>
  <si>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</si>
  <si>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</si>
  <si>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</si>
  <si>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</si>
  <si>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</si>
  <si>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</si>
  <si>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</si>
  <si>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</si>
  <si>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</si>
  <si>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</si>
  <si>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</si>
  <si>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</si>
  <si>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</si>
  <si>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</si>
  <si>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</si>
  <si>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</si>
  <si>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</si>
  <si>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</si>
  <si>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</si>
  <si>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</si>
  <si>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</si>
  <si>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</si>
  <si>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</si>
  <si>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</si>
  <si>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</si>
  <si>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</si>
  <si>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</si>
  <si>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</si>
  <si>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</si>
  <si>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</si>
  <si>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</si>
  <si>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</si>
  <si>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</si>
  <si>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</si>
  <si>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</si>
  <si>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</si>
  <si>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</si>
  <si>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</si>
  <si>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</si>
  <si>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</si>
  <si>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</si>
  <si>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</si>
  <si>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</si>
  <si>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</si>
  <si>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</si>
  <si>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</si>
  <si>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</si>
  <si>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</si>
  <si>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</si>
  <si>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</si>
  <si>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</si>
  <si>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</si>
  <si>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</si>
  <si>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</si>
  <si>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</si>
  <si>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</si>
  <si>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</si>
  <si>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</si>
  <si>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</si>
  <si>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</si>
  <si>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</si>
  <si>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</si>
  <si>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</si>
  <si>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</si>
  <si>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</si>
  <si>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</si>
  <si>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</si>
  <si>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</si>
  <si>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</si>
  <si>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</si>
  <si>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</si>
  <si>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</si>
  <si>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</si>
  <si>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</si>
  <si>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</si>
  <si>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</si>
  <si>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</si>
  <si>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</si>
  <si>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</si>
  <si>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</si>
  <si>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</si>
  <si>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</si>
  <si>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</si>
  <si>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</si>
  <si>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</si>
  <si>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</si>
  <si>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</si>
  <si>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</si>
  <si>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</si>
  <si>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</si>
  <si>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</si>
  <si>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</si>
  <si>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</si>
  <si>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</si>
  <si>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</si>
  <si>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</si>
  <si>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</si>
  <si>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</si>
  <si>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</si>
  <si>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</si>
  <si>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</si>
  <si>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</si>
  <si>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</si>
  <si>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</si>
  <si>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</si>
  <si>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</si>
  <si>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</si>
  <si>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</si>
  <si>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</si>
  <si>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</si>
  <si>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</si>
  <si>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</si>
  <si>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</si>
  <si>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</si>
  <si>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</si>
  <si>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</si>
  <si>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</si>
  <si>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</si>
  <si>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</si>
  <si>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</si>
  <si>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</si>
  <si>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</si>
  <si>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</si>
  <si>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</si>
  <si>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</si>
  <si>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</si>
  <si>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</si>
  <si>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</si>
  <si>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</si>
  <si>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</si>
  <si>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</si>
  <si>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</si>
  <si>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</si>
  <si>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</si>
  <si>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</si>
  <si>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</si>
  <si>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</si>
  <si>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</si>
  <si>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</si>
  <si>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</si>
  <si>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</si>
  <si>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</si>
  <si>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</si>
  <si>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</si>
  <si>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</si>
  <si>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</si>
  <si>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</si>
  <si>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</si>
  <si>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</si>
  <si>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</si>
  <si>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</si>
  <si>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</si>
  <si>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</si>
  <si>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</si>
  <si>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</si>
  <si>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</si>
  <si>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</si>
  <si>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</si>
  <si>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</si>
  <si>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</si>
  <si>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</si>
  <si>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</si>
  <si>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</si>
  <si>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</si>
  <si>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</si>
  <si>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</si>
  <si>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</si>
  <si>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</si>
  <si>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</si>
  <si>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</si>
  <si>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</si>
  <si>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</si>
  <si>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</si>
  <si>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</si>
  <si>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</si>
  <si>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</si>
  <si>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</si>
  <si>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</si>
  <si>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</si>
  <si>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</si>
  <si>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</si>
  <si>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</si>
  <si>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</si>
  <si>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</si>
  <si>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</si>
  <si>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</si>
  <si>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</si>
  <si>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</si>
  <si>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</si>
  <si>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</si>
  <si>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</si>
  <si>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</si>
  <si>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</si>
  <si>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</si>
  <si>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</si>
  <si>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</si>
  <si>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</si>
  <si>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</si>
  <si>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</si>
  <si>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</si>
  <si>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</si>
  <si>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</si>
  <si>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</si>
  <si>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</si>
  <si>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</si>
  <si>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</si>
  <si>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</si>
  <si>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</si>
  <si>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</si>
  <si>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</si>
  <si>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</si>
  <si>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</si>
  <si>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</si>
  <si>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</si>
  <si>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</si>
  <si>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</si>
  <si>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</si>
  <si>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</si>
  <si>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</si>
  <si>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</si>
  <si>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</si>
  <si>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</si>
  <si>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</si>
  <si>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</si>
  <si>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</si>
  <si>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</si>
  <si>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</si>
  <si>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</si>
  <si>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</si>
  <si>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</si>
  <si>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</si>
  <si>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</si>
  <si>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</si>
  <si>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</si>
  <si>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</si>
  <si>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</si>
  <si>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</si>
  <si>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</si>
  <si>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</si>
  <si>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</si>
  <si>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</si>
  <si>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</si>
  <si>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</si>
  <si>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</si>
  <si>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</si>
  <si>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</si>
  <si>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</si>
  <si>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</si>
  <si>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</si>
  <si>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</si>
  <si>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</si>
  <si>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</si>
  <si>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</si>
  <si>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</si>
  <si>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</si>
  <si>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</si>
  <si>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</si>
  <si>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</si>
  <si>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</si>
  <si>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</si>
  <si>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</si>
  <si>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</si>
  <si>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</si>
  <si>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</si>
  <si>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</si>
  <si>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</si>
  <si>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</si>
  <si>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</si>
  <si>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</si>
  <si>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</si>
  <si>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</si>
  <si>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</si>
  <si>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</si>
  <si>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</si>
  <si>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</si>
  <si>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</si>
  <si>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</si>
  <si>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</si>
  <si>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</si>
  <si>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</si>
  <si>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</si>
  <si>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</si>
  <si>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</si>
  <si>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</si>
  <si>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</si>
  <si>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</si>
  <si>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</si>
  <si>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</si>
  <si>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</si>
  <si>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</si>
  <si>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</si>
  <si>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</si>
  <si>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</si>
  <si>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</si>
  <si>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</si>
  <si>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</si>
  <si>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</si>
  <si>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</si>
  <si>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</si>
  <si>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</si>
  <si>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</si>
  <si>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</si>
  <si>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</si>
  <si>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</si>
  <si>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</si>
  <si>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</si>
  <si>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</si>
  <si>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TRIDENT II Mods - P-5 1 / D5 Life Extension - Joint Fuze Production Engineering/Support</t>
  </si>
  <si>
    <t>1250 / TRIDENT II Mods</t>
  </si>
  <si>
    <t>P-5</t>
  </si>
  <si>
    <t>Recurring</t>
  </si>
  <si>
    <t>P-5 Cost Analysis &gt; WPN LI 1250 &gt; 1.1.1 Joint Fuze Production Engineering/Support</t>
  </si>
  <si>
    <t>Joint Fuze Production Engineering/Support</t>
  </si>
  <si>
    <t>TRIDENT II Mods - P-5 1 / D5 Life Extension - Joint Fuze Material/Hardware Procurement</t>
  </si>
  <si>
    <t>P-5 Cost Analysis &gt; WPN LI 1250 &gt; 1.1.2 Joint Fuze Material/Hardware Procurement</t>
  </si>
  <si>
    <t>Joint Fuze Material/Hardware Procurement</t>
  </si>
  <si>
    <t>TRIDENT II Mods - P-5 1 / D5 Life Extension - Production Support</t>
  </si>
  <si>
    <t>P-5 Cost Analysis &gt; WPN LI 1250 &gt; 2.1.1 Production Support</t>
  </si>
  <si>
    <t>Production Support</t>
  </si>
  <si>
    <t>TRIDENT II Mods - P-5 1 / D5 Life Extension - Missile Inverter</t>
  </si>
  <si>
    <t>P-5 Cost Analysis &gt; WPN LI 1250 &gt; 4.1.2 Missile Inverter</t>
  </si>
  <si>
    <t>Missile Inverter</t>
  </si>
  <si>
    <t>TRIDENT II Mods - P-5 1 / D5 Life Extension - Command Sequencer</t>
  </si>
  <si>
    <t>P-5 Cost Analysis &gt; WPN LI 1250 &gt; 4.1.3 Command Sequencer</t>
  </si>
  <si>
    <t>Command Sequencer</t>
  </si>
  <si>
    <t>TRIDENT II Mods - P-5 1 / D5 Life Extension - Fleet Return Missile Electronics Production Support</t>
  </si>
  <si>
    <t>P-5 Cost Analysis &gt; WPN LI 1250 &gt; 4.1.5 Fleet Return Missile Electronics Production Support</t>
  </si>
  <si>
    <t>Fleet Return Missile Electronics Production Support</t>
  </si>
  <si>
    <t>TRIDENT II Mods - P-5 2 / Operating and Support Costs - Warhead Components</t>
  </si>
  <si>
    <t>Support</t>
  </si>
  <si>
    <t>P-5 Cost Analysis &gt; WPN LI 1250 &gt; 1.1 Warhead Components</t>
  </si>
  <si>
    <t>Warhead Components</t>
  </si>
  <si>
    <t>TRIDENT II Mods - P-5 2 / Operating and Support Costs - Mk4B Shape Stable Nose Tip (SSNT)</t>
  </si>
  <si>
    <t>P-5 Cost Analysis &gt; WPN LI 1250 &gt; 1.2 Mk4B Shape Stable Nose Tip (SSNT)</t>
  </si>
  <si>
    <t>Mk4B Shape Stable Nose Tip (SSNT)</t>
  </si>
  <si>
    <t>TRIDENT II Mods - P-5 2 / Operating and Support Costs - Tooling, Test/Support Equipment</t>
  </si>
  <si>
    <t>P-5 Cost Analysis &gt; WPN LI 1250 &gt; 1.3 Tooling, Test/Support Equipment</t>
  </si>
  <si>
    <t>Tooling, Test/Support Equipment</t>
  </si>
  <si>
    <t>TRIDENT II Mods - P-5 2 / Operating and Support Costs - System Integration &amp; Planning</t>
  </si>
  <si>
    <t>P-5 Cost Analysis &gt; WPN LI 1250 &gt; 1.4 System Integration &amp; Planning</t>
  </si>
  <si>
    <t>System Integration &amp; Planning</t>
  </si>
  <si>
    <t>TRIDENT II Mods - P-5 2 / Operating and Support Costs - Supportability Mods/SPALT Insertion</t>
  </si>
  <si>
    <t>P-5 Cost Analysis &gt; WPN LI 1250 &gt; 1.5 Supportability Mods/SPALT Insertion</t>
  </si>
  <si>
    <t>Supportability Mods/SPALT Insertion</t>
  </si>
  <si>
    <t>TRIDENT II Mods - P-5 2 / Operating and Support Costs - Solid Rocket Motors</t>
  </si>
  <si>
    <t>P-5 Cost Analysis &gt; WPN LI 1250 &gt; 2.1 Solid Rocket Motors</t>
  </si>
  <si>
    <t>Solid Rocket Motors</t>
  </si>
  <si>
    <t>TRIDENT II Mods - P-5 2 / Operating and Support Costs - Post Boost Control System (PBCS)</t>
  </si>
  <si>
    <t>P-5 Cost Analysis &gt; WPN LI 1250 &gt; 2.2 Post Boost Control System (PBCS)</t>
  </si>
  <si>
    <t>Post Boost Control System (PBCS)</t>
  </si>
  <si>
    <t>TRIDENT II Mods - P-5 2 / Operating and Support Costs - HMX</t>
  </si>
  <si>
    <t>P-5 Cost Analysis &gt; WPN LI 1250 &gt; 2.3 HMX</t>
  </si>
  <si>
    <t>HMX</t>
  </si>
  <si>
    <t>TRIDENT II Mods - P-5 2 / Operating and Support Costs - Ordnance</t>
  </si>
  <si>
    <t>P-5 Cost Analysis &gt; WPN LI 1250 &gt; 2.4 Ordnance</t>
  </si>
  <si>
    <t>TRIDENT II Mods - P-5 2 / Operating and Support Costs - Controls</t>
  </si>
  <si>
    <t>P-5 Cost Analysis &gt; WPN LI 1250 &gt; 2.5 Controls</t>
  </si>
  <si>
    <t>Controls</t>
  </si>
  <si>
    <t>TRIDENT II Mods - P-5 2 / Operating and Support Costs - Other</t>
  </si>
  <si>
    <t>P-5 Cost Analysis &gt; WPN LI 1250 &gt; 2.6 Other</t>
  </si>
  <si>
    <t>TRIDENT II Mods - P-5 2 / Operating and Support Costs - PBCS Requalification</t>
  </si>
  <si>
    <t>P-5 Cost Analysis &gt; WPN LI 1250 &gt; 2.7 PBCS Requalification</t>
  </si>
  <si>
    <t>PBCS Requalification</t>
  </si>
  <si>
    <t>TRIDENT II Mods - P-5 2 / Operating and Support Costs - Electronics</t>
  </si>
  <si>
    <t>P-5 Cost Analysis &gt; WPN LI 1250 &gt; 3.1 Electronics</t>
  </si>
  <si>
    <t>TRIDENT II Mods - P-5 2 / Operating and Support Costs - Production Support</t>
  </si>
  <si>
    <t>P-5 Cost Analysis &gt; WPN LI 1250 &gt; 5.1 Production Support</t>
  </si>
  <si>
    <t>TRIDENT II Mods - P-5 2 / Operating and Support Costs - Guidance Repair Parts</t>
  </si>
  <si>
    <t>P-5 Cost Analysis &gt; WPN LI 1250 &gt; 6.1 Guidance Repair Parts</t>
  </si>
  <si>
    <t>Guidance Repair Parts</t>
  </si>
  <si>
    <t>TRIDENT II Mods - P-5 2 / Operating and Support Costs - SRM Chamber/Case Modernization</t>
  </si>
  <si>
    <t>P-5 Cost Analysis &gt; WPN LI 1250 &gt; 7.1 SRM Chamber/Case Modernization</t>
  </si>
  <si>
    <t>SRM Chamber/Case Modernization</t>
  </si>
  <si>
    <t>TRIDENT II Mods - P-5 2 / Operating and Support Costs - SRM Igniter/Nozzle Modernization</t>
  </si>
  <si>
    <t>P-5 Cost Analysis &gt; WPN LI 1250 &gt; 7.2 SRM Igniter/Nozzle Modernization</t>
  </si>
  <si>
    <t>SRM Igniter/Nozzle Modernization</t>
  </si>
  <si>
    <t>TRIDENT II Mods - P-5 2 / Operating and Support Costs - SRM Propellant/Energetics Modernization</t>
  </si>
  <si>
    <t>P-5 Cost Analysis &gt; WPN LI 1250 &gt; 7.3 SRM Propellant/Energetics Modernization</t>
  </si>
  <si>
    <t>SRM Propellant/Energetics Modernization</t>
  </si>
  <si>
    <t>TRIDENT II Mods - P-5 2 / Operating and Support Costs - Capital Maintenance</t>
  </si>
  <si>
    <t>P-5 Cost Analysis &gt; WPN LI 1250 &gt; 8.1 Capital Maintenance</t>
  </si>
  <si>
    <t>Capital Maintenance</t>
  </si>
  <si>
    <t>TRIDENT II Mods - P-5 3 / D5LE2 - Airframe</t>
  </si>
  <si>
    <t>P-5 Cost Analysis &gt; WPN LI 1250 &gt; 1.1 Airframe</t>
  </si>
  <si>
    <t>Airframe</t>
  </si>
  <si>
    <t>TRIDENT II Mods - P-5 3 / D5LE2 - Propulsion</t>
  </si>
  <si>
    <t>P-5 Cost Analysis &gt; WPN LI 1250 &gt; 1.2 Propulsion</t>
  </si>
  <si>
    <t>Propulsion</t>
  </si>
  <si>
    <t>TRIDENT II Mods - P-5 3 / D5LE2 - Electronics and Avionics</t>
  </si>
  <si>
    <t>P-5 Cost Analysis &gt; WPN LI 1250 &gt; 1.3 Electronics and Avionics</t>
  </si>
  <si>
    <t>Electronics and Avionics</t>
  </si>
  <si>
    <t>TRIDENT II Mods - P-5 3 / D5LE2 - Controls</t>
  </si>
  <si>
    <t>P-5 Cost Analysis &gt; WPN LI 1250 &gt; 1.4 Controls</t>
  </si>
  <si>
    <t>TRIDENT II Mods - P-5 3 / D5LE2 - Ordnance</t>
  </si>
  <si>
    <t>P-5 Cost Analysis &gt; WPN LI 1250 &gt; 1.5 Ordnance</t>
  </si>
  <si>
    <t>TRIDENT II Mods - P-5 3 / D5LE2 - Test Missile Kit</t>
  </si>
  <si>
    <t>P-5 Cost Analysis &gt; WPN LI 1250 &gt; 1.6 Test Missile Kit</t>
  </si>
  <si>
    <t>Test Missile Kit</t>
  </si>
  <si>
    <t>TRIDENT II Mods - P-5 3 / D5LE2 - Systems Engineering</t>
  </si>
  <si>
    <t>P-5 Cost Analysis &gt; WPN LI 1250 &gt; 1.7 Systems Engineering</t>
  </si>
  <si>
    <t>Systems Engineering</t>
  </si>
  <si>
    <t>TRIDENT II Mods - P-5 3 / D5LE2 - Test and Evaluation</t>
  </si>
  <si>
    <t>P-5 Cost Analysis &gt; WPN LI 1250 &gt; 1.8 Test and Evaluation</t>
  </si>
  <si>
    <t>Test and Evaluation</t>
  </si>
  <si>
    <t>TRIDENT II Mods - P-5 3 / D5LE2 - System Assembly</t>
  </si>
  <si>
    <t>P-5 Cost Analysis &gt; WPN LI 1250 &gt; 1.9 System Assembly</t>
  </si>
  <si>
    <t>System Assembly</t>
  </si>
  <si>
    <t>TRIDENT II Mods - P-5 3 / D5LE2 - Training &amp; Support Equipment</t>
  </si>
  <si>
    <t>P-5 Cost Analysis &gt; WPN LI 1250 &gt; 1.10 Training &amp; Support Equipment</t>
  </si>
  <si>
    <t>Training &amp; Support Equipment</t>
  </si>
  <si>
    <t>TRIDENT II Mods - P-5 3 / D5LE2 - Re-Entry Body Integration</t>
  </si>
  <si>
    <t>P-5 Cost Analysis &gt; WPN LI 1250 &gt; 1.11 Re-Entry Body Integration</t>
  </si>
  <si>
    <t>Re-Entry Body Integration</t>
  </si>
  <si>
    <t>TRIDENT II Mods - P-5 3 / D5LE2 - Guidance - Systems Engineering</t>
  </si>
  <si>
    <t>P-5 Cost Analysis &gt; WPN LI 1250 &gt; 2.1 Guidance - Systems Engineering</t>
  </si>
  <si>
    <t>Guidance - Systems Engineering</t>
  </si>
  <si>
    <t>TRIDENT II Mods - P-5 3 / D5LE2 - Guidance - Algorithms and Software</t>
  </si>
  <si>
    <t>P-5 Cost Analysis &gt; WPN LI 1250 &gt; 2.2 Guidance - Algorithms and Software</t>
  </si>
  <si>
    <t>Guidance - Algorithms and Software</t>
  </si>
  <si>
    <t>TRIDENT II Mods - P-5 3 / D5LE2 - Guidance - System Hardware</t>
  </si>
  <si>
    <t>P-5 Cost Analysis &gt; WPN LI 1250 &gt; 2.3 Guidance - System Hardware</t>
  </si>
  <si>
    <t>Guidance - System Hardware</t>
  </si>
  <si>
    <t>TRIDENT II Mods - P-5 3 / D5LE2 - Guidance - Radiation Hardened Parts</t>
  </si>
  <si>
    <t>P-5 Cost Analysis &gt; WPN LI 1250 &gt; 2.4 Guidance - Radiation Hardened Parts</t>
  </si>
  <si>
    <t>Guidance - Radiation Hardened Parts</t>
  </si>
  <si>
    <t>TRIDENT II Mods - P-5 3 / D5LE2 - Guidance - Sensors</t>
  </si>
  <si>
    <t>P-5 Cost Analysis &gt; WPN LI 1250 &gt; 2.5 Guidance - Sensors</t>
  </si>
  <si>
    <t>Guidance - Sensors</t>
  </si>
  <si>
    <t>TRIDENT II Mods - P-5 3 / D5LE2 - Guidance - Information Systems/Data Management</t>
  </si>
  <si>
    <t>P-5 Cost Analysis &gt; WPN LI 1250 &gt; 2.6 Guidance - Information Systems/Data Management</t>
  </si>
  <si>
    <t>Guidance - Information Systems/Data Management</t>
  </si>
  <si>
    <t>TRIDENT II Mods - P-5 3 / D5LE2 - Guidance - Test Equipment</t>
  </si>
  <si>
    <t>P-5 Cost Analysis &gt; WPN LI 1250 &gt; 2.7 Guidance - Test Equipment</t>
  </si>
  <si>
    <t>Guidance - Test Equipment</t>
  </si>
  <si>
    <t>TRIDENT II Mods - P-5 3 / D5LE2 - Guidance - Integration and Test</t>
  </si>
  <si>
    <t>P-5 Cost Analysis &gt; WPN LI 1250 &gt; 2.8 Guidance - Integration and Test</t>
  </si>
  <si>
    <t>Guidance - Integration and Test</t>
  </si>
  <si>
    <t>TRIDENT II Mods - P-5 3 / D5LE2 - Fire Control</t>
  </si>
  <si>
    <t>P-5 Cost Analysis &gt; WPN LI 1250 &gt; 3.1 Fire Control</t>
  </si>
  <si>
    <t>Fire Control</t>
  </si>
  <si>
    <t>TRIDENT II Mods - P-5 3 / D5LE2 - Launcher</t>
  </si>
  <si>
    <t>P-5 Cost Analysis &gt; WPN LI 1250 &gt; 3.2 Launcher</t>
  </si>
  <si>
    <t>Launcher</t>
  </si>
  <si>
    <t>TRIDENT II Mods - P-5 3 / D5LE2 - Navigation</t>
  </si>
  <si>
    <t>P-5 Cost Analysis &gt; WPN LI 1250 &gt; 3.3 Navigation</t>
  </si>
  <si>
    <t>TRIDENT II Mods - P-5 3 / D5LE2 - System Evaluation</t>
  </si>
  <si>
    <t>P-5 Cost Analysis &gt; WPN LI 1250 &gt; 4.1 System Evaluation</t>
  </si>
  <si>
    <t>System Evaluation</t>
  </si>
  <si>
    <t>Standard Missile - P-5 1 / STANDARD MISSILE - SM-6 Block IA/IAU All Up Round Missile</t>
  </si>
  <si>
    <t>2234 / Standard Missile</t>
  </si>
  <si>
    <t>P-5 Cost Analysis &gt; WPN LI 2234 &gt; 1.1.2 SM-6 Block IA/IAU All Up Round Missile</t>
  </si>
  <si>
    <t>SM-6 Block IA/IAU All Up Round Missile</t>
  </si>
  <si>
    <t>Standard Missile - P-5 1 / STANDARD MISSILE - SM-6 Production Start Up</t>
  </si>
  <si>
    <t>P-5 Cost Analysis &gt; WPN LI 2234 &gt; 1.1.7 SM-6 Production Start Up</t>
  </si>
  <si>
    <t>SM-6 Production Start Up</t>
  </si>
  <si>
    <t>Standard Missile - P-5 1 / STANDARD MISSILE - Canister - SM-6 Block IA (Mk 21 Mod 4)</t>
  </si>
  <si>
    <t>P-5 Cost Analysis &gt; WPN LI 2234 &gt; 1.1.8 Canister - SM-6 Block IA (Mk 21 Mod 4)</t>
  </si>
  <si>
    <t>Canister - SM-6 Block IA (Mk 21 Mod 4)</t>
  </si>
  <si>
    <t>Standard Missile - P-5 1 / STANDARD MISSILE - SM-6 IAU Transition to Production (TTP)</t>
  </si>
  <si>
    <t>P-5 Cost Analysis &gt; WPN LI 2234 &gt; 1.1.9 SM-6 IAU Transition to Production (TTP)</t>
  </si>
  <si>
    <t>SM-6 IAU Transition to Production (TTP)</t>
  </si>
  <si>
    <t>Standard Missile - P-5 1 / STANDARD MISSILE - SM-6 BLK I/IA Production Engineering/Support</t>
  </si>
  <si>
    <t>P-5 Cost Analysis &gt; WPN LI 2234 &gt; 2.1 SM-6 BLK I/IA Production Engineering/Support</t>
  </si>
  <si>
    <t>SM-6 BLK I/IA Production Engineering/Support</t>
  </si>
  <si>
    <t>Standard Missile - P-5 1 / STANDARD MISSILE - SM-6 BLK I/IA Diminishing Manufacturing Sources</t>
  </si>
  <si>
    <t>P-5 Cost Analysis &gt; WPN LI 2234 &gt; 2.4 SM-6 BLK I/IA Diminishing Manufacturing Sources</t>
  </si>
  <si>
    <t>SM-6 BLK I/IA Diminishing Manufacturing Sources</t>
  </si>
  <si>
    <t>Standard Missile - P-5 1 / STANDARD MISSILE - SM-6 BLK I/IA Containers</t>
  </si>
  <si>
    <t>P-5 Cost Analysis &gt; WPN LI 2234 &gt; 2.6 SM-6 BLK I/IA Containers</t>
  </si>
  <si>
    <t>SM-6 BLK I/IA Containers</t>
  </si>
  <si>
    <t>Standard Missile - P-5 1 / STANDARD MISSILE - SM-6 BLK I/IA ILS/Fleet Documentation</t>
  </si>
  <si>
    <t>P-5 Cost Analysis &gt; WPN LI 2234 &gt; 2.7 SM-6 BLK I/IA ILS/Fleet Documentation</t>
  </si>
  <si>
    <t>SM-6 BLK I/IA ILS/Fleet Documentation</t>
  </si>
  <si>
    <t>LRASM - P-5 1 / LRASM C-1 - All Up Round (AUR)</t>
  </si>
  <si>
    <t>P-5 Cost Analysis &gt; WPN LI 2291 &gt; 1.1.1 All Up Round (AUR)</t>
  </si>
  <si>
    <t>All Up Round (AUR)</t>
  </si>
  <si>
    <t>LRASM - P-5 1 / LRASM C-1 - Obsolescence</t>
  </si>
  <si>
    <t>Non-Recurring</t>
  </si>
  <si>
    <t>P-5 Cost Analysis &gt; WPN LI 2291 &gt; 2.1.1 Obsolescence</t>
  </si>
  <si>
    <t>Obsolescence</t>
  </si>
  <si>
    <t>LRASM - P-5 1 / LRASM C-1 - Production Support</t>
  </si>
  <si>
    <t>P-5 Cost Analysis &gt; WPN LI 2291 &gt; 3.1 Production Support</t>
  </si>
  <si>
    <t>LRASM - P-5 1 / LRASM C-1 - LRASM Operational Test Support</t>
  </si>
  <si>
    <t>P-5 Cost Analysis &gt; WPN LI 2291 &gt; 3.2 LRASM Operational Test Support</t>
  </si>
  <si>
    <t>LRASM Operational Test Support</t>
  </si>
  <si>
    <t>LRASM - P-5 2 / LRASM C-3 - LRASM C-3 AUR</t>
  </si>
  <si>
    <t>P-5 Cost Analysis &gt; WPN LI 2291 &gt; 1.1.1 LRASM C-3 AUR</t>
  </si>
  <si>
    <t>LRASM C-3 AUR</t>
  </si>
  <si>
    <t>LRASM - P-5 2 / LRASM C-3 - Radios</t>
  </si>
  <si>
    <t>P-5 Cost Analysis &gt; WPN LI 2291 &gt; 1.1.2 Radios</t>
  </si>
  <si>
    <t>Radios</t>
  </si>
  <si>
    <t>LRASM - P-5 2 / LRASM C-3 - Contractor ECO</t>
  </si>
  <si>
    <t>P-5 Cost Analysis &gt; WPN LI 2291 &gt; 1.1.3 Contractor ECO</t>
  </si>
  <si>
    <t>Contractor ECO</t>
  </si>
  <si>
    <t>LRASM - P-5 2 / LRASM C-3 - NRE / Obsolescence</t>
  </si>
  <si>
    <t>P-5 Cost Analysis &gt; WPN LI 2291 &gt; 2.1.1 NRE / Obsolescence</t>
  </si>
  <si>
    <t>NRE / Obsolescence</t>
  </si>
  <si>
    <t>LRASM - P-5 2 / LRASM C-3 - Tooling/Production Facilitization</t>
  </si>
  <si>
    <t>P-5 Cost Analysis &gt; WPN LI 2291 &gt; 2.1.2 Tooling/Production Facilitization</t>
  </si>
  <si>
    <t>Tooling/Production Facilitization</t>
  </si>
  <si>
    <t>LRASM - P-5 2 / LRASM C-3 - Telemetry Kits</t>
  </si>
  <si>
    <t>P-5 Cost Analysis &gt; WPN LI 2291 &gt; 2.1.3 Telemetry Kits</t>
  </si>
  <si>
    <t>Telemetry Kits</t>
  </si>
  <si>
    <t>LRASM - P-5 2 / LRASM C-3 - Production Support</t>
  </si>
  <si>
    <t>LRASM - P-5 2 / LRASM C-3 - Telemetry Kit Integration</t>
  </si>
  <si>
    <t>P-5 Cost Analysis &gt; WPN LI 2291 &gt; 3.2 Telemetry Kit Integration</t>
  </si>
  <si>
    <t>Telemetry Kit Integration</t>
  </si>
  <si>
    <t>Evolved Sea Sparrow Missile (ESSM) - P-5 1 / ESSM - ESSM Block 2</t>
  </si>
  <si>
    <t>2307 / Evolved Sea Sparrow Missile (ESSM)</t>
  </si>
  <si>
    <t>P-5 Cost Analysis &gt; WPN LI 2307 &gt; 1.1.5 ESSM Block 2</t>
  </si>
  <si>
    <t>ESSM Block 2</t>
  </si>
  <si>
    <t>Evolved Sea Sparrow Missile (ESSM) - P-5 1 / ESSM - Missile Obsolescence</t>
  </si>
  <si>
    <t>P-5 Cost Analysis &gt; WPN LI 2307 &gt; 1.1.7 Missile Obsolescence</t>
  </si>
  <si>
    <t>Missile Obsolescence</t>
  </si>
  <si>
    <t>Evolved Sea Sparrow Missile (ESSM) - P-5 1 / ESSM - MK 25 Quadpack Canisters</t>
  </si>
  <si>
    <t>P-5 Cost Analysis &gt; WPN LI 2307 &gt; 2.1.1 MK 25 Quadpack Canisters</t>
  </si>
  <si>
    <t>MK 25 Quadpack Canisters</t>
  </si>
  <si>
    <t>Evolved Sea Sparrow Missile (ESSM) - P-5 1 / ESSM - MK25 Mod 1 MK8 Bolts</t>
  </si>
  <si>
    <t>P-5 Cost Analysis &gt; WPN LI 2307 &gt; 2.1.2 MK25 Mod 1 MK8 Bolts</t>
  </si>
  <si>
    <t>MK25 Mod 1 MK8 Bolts</t>
  </si>
  <si>
    <t>Evolved Sea Sparrow Missile (ESSM) - P-5 1 / ESSM - MK 852 Mod 0 (Blk2 Shipping)</t>
  </si>
  <si>
    <t>P-5 Cost Analysis &gt; WPN LI 2307 &gt; 2.1.3 MK 852 Mod 0 (Blk2 Shipping)</t>
  </si>
  <si>
    <t>MK 852 Mod 0 (Blk2 Shipping)</t>
  </si>
  <si>
    <t>Evolved Sea Sparrow Missile (ESSM) - P-5 1 / ESSM - Producibility/Procurement Support</t>
  </si>
  <si>
    <t>P-5 Cost Analysis &gt; WPN LI 2307 &gt; 4.6 Producibility/Procurement Support</t>
  </si>
  <si>
    <t>Producibility/Procurement Support</t>
  </si>
  <si>
    <t>Evolved Sea Sparrow Missile (ESSM) - P-5 1 / ESSM - Security/Infrastructure Support</t>
  </si>
  <si>
    <t>P-5 Cost Analysis &gt; WPN LI 2307 &gt; 4.8 Security/Infrastructure Support</t>
  </si>
  <si>
    <t>Security/Infrastructure Support</t>
  </si>
  <si>
    <t>Evolved Sea Sparrow Missile (ESSM) - P-5 1 / ESSM - Configuration Management</t>
  </si>
  <si>
    <t>P-5 Cost Analysis &gt; WPN LI 2307 &gt; 4.9 Configuration Management</t>
  </si>
  <si>
    <t>Configuration Management</t>
  </si>
  <si>
    <t>Evolved Sea Sparrow Missile (ESSM) - P-5 1 / ESSM - Hardware/Maintenance Support</t>
  </si>
  <si>
    <t>P-5 Cost Analysis &gt; WPN LI 2307 &gt; 4.10 Hardware/Maintenance Support</t>
  </si>
  <si>
    <t>Hardware/Maintenance Support</t>
  </si>
  <si>
    <t>MK-48 Torpedo - P-5 1 / MK-48 Torpedo - Installation</t>
  </si>
  <si>
    <t>3117 / MK-48 Torpedo</t>
  </si>
  <si>
    <t>P-5 Cost Analysis &gt; WPN LI 3117 &gt; 1.1.4 Installation</t>
  </si>
  <si>
    <t>Installation</t>
  </si>
  <si>
    <t>MK-48 Torpedo - P-5 1 / MK-48 Torpedo - Diminishing Manufacturing Sources</t>
  </si>
  <si>
    <t>P-5 Cost Analysis &gt; WPN LI 3117 &gt; 1.1.5 Diminishing Manufacturing Sources</t>
  </si>
  <si>
    <t>Diminishing Manufacturing Sources</t>
  </si>
  <si>
    <t>Tomahawk Mods - P-3a - Other Production Support</t>
  </si>
  <si>
    <t>2301 / Tomahawk Mods</t>
  </si>
  <si>
    <t>P-3a</t>
  </si>
  <si>
    <t>P-3a Cost Analysis &gt; WPN LI 2301 &gt; 6.1 Other Production Support</t>
  </si>
  <si>
    <t>Other Production Support</t>
  </si>
  <si>
    <t>Ship Maintenance Repair and Modernization - P-5 1 / Ship Maint Repair &amp; Mod - U.S. Pacific Fleet Ship Availabilities (101 entries)</t>
  </si>
  <si>
    <t>P-5 Cost Analysis &gt; OPN_BA1 LI 1000 &gt;  U.S. Pacific Fleet Ship Availabilities (101 entries)</t>
  </si>
  <si>
    <t>U.S. Pacific Fleet Ship Availabilities (101 entries)</t>
  </si>
  <si>
    <t>Ship Maintenance Repair and Modernization - P-5 1 / Ship Maint Repair &amp; Mod - U.S. Fleet Forces Ship Availabilities (139 entries)</t>
  </si>
  <si>
    <t>P-5 Cost Analysis &gt; OPN_BA1 LI 1000 &gt;  U.S. Fleet Forces Ship Availabilities (139 entries)</t>
  </si>
  <si>
    <t>U.S. Fleet Forces Ship Availabilities (139 entries)</t>
  </si>
  <si>
    <t>DDG Mod - P-3a - DDG Modernization HME (GEDMS)</t>
  </si>
  <si>
    <t>P-3a Cost Analysis &gt; OPN_BA1 LI 0900 &gt; DM001 DDG Modernization HME (GEDMS)</t>
  </si>
  <si>
    <t>DDG Modernization HME (GEDMS)</t>
  </si>
  <si>
    <t>DDG Mod - P-3a - DDG Modernization HME (MCS/DCS)</t>
  </si>
  <si>
    <t>P-3a Cost Analysis &gt; OPN_BA1 LI 0900 &gt; DM001 DDG Modernization HME (MCS/DCS)</t>
  </si>
  <si>
    <t>DDG Modernization HME (MCS/DCS)</t>
  </si>
  <si>
    <t>DDG Mod - P-3a - DDG Modernization HME (DVSS)</t>
  </si>
  <si>
    <t>P-3a Cost Analysis &gt; OPN_BA1 LI 0900 &gt; DM001 DDG Modernization HME (DVSS)</t>
  </si>
  <si>
    <t>DDG Modernization HME (DVSS)</t>
  </si>
  <si>
    <t>DDG Mod - P-3a - DDG Modernization HME (Wireless Communications)</t>
  </si>
  <si>
    <t>P-3a Cost Analysis &gt; OPN_BA1 LI 0900 &gt; DM001 DDG Modernization HME (Wireless Communications)</t>
  </si>
  <si>
    <t>DDG Modernization HME (Wireless Communications)</t>
  </si>
  <si>
    <t>Sonobuoys - All Types - P-5 1 / Sonobuoys All Types - AN/SSQ-36 (BT)</t>
  </si>
  <si>
    <t>P-5 Cost Analysis &gt; OPN_BA3 LI 4048 &gt; 1.1.1 AN/SSQ-36 (BT)</t>
  </si>
  <si>
    <t>AN/SSQ-36 (BT)</t>
  </si>
  <si>
    <t>Sonobuoys - All Types - P-5 1 / Sonobuoys All Types - AN/SSQ-53 (DIFAR)</t>
  </si>
  <si>
    <t>P-5 Cost Analysis &gt; OPN_BA3 LI 4048 &gt; 1.1.2 AN/SSQ-53 (DIFAR)</t>
  </si>
  <si>
    <t>AN/SSQ-53 (DIFAR)</t>
  </si>
  <si>
    <t>Sonobuoys - All Types - P-5 1 / Sonobuoys All Types - AN/SSQ-62 (DICASS)</t>
  </si>
  <si>
    <t>P-5 Cost Analysis &gt; OPN_BA3 LI 4048 &gt; 1.1.3 AN/SSQ-62 (DICASS)</t>
  </si>
  <si>
    <t>AN/SSQ-62 (DICASS)</t>
  </si>
  <si>
    <t>Sonobuoys - All Types - P-5 1 / Sonobuoys All Types - AN/SSQ-101 (Multi-static Coherent Receiver)</t>
  </si>
  <si>
    <t>P-5 Cost Analysis &gt; OPN_BA3 LI 4048 &gt; 2.1.1 AN/SSQ-101 (Multi-static Coherent Receiver)</t>
  </si>
  <si>
    <t>AN/SSQ-101 (Multi-static Coherent Receiver)</t>
  </si>
  <si>
    <t>Sonobuoys - All Types - P-5 1 / Sonobuoys All Types - AN/SSQ-125B (Multi-static Coherent Source)</t>
  </si>
  <si>
    <t>P-5 Cost Analysis &gt; OPN_BA3 LI 4048 &gt; 2.1.3 AN/SSQ-125B (Multi-static Coherent Source)</t>
  </si>
  <si>
    <t>Sonobuoys - All Types - P-5 1 / Sonobuoys All Types - Acceptance Testing - Common</t>
  </si>
  <si>
    <t>P-5 Cost Analysis &gt; OPN_BA3 LI 4048 &gt; 4.1.1 Acceptance Testing - Common</t>
  </si>
  <si>
    <t>Acceptance Testing - Common</t>
  </si>
  <si>
    <t>Sonobuoys - All Types - P-5 1 / Sonobuoys All Types - Acceptance Testing - Multi-static</t>
  </si>
  <si>
    <t>P-5 Cost Analysis &gt; OPN_BA3 LI 4048 &gt; 4.1.2 Acceptance Testing - Multi-static</t>
  </si>
  <si>
    <t>Acceptance Testing - Multi-static</t>
  </si>
  <si>
    <t>Sonobuoys - All Types - P-5 1 / Sonobuoys All Types - Production Engineering - Common</t>
  </si>
  <si>
    <t>P-5 Cost Analysis &gt; OPN_BA3 LI 4048 &gt; 6.1 Production Engineering - Common</t>
  </si>
  <si>
    <t>Production Engineering - Common</t>
  </si>
  <si>
    <t>Sonobuoys - All Types - P-5 1 / Sonobuoys All Types - Production Engineering - Multi-static</t>
  </si>
  <si>
    <t>P-5 Cost Analysis &gt; OPN_BA3 LI 4048 &gt; 6.2 Production Engineering - Multi-static</t>
  </si>
  <si>
    <t>Production Engineering - Multi-static</t>
  </si>
  <si>
    <t>CANES - P-3a Mod 1 / CANES Afloat - CANES - Afloat NonOrganic</t>
  </si>
  <si>
    <t>2915 / CANES</t>
  </si>
  <si>
    <t>P-3a Cost Analysis &gt; OPN_BA2 LI 2915 &gt; 1.1.1 CANES - Afloat NonOrganic</t>
  </si>
  <si>
    <t>CANES - Afloat NonOrganic</t>
  </si>
  <si>
    <t>CANES - P-3a Mod 1 / CANES Afloat - CANES - Afloat Technical Insertion NonOrganic</t>
  </si>
  <si>
    <t>P-3a Cost Analysis &gt; OPN_BA2 LI 2915 &gt; 1.1.2 CANES - Afloat Technical Insertion NonOrganic</t>
  </si>
  <si>
    <t>CANES - Afloat Technical Insertion NonOrganic</t>
  </si>
  <si>
    <t>CANES - P-3a Mod 1 / CANES Afloat - Agile Enclave - NonOrganic</t>
  </si>
  <si>
    <t>P-3a Cost Analysis &gt; OPN_BA2 LI 2915 &gt; 1.1.3 Agile Enclave - NonOrganic</t>
  </si>
  <si>
    <t>Agile Enclave - NonOrganic</t>
  </si>
  <si>
    <t>CANES - P-3a Mod 1 / CANES Afloat - Production Support + Design Service Agent</t>
  </si>
  <si>
    <t>P-3a Cost Analysis &gt; OPN_BA2 LI 2915 &gt;  Production Support + Design Service Agent</t>
  </si>
  <si>
    <t>Production Support + Design Service Agent</t>
  </si>
  <si>
    <t>CANES - P-3a Mod 1 / CANES Afloat - Installation</t>
  </si>
  <si>
    <t>P-3a Cost Analysis &gt; OPN_BA2 LI 2915 &gt;  Installation</t>
  </si>
  <si>
    <t>CANES - P-3a Mod 2 / CANES Ashore - CANES - Ashore Technical Insertion NonOrganic</t>
  </si>
  <si>
    <t>P-3a Cost Analysis &gt; OPN_BA2 LI 2915 &gt; 1.1.1 CANES - Ashore Technical Insertion NonOrganic</t>
  </si>
  <si>
    <t>CANES - Ashore Technical Insertion NonOrganic</t>
  </si>
  <si>
    <t>CANES - P-3a Mod 2 / CANES Ashore - Support + Installation</t>
  </si>
  <si>
    <t>P-3a Cost Analysis &gt; OPN_BA2 LI 2915 &gt;  Support + Installation</t>
  </si>
  <si>
    <t>Support + Installation</t>
  </si>
  <si>
    <t>SSN Acoustic Equipment - P-40a - Towed Systems</t>
  </si>
  <si>
    <t>2150 / SSN Acoustic Equipment</t>
  </si>
  <si>
    <t>P-40a</t>
  </si>
  <si>
    <t>P-40a Cost Analysis &gt; OPN_BA2 LI 2150 &gt; SA102 Towed Systems</t>
  </si>
  <si>
    <t>Towed Systems</t>
  </si>
  <si>
    <t>SSN Acoustic Equipment - P-40a - TB-34A Fatline Towed Arrays</t>
  </si>
  <si>
    <t>P-40a Cost Analysis &gt; OPN_BA2 LI 2150 &gt; SA102-1.1 TB-34A Fatline Towed Arrays</t>
  </si>
  <si>
    <t>TB-34A Fatline Towed Arrays</t>
  </si>
  <si>
    <t>SSN Acoustic Equipment - P-40a - TB-29C Thin Line Towed Arrays</t>
  </si>
  <si>
    <t>P-40a Cost Analysis &gt; OPN_BA2 LI 2150 &gt; SA102-1.2 TB-29C Thin Line Towed Arrays</t>
  </si>
  <si>
    <t>TB-29C Thin Line Towed Arrays</t>
  </si>
  <si>
    <t>SSN Acoustic Equipment - P-40a - Towed Array Refurbishment &amp; Upgrades</t>
  </si>
  <si>
    <t>P-40a Cost Analysis &gt; OPN_BA2 LI 2150 &gt; SA102-1.3 Towed Array Refurbishment &amp; Upgrades</t>
  </si>
  <si>
    <t>Towed Array Refurbishment &amp; Upgrades</t>
  </si>
  <si>
    <t>SSN Acoustic Equipment - P-40a - Towed Array Handler System Upgrade</t>
  </si>
  <si>
    <t>P-40a Cost Analysis &gt; OPN_BA2 LI 2150 &gt; SA102-1.4 Towed Array Handler System Upgrade</t>
  </si>
  <si>
    <t>Towed Array Handler System Upgrade</t>
  </si>
  <si>
    <t>SSN Acoustic Equipment - P-40a - Hull Sensors (VA Unique Sensor)</t>
  </si>
  <si>
    <t>P-40a Cost Analysis &gt; OPN_BA2 LI 2150 &gt; SA106 Hull Sensors (VA Unique Sensor)</t>
  </si>
  <si>
    <t>Hull Sensors (VA Unique Sensor)</t>
  </si>
  <si>
    <t>SSN Acoustic Equipment - P-40a - Block Changes</t>
  </si>
  <si>
    <t>P-40a Cost Analysis &gt; OPN_BA2 LI 2150 &gt; SA201 Block Changes</t>
  </si>
  <si>
    <t>Block Changes</t>
  </si>
  <si>
    <t>SSN Acoustic Equipment - P-40a - Production/Engineering Support</t>
  </si>
  <si>
    <t>P-40a Cost Analysis &gt; OPN_BA2 LI 2150 &gt; SA202 Production/Engineering Support</t>
  </si>
  <si>
    <t>Production/Engineering Support</t>
  </si>
  <si>
    <t>SSN Acoustic Equipment - P-40a - COTS Supportability Upgrades</t>
  </si>
  <si>
    <t>P-40a Cost Analysis &gt; OPN_BA2 LI 2150 &gt; SA303 COTS Supportability Upgrades</t>
  </si>
  <si>
    <t>COTS Supportability Upgrades</t>
  </si>
  <si>
    <t>SSN Acoustic Equipment - P-40a - Initial Training</t>
  </si>
  <si>
    <t>P-40a Cost Analysis &gt; OPN_BA2 LI 2150 &gt; SA401 Initial Training</t>
  </si>
  <si>
    <t>Initial Training</t>
  </si>
  <si>
    <t>AN/SLQ-32 - P-5a - SEWIP Block 1B2</t>
  </si>
  <si>
    <t>2312 / AN/SLQ-32</t>
  </si>
  <si>
    <t>P-5a</t>
  </si>
  <si>
    <t>P-5a Cost Analysis &gt; OPN_BA2 LI 2312 &gt; TC959 SEWIP Block 1B2</t>
  </si>
  <si>
    <t>SEWIP Block 1B2</t>
  </si>
  <si>
    <t>AN/SLQ-32 - P-5a - SEWIP Block 2 Lite</t>
  </si>
  <si>
    <t>P-5a Cost Analysis &gt; OPN_BA2 LI 2312 &gt; TC959 SEWIP Block 2 Lite</t>
  </si>
  <si>
    <t>SEWIP Block 2 Lite</t>
  </si>
  <si>
    <t>AN/SLQ-32 - P-5a - SEWIP CPS and CDS for Lite</t>
  </si>
  <si>
    <t>P-5a Cost Analysis &gt; OPN_BA2 LI 2312 &gt; TC959 SEWIP CPS and CDS for Lite</t>
  </si>
  <si>
    <t>SEWIP CPS and CDS for Lite</t>
  </si>
  <si>
    <t>AN/SLQ-32 - P-5a - SEWIP Production Support + ECPs + Spares</t>
  </si>
  <si>
    <t>P-5a Cost Analysis &gt; OPN_BA2 LI 2312 &gt; TC959 SEWIP Production Support + ECPs + Spares</t>
  </si>
  <si>
    <t>SEWIP Production Support + ECPs + Spares</t>
  </si>
  <si>
    <t>AN/SLQ-32 - P-5a - Solid State PSI - High Band Transmit/Receive</t>
  </si>
  <si>
    <t>P-5a Cost Analysis &gt; OPN_BA2 LI 2312 &gt; TC961 Solid State PSI - High Band Transmit/Receive</t>
  </si>
  <si>
    <t>Solid State PSI - High Band Transmit/Receive</t>
  </si>
  <si>
    <t>AN/SLQ-32 - P-5a - Solid State PSI - Engineering Support</t>
  </si>
  <si>
    <t>P-5a Cost Analysis &gt; OPN_BA2 LI 2312 &gt; TC961 Solid State PSI - Engineering Support</t>
  </si>
  <si>
    <t>Solid State PSI - Engineering Support</t>
  </si>
  <si>
    <t>AN/SLQ-32 - P-5a - RMA/INT Kit Procurement (no install)</t>
  </si>
  <si>
    <t>P-5a Cost Analysis &gt; OPN_BA2 LI 2312 &gt; TC962 RMA/INT Kit Procurement (no install)</t>
  </si>
  <si>
    <t>RMA/INT Kit Procurement (no install)</t>
  </si>
  <si>
    <t>AN/SLQ-32 - P-5a - Environmental Kit Procurement (no install)</t>
  </si>
  <si>
    <t>P-5a Cost Analysis &gt; OPN_BA2 LI 2312 &gt; TC962 Environmental Kit Procurement (no install)</t>
  </si>
  <si>
    <t>Environmental Kit Procurement (no install)</t>
  </si>
  <si>
    <t>AN/SLQ-32 - P-5a - Obsolescence Kit Procurement (no install)</t>
  </si>
  <si>
    <t>P-5a Cost Analysis &gt; OPN_BA2 LI 2312 &gt; TC962 Obsolescence Kit Procurement (no install)</t>
  </si>
  <si>
    <t>Obsolescence Kit Procurement (no install)</t>
  </si>
  <si>
    <t>AN/SLQ-32 - P-5a - AAPA Kit Procurement</t>
  </si>
  <si>
    <t>P-5a Cost Analysis &gt; OPN_BA2 LI 2312 &gt; TC962 AAPA Kit Procurement</t>
  </si>
  <si>
    <t>AAPA Kit Procurement</t>
  </si>
  <si>
    <t>AN/SLQ-32 - P-5a - AN/SLQ-32(V)6 Test Sets</t>
  </si>
  <si>
    <t>P-5a Cost Analysis &gt; OPN_BA2 LI 2312 &gt; TC963 AN/SLQ-32(V)6 Test Sets</t>
  </si>
  <si>
    <t>AN/SLQ-32(V)6 Test Sets</t>
  </si>
  <si>
    <t>AN/SLQ-32 - P-5a - AN/SLQ-32(V)7 Test Sets</t>
  </si>
  <si>
    <t>P-5a Cost Analysis &gt; OPN_BA2 LI 2312 &gt; TC963 AN/SLQ-32(V)7 Test Sets</t>
  </si>
  <si>
    <t>AN/SLQ-32(V)7 Test Sets</t>
  </si>
  <si>
    <t>AN/SLQ-32 - P-5a - SLQ-32(V)7 EA Characterization Test Set</t>
  </si>
  <si>
    <t>P-5a Cost Analysis &gt; OPN_BA2 LI 2312 &gt; TC963 SLQ-32(V)7 EA Characterization Test Set</t>
  </si>
  <si>
    <t>SLQ-32(V)7 EA Characterization Test Set</t>
  </si>
  <si>
    <t>AN/SLQ-32 - P-5a - NRE (RMA/INT + Environmental + Obsolescence)</t>
  </si>
  <si>
    <t>P-5a Cost Analysis &gt; OPN_BA2 LI 2312 &gt; TC962-NRE NRE (RMA/INT + Environmental + Obsolescence)</t>
  </si>
  <si>
    <t>NRE (RMA/INT + Environmental + Obsolescence)</t>
  </si>
  <si>
    <t>Shipboard IW Exploit - P-5 1 / Shipboard IW Exploit - Information Warfare (IW) Training Equipment</t>
  </si>
  <si>
    <t>2360 / Shipboard IW Exploit</t>
  </si>
  <si>
    <t>P-5 Cost Analysis &gt; OPN_BA2 LI 2360 &gt; 2.1.1 Information Warfare (IW) Training Equipment</t>
  </si>
  <si>
    <t>Information Warfare (IW) Training Equipment</t>
  </si>
  <si>
    <t>Shipboard IW Exploit - P-5 1 / Shipboard IW Exploit - CCOP Systems &amp; Subsystems</t>
  </si>
  <si>
    <t>P-5 Cost Analysis &gt; OPN_BA2 LI 2360 &gt; 6.1.1 CCOP Systems &amp; Subsystems</t>
  </si>
  <si>
    <t>CCOP Systems &amp; Subsystems</t>
  </si>
  <si>
    <t>Shipboard IW Exploit - P-5 1 / Shipboard IW Exploit - Support + Installation</t>
  </si>
  <si>
    <t>P-5 Cost Analysis &gt; OPN_BA2 LI 2360 &gt;  Support + Installation</t>
  </si>
  <si>
    <t>Strategic Missile Systems Equip - P-5a - Shipboard Systems Modernization Portfolio (SSMP)</t>
  </si>
  <si>
    <t>P-5a Cost Analysis &gt; OPN_BA4 LI 5358 &gt; 14 Shipboard Systems Modernization Portfolio (SSMP)</t>
  </si>
  <si>
    <t>Strategic Missile Systems Equip - P-5a - Columbia Class</t>
  </si>
  <si>
    <t>P-5a Cost Analysis &gt; OPN_BA4 LI 5358 &gt; 16 Columbia Class</t>
  </si>
  <si>
    <t>Strategic Missile Systems Equip - P-5a - Fire Control Equipment</t>
  </si>
  <si>
    <t>P-5a Cost Analysis &gt; OPN_BA4 LI 5358 &gt; 2 Fire Control Equipment</t>
  </si>
  <si>
    <t>Strategic Missile Systems Equip - P-5a - Instrumentation/Missile Checkout Equipment</t>
  </si>
  <si>
    <t>P-5a Cost Analysis &gt; OPN_BA4 LI 5358 &gt; 4 Instrumentation/Missile Checkout Equipment</t>
  </si>
  <si>
    <t>Strategic Missile Systems Equip - P-5a - Training Support Equipment</t>
  </si>
  <si>
    <t>P-5a Cost Analysis &gt; OPN_BA4 LI 5358 &gt; 15 Training Support Equipment</t>
  </si>
  <si>
    <t>Strategic Missile Systems Equip - P-5a - Alterations - Launcher &amp; Handling</t>
  </si>
  <si>
    <t>P-5a Cost Analysis &gt; OPN_BA4 LI 5358 &gt; 6 Alterations - Launcher &amp; Handling</t>
  </si>
  <si>
    <t>Alterations - Launcher &amp; Handling</t>
  </si>
  <si>
    <t>Strategic Missile Systems Equip - P-5a - Alterations - Navigation Equipment</t>
  </si>
  <si>
    <t>P-5a Cost Analysis &gt; OPN_BA4 LI 5358 &gt; 8 Alterations - Navigation Equipment</t>
  </si>
  <si>
    <t>Strategic Missile Systems Equip - P-5a - Alterations - Fire Control Equipment</t>
  </si>
  <si>
    <t>P-5a Cost Analysis &gt; OPN_BA4 LI 5358 &gt; 7 Alterations - Fire Control Equipment</t>
  </si>
  <si>
    <t>Strategic Missile Systems Equip - P-5a - Launcher &amp; Handling Equipment</t>
  </si>
  <si>
    <t>P-5a Cost Analysis &gt; OPN_BA4 LI 5358 &gt; 1 Launcher &amp; Handling Equipment</t>
  </si>
  <si>
    <t>Strategic Missile Systems Equip - P-5a - Navigation Equipment</t>
  </si>
  <si>
    <t>P-5a Cost Analysis &gt; OPN_BA4 LI 5358 &gt; 3 Navigation Equipment</t>
  </si>
  <si>
    <t>Strategic Missile Systems Equip - P-5a - SSI Increment 15</t>
  </si>
  <si>
    <t>P-5a Cost Analysis &gt; OPN_BA4 LI 5358 &gt; 13 SSI Increment 15</t>
  </si>
  <si>
    <t>Strategic Missile Systems Equip - P-5a - Information Technology</t>
  </si>
  <si>
    <t>P-5a Cost Analysis &gt; OPN_BA4 LI 5358 &gt; 5 Information Technology</t>
  </si>
  <si>
    <t>Strategic Missile Systems Equip - P-5a - SSI Increment 8</t>
  </si>
  <si>
    <t>P-5a Cost Analysis &gt; OPN_BA4 LI 5358 &gt; 10 SSI Increment 8</t>
  </si>
  <si>
    <t>Strategic Missile Systems Equip - P-5a - Alterations - Instrumentation</t>
  </si>
  <si>
    <t>P-5a Cost Analysis &gt; OPN_BA4 LI 5358 &gt; 9 Alterations - Instrumentation</t>
  </si>
  <si>
    <t>Alterations - Instrumentation</t>
  </si>
  <si>
    <t>Ship Missile Support Equipment - P-40a - AEGIS Support Equipment</t>
  </si>
  <si>
    <t>P-40a Cost Analysis &gt; OPN_BA4 LI 5231 &gt;  AEGIS Support Equipment</t>
  </si>
  <si>
    <t>Ship Missile Support Equipment - P-40a - NATO SEASPARROW</t>
  </si>
  <si>
    <t>P-40a Cost Analysis &gt; OPN_BA4 LI 5231 &gt;  NATO SEASPARROW</t>
  </si>
  <si>
    <t>Ship Missile Support Equipment - P-40a - Ship Self Defense System</t>
  </si>
  <si>
    <t>P-40a Cost Analysis &gt; OPN_BA4 LI 5231 &gt;  Ship Self Defense System</t>
  </si>
  <si>
    <t>Ship Missile Support Equipment - P-40a - Integrated Combat System (ICS) Equipment</t>
  </si>
  <si>
    <t>P-40a Cost Analysis &gt; OPN_BA4 LI 5231 &gt;  Integrated Combat System (ICS) Equipment</t>
  </si>
  <si>
    <t>Ship Missile Support Equipment - P-40a - OTH Weapon System</t>
  </si>
  <si>
    <t>P-40a Cost Analysis &gt; OPN_BA4 LI 5231 &gt;  OTH Weapon System</t>
  </si>
  <si>
    <t>Ship Missile Support Equipment - P-40a - RAM Launchers (P-3a installation)</t>
  </si>
  <si>
    <t>P-40a Cost Analysis &gt; OPN_BA4 LI 5231 &gt;  RAM Launchers (P-3a installation)</t>
  </si>
  <si>
    <t>RAM Launchers (P-3a installation)</t>
  </si>
  <si>
    <t>Ship Missile Support Equipment - P-40a - SSDS COTS Conversion Kits (P-3a)</t>
  </si>
  <si>
    <t>P-40a Cost Analysis &gt; OPN_BA4 LI 5231 &gt;  SSDS COTS Conversion Kits (P-3a)</t>
  </si>
  <si>
    <t>SSDS COTS Conversion Kits (P-3a)</t>
  </si>
  <si>
    <t>In-Service Radars and Sensors - P-5a - Dual Band Radar (DBR)</t>
  </si>
  <si>
    <t>2981 / In-Service Radars and Sensors</t>
  </si>
  <si>
    <t>P-5a Cost Analysis &gt; OPN_BA2 LI 2981 &gt; DC020 Dual Band Radar (DBR)</t>
  </si>
  <si>
    <t>Dual Band Radar (DBR)</t>
  </si>
  <si>
    <t>In-Service Radars and Sensors - P-5a - Radar Restoration Material</t>
  </si>
  <si>
    <t>P-5a Cost Analysis &gt; OPN_BA2 LI 2981 &gt; DC022 Radar Restoration Material</t>
  </si>
  <si>
    <t>Radar Restoration Material</t>
  </si>
  <si>
    <t>In-Service Radars and Sensors - P-5a - I-STALKER</t>
  </si>
  <si>
    <t>P-5a Cost Analysis &gt; OPN_BA2 LI 2981 &gt; DC026 I-STALKER</t>
  </si>
  <si>
    <t>Cooperative Engagement Capability - P-5a - Signal Data Processors (SDP) Capability Enhancement</t>
  </si>
  <si>
    <t>2606 / Cooperative Engagement Capability</t>
  </si>
  <si>
    <t>P-5a Cost Analysis &gt; OPN_BA2 LI 2606 &gt; UC017 Signal Data Processors (SDP) Capability Enhancement</t>
  </si>
  <si>
    <t>Signal Data Processors (SDP) Capability Enhancement</t>
  </si>
  <si>
    <t>Cooperative Engagement Capability - P-5a - ECP/Kit Procurement</t>
  </si>
  <si>
    <t>P-5a Cost Analysis &gt; OPN_BA2 LI 2606 &gt; UC004 ECP/Kit Procurement</t>
  </si>
  <si>
    <t>ECP/Kit Procurement</t>
  </si>
  <si>
    <t>Cooperative Engagement Capability - P-5a - Production Engineering Support</t>
  </si>
  <si>
    <t>P-5a Cost Analysis &gt; OPN_BA2 LI 2606 &gt; UC830 Production Engineering Support</t>
  </si>
  <si>
    <t>Cooperative Engagement Capability - P-5a - System Component Upgrades (AECU to ECSC)</t>
  </si>
  <si>
    <t>P-5a Cost Analysis &gt; OPN_BA2 LI 2606 &gt; UC016 System Component Upgrades (AECU to ECSC)</t>
  </si>
  <si>
    <t>System Component Upgrades (AECU to ECSC)</t>
  </si>
  <si>
    <t>Standard Boats - P-5a - CNIC Force Protection (Medium)</t>
  </si>
  <si>
    <t>P-5a Cost Analysis &gt; OPN_BA1 LI 1210 &gt; H0001-1.3 CNIC Force Protection (Medium)</t>
  </si>
  <si>
    <t>CNIC Force Protection (Medium)</t>
  </si>
  <si>
    <t>Standard Boats - P-5a - 7M (24 ft) RIB</t>
  </si>
  <si>
    <t>P-5a Cost Analysis &gt; OPN_BA1 LI 1210 &gt; H0002-2.1 7M (24 ft) RIB</t>
  </si>
  <si>
    <t>7M (24 ft) RIB</t>
  </si>
  <si>
    <t>Standard Boats - P-5a - 11M (36 ft) RIB</t>
  </si>
  <si>
    <t>P-5a Cost Analysis &gt; OPN_BA1 LI 1210 &gt; H0002-2.2 11M (36 ft) RIB</t>
  </si>
  <si>
    <t>11M (36 ft) RIB</t>
  </si>
  <si>
    <t>Standard Boats - P-5a - EOD Support Craft RIB</t>
  </si>
  <si>
    <t>P-5a Cost Analysis &gt; OPN_BA1 LI 1210 &gt; H0003-3.1 EOD Support Craft RIB</t>
  </si>
  <si>
    <t>EOD Support Craft RIB</t>
  </si>
  <si>
    <t>Standard Boats - P-5a - NSW Long Range Support Craft</t>
  </si>
  <si>
    <t>P-5a Cost Analysis &gt; OPN_BA1 LI 1210 &gt; H0004-4.1 NSW Long Range Support Craft</t>
  </si>
  <si>
    <t>NSW Long Range Support Craft</t>
  </si>
  <si>
    <t>Standard Boats - P-5a - NSW Short Range Support Craft</t>
  </si>
  <si>
    <t>P-5a Cost Analysis &gt; OPN_BA1 LI 1210 &gt; H0004-4.2 NSW Short Range Support Craft</t>
  </si>
  <si>
    <t>NSW Short Range Support Craft</t>
  </si>
  <si>
    <t>Standard Boats - P-5a - Submarine Warfare (Dive Boat)</t>
  </si>
  <si>
    <t>P-5a Cost Analysis &gt; OPN_BA1 LI 1210 &gt; H0009 Submarine Warfare (Dive Boat)</t>
  </si>
  <si>
    <t>Submarine Warfare (Dive Boat)</t>
  </si>
  <si>
    <t>Standard Boats - P-5a - CNIC Workboat (Medium)</t>
  </si>
  <si>
    <t>P-5a Cost Analysis &gt; OPN_BA1 LI 1210 &gt; H0001-1.5 CNIC Workboat (Medium)</t>
  </si>
  <si>
    <t>CNIC Workboat (Medium)</t>
  </si>
  <si>
    <t>Standard Boats - P-5a - Arizona Memorial Ferry</t>
  </si>
  <si>
    <t>P-5a Cost Analysis &gt; OPN_BA1 LI 1210 &gt; H0001-1.7 Arizona Memorial Ferry</t>
  </si>
  <si>
    <t>Arizona Memorial Ferry</t>
  </si>
  <si>
    <t>Submarine Support Equipment - P-40a - Acoustic Superiority Machinery Alterations</t>
  </si>
  <si>
    <t>11 / Submarine Support Equipment</t>
  </si>
  <si>
    <t>P-40a Cost Analysis &gt; OPN_BA1 LI 0941 &gt; PB002 Acoustic Superiority Machinery Alterations</t>
  </si>
  <si>
    <t>Acoustic Superiority Machinery Alterations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</si>
  <si>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</si>
  <si>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</si>
  <si>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</si>
  <si>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</si>
  <si>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</si>
  <si>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</si>
  <si>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</si>
  <si>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</si>
  <si>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</si>
  <si>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</si>
  <si>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</si>
  <si>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</si>
  <si>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</si>
  <si>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</si>
  <si>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</si>
  <si>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</si>
  <si>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</si>
  <si>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</si>
  <si>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</si>
  <si>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</si>
  <si>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</si>
  <si>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</si>
  <si>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</si>
  <si>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</si>
  <si>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</si>
  <si>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</si>
  <si>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</si>
  <si>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</si>
  <si>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</si>
  <si>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</si>
  <si>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</si>
  <si>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</si>
  <si>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 xml:space="preserve">  Less: Boats</t>
  </si>
  <si>
    <t xml:space="preserve">  Less: No vessel type designation</t>
  </si>
  <si>
    <t>Newbuild TAM</t>
  </si>
  <si>
    <t>(B) Newbuild TAM by Vessel Type</t>
  </si>
  <si>
    <t>Service</t>
  </si>
  <si>
    <t>% of TAM</t>
  </si>
  <si>
    <t>(C) Newbuild TAM by Hull Program — FY2026 ($K)</t>
  </si>
  <si>
    <t>Same funding as (B) broken down to individual hull programs.</t>
  </si>
  <si>
    <t>Hull Program</t>
  </si>
  <si>
    <t>(D) Newbuild TAM — Sub-Category Mix by Vessel Type (Mekko)</t>
  </si>
  <si>
    <t>Sub-Category</t>
  </si>
  <si>
    <t>Full Ship DD&amp;C</t>
  </si>
  <si>
    <t>Advance Procurement / LLTM</t>
  </si>
  <si>
    <t>Total ($K)</t>
  </si>
  <si>
    <t>(E) Newbuild TAM — Sub-Category Mix by Hull Program (Mekko)</t>
  </si>
  <si>
    <t>Newbuild SAM — FY2026 ($K)</t>
  </si>
  <si>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</si>
  <si>
    <t>(A) Bridge: Newbuild TAM → Newbuild SAM (all programs)</t>
  </si>
  <si>
    <t xml:space="preserve">  Less: Submarines</t>
  </si>
  <si>
    <t xml:space="preserve">  Less: Aircraft Carriers</t>
  </si>
  <si>
    <t xml:space="preserve">  Less: Unmanned Undersea Vehicles</t>
  </si>
  <si>
    <t>Newbuild SAM (all programs)</t>
  </si>
  <si>
    <t>(B) Newbuild SAM (all programs) by Vessel Type &amp; Sub-Category — FY2026 ($K)</t>
  </si>
  <si>
    <t>DD&amp;C</t>
  </si>
  <si>
    <t>AP/LLTM</t>
  </si>
  <si>
    <t>% of Total</t>
  </si>
  <si>
    <t>(C) Newbuild SAM (all programs) by Hull Program — FY2026 ($K)</t>
  </si>
  <si>
    <t>Same funding as (B) broken down to individual hull programs — the level at which budget line items are traceable.</t>
  </si>
  <si>
    <t>(C→D) Bridge: All Programs → Cost-Element Coverage</t>
  </si>
  <si>
    <t xml:space="preserve">  Less: WMSM (Offshore Patrol Cutter, USCG — no P-5c)</t>
  </si>
  <si>
    <t xml:space="preserve">  Less: WPC (Fast Response Cutters, USCG — no P-5c)</t>
  </si>
  <si>
    <t xml:space="preserve">  Less: WAGB (Icebreakers, Oceangoing, USCG — no P-5c)</t>
  </si>
  <si>
    <t xml:space="preserve">  Less: WCC (Waterways Commerce Cutters, USCG — no P-5c)</t>
  </si>
  <si>
    <t xml:space="preserve">  Less: LSM (Expeditionary &amp; Seabasing Ships — no P-5c)</t>
  </si>
  <si>
    <t xml:space="preserve">  Less: MUSV (Unmanned Surface Vehicles — no P-5c)</t>
  </si>
  <si>
    <t xml:space="preserve">  Less: T-AKR (Cargo &amp; Vehicle Cargo Ships — no P-5c)</t>
  </si>
  <si>
    <t>Newbuild SAM (cost-element coverage)</t>
  </si>
  <si>
    <t>(D) P-5c Gross Cost Category Breakdown by Hull — FY2026 ($K)</t>
  </si>
  <si>
    <t>Total estimated cost of each ship by component, from Exhibit P-5c. These are full ship-cost estimates — not single-year budget authority. Section (E) applies this cost mix to FY2026 net funding.</t>
  </si>
  <si>
    <t xml:space="preserve">    VERTICAL LAUNCHING SYSTEM (VLS) MK 57 4-CELL MODULES</t>
  </si>
  <si>
    <t xml:space="preserve">    MULTI FUNCTION RADAR (MFR)</t>
  </si>
  <si>
    <t xml:space="preserve">    TOTAL SHIP COMPUTING ENVIRONMENT (TSCE)</t>
  </si>
  <si>
    <t xml:space="preserve">    AN/SLQ-32 SEWIP V(7)</t>
  </si>
  <si>
    <t xml:space="preserve">    EXCOMM</t>
  </si>
  <si>
    <t xml:space="preserve">    SQQ 89 ASW</t>
  </si>
  <si>
    <t xml:space="preserve">    Command, Control, Communication, Computer Intelligence Surveillance and Reconnaissance (C4ISR)</t>
  </si>
  <si>
    <t xml:space="preserve">    MISSION SYSTEM ENGR INTEGR &amp; TEST (MSEIT)</t>
  </si>
  <si>
    <t xml:space="preserve">    MISSION SYSTEM ACTIVATION</t>
  </si>
  <si>
    <t xml:space="preserve">    Enterprise Air Surveillance Radar (EASR)</t>
  </si>
  <si>
    <t xml:space="preserve">    SHIP CONTROL SYSTEM (SCS)</t>
  </si>
  <si>
    <t xml:space="preserve">    INTEGRATED UNDERSEA WARFARE (IUSW) SYSTEM</t>
  </si>
  <si>
    <t xml:space="preserve">    MISC. ELECTRONICS</t>
  </si>
  <si>
    <t xml:space="preserve">    AEGIS Weapon System (AWS)</t>
  </si>
  <si>
    <t xml:space="preserve">    Surveillance Towed Array Sensor System (SURTASS)</t>
  </si>
  <si>
    <t xml:space="preserve">    C4ISR</t>
  </si>
  <si>
    <t xml:space="preserve">    EXTERIOR COMMUNICATIONS (EXCOMMS)</t>
  </si>
  <si>
    <t xml:space="preserve">    SPECTRAL</t>
  </si>
  <si>
    <t xml:space="preserve">    Anti-Submarine Warfare (ASW) Combat Suite</t>
  </si>
  <si>
    <t xml:space="preserve">    DDG 1002 TSCE MODERNIZATION</t>
  </si>
  <si>
    <t xml:space="preserve">    USQ 82(V) GEDMS</t>
  </si>
  <si>
    <t xml:space="preserve">    Mission Systems</t>
  </si>
  <si>
    <t xml:space="preserve">    Miscellaneous Electronics</t>
  </si>
  <si>
    <t xml:space="preserve">    Tactical COMINT System- Spectral</t>
  </si>
  <si>
    <t xml:space="preserve">    MK 2 MOD 4E Ship Self Defense System (SSDS)</t>
  </si>
  <si>
    <t xml:space="preserve">    ELECTRO-OPTICAL / INFRARED (EO/IR)</t>
  </si>
  <si>
    <t xml:space="preserve">    IDENTIFICATION FRIEND OR FOE (IFF)</t>
  </si>
  <si>
    <t xml:space="preserve">    Cooperative Engagement Capability (CEC)</t>
  </si>
  <si>
    <t xml:space="preserve">    Command, Control, Communications, Computers and Intelligence (C4I)</t>
  </si>
  <si>
    <t xml:space="preserve">    DDG 1002 UNIVERSAL CANISTER ELECTRICAL UNITS (UCEU)</t>
  </si>
  <si>
    <t xml:space="preserve">    Ship Self Defense System (SSDS)</t>
  </si>
  <si>
    <t xml:space="preserve">    AN/UPX 29(V) IFF and TACAN</t>
  </si>
  <si>
    <t xml:space="preserve">    SRQ 4 LAMPS III</t>
  </si>
  <si>
    <t xml:space="preserve">    CEC</t>
  </si>
  <si>
    <t xml:space="preserve">    Network Management System (NMS) 2.0/Consolidated Afloat Networks and Enterprise Services (CANES) [T-AO 214]</t>
  </si>
  <si>
    <t xml:space="preserve">    SURFACE ELECTRONIC WARFARE IMPROVEMENT PROGRAM (SEWIP)</t>
  </si>
  <si>
    <t xml:space="preserve">    External Communication Suite (EXCOMM)</t>
  </si>
  <si>
    <t xml:space="preserve">    AN/SPN-50 (V)1</t>
  </si>
  <si>
    <t xml:space="preserve">    COMMON ARRAY POWER SYSTEM (CAPS)</t>
  </si>
  <si>
    <t xml:space="preserve">    AN/SLQ-32(V), Surface Warfare Improvement Program (SEWIP)</t>
  </si>
  <si>
    <t xml:space="preserve">    AN/SLQ-32(V)6 Surface Electronic Warfare Improvement Program (SEWIP)</t>
  </si>
  <si>
    <t xml:space="preserve">    NAVIGATION SYSTEM</t>
  </si>
  <si>
    <t xml:space="preserve">    MIDS</t>
  </si>
  <si>
    <t xml:space="preserve">    Identification Friend or Foe (IFF) UPX-29</t>
  </si>
  <si>
    <t xml:space="preserve">    Integrated Voice Network (IVN)</t>
  </si>
  <si>
    <t xml:space="preserve">    SLQ 25 NIXIE</t>
  </si>
  <si>
    <t xml:space="preserve">    NGSSR</t>
  </si>
  <si>
    <t xml:space="preserve">    AN/UPX-29(V), Identification Friend or Foe (IFF) MK12</t>
  </si>
  <si>
    <t xml:space="preserve">    COOPERATIVE ENGAGEMENT CAPABILITY (CEC)</t>
  </si>
  <si>
    <t xml:space="preserve">    MK 53 NULKA</t>
  </si>
  <si>
    <t xml:space="preserve">    AN/USG-2, Cooperative Engagement Transmission Processing Set (CETPS)</t>
  </si>
  <si>
    <t xml:space="preserve">    Minor Systems</t>
  </si>
  <si>
    <t xml:space="preserve">    Joint Precision Approach and Landing System (JPALS) (AN/USN-3(V)1, SSLS)</t>
  </si>
  <si>
    <t xml:space="preserve">    USQ-82, Gigabit Ethernet Data Multiplex System (GEDMS)</t>
  </si>
  <si>
    <t xml:space="preserve">    Interrogator System IFF (Identification Friend or Foe)</t>
  </si>
  <si>
    <t xml:space="preserve">    TSA ANTENNA</t>
  </si>
  <si>
    <t xml:space="preserve">    Radio Communication System (RCS) TURNKEY</t>
  </si>
  <si>
    <t xml:space="preserve">    Aircraft Control Approach Central AN/SPN-35C</t>
  </si>
  <si>
    <t xml:space="preserve">    AN/SLQ-25 NIXIE</t>
  </si>
  <si>
    <t xml:space="preserve">    Hierarchical Yet Dynamically Reprogrammable Architecture (HYDRA) AN/SRC-55</t>
  </si>
  <si>
    <t xml:space="preserve">    AN/SLQ-25C, Torpedo Countermeasures Transmitting Set (NIXIE)</t>
  </si>
  <si>
    <t xml:space="preserve">    Ring Laser Gyro Navigator (RLGN) AN/WSN-7</t>
  </si>
  <si>
    <t xml:space="preserve">    SPARES</t>
  </si>
  <si>
    <t xml:space="preserve">    Amphibious Air Traffic Control Direct Altitude and Identity Readout (AATC-DAIR)</t>
  </si>
  <si>
    <t xml:space="preserve">    IWS CSI</t>
  </si>
  <si>
    <t xml:space="preserve">    Digital Modular Radio (DMR)</t>
  </si>
  <si>
    <t xml:space="preserve">    Aircraft Approach Control Transmitting Set (AACTS) AN/SPN-41B</t>
  </si>
  <si>
    <t xml:space="preserve">    AN/WSN-7(RLGN)</t>
  </si>
  <si>
    <t xml:space="preserve">    Commercial Broadband Satellite Program (CBSP)</t>
  </si>
  <si>
    <t xml:space="preserve">    HM&amp;E Condition System (HMECS)</t>
  </si>
  <si>
    <t xml:space="preserve">    Announcing Systems AN/SIA-127H</t>
  </si>
  <si>
    <t xml:space="preserve">    Amphibious Assault Direction System (AADS)</t>
  </si>
  <si>
    <t xml:space="preserve">    SATCC</t>
  </si>
  <si>
    <t xml:space="preserve">    Electronic Charting Display and Information Systems-Navy (ECDIS-N)</t>
  </si>
  <si>
    <t xml:space="preserve">    OA-9277A</t>
  </si>
  <si>
    <t xml:space="preserve">    Nulka Decoy Launching System (DLS)</t>
  </si>
  <si>
    <t xml:space="preserve">    Battle Force Tactical Network (BFTN)/BFTN Resilient Command and Control System Enhancement (BRSE)</t>
  </si>
  <si>
    <t xml:space="preserve">    AN/USQ-155 Tactical Variant Switch (TVS)</t>
  </si>
  <si>
    <t xml:space="preserve">    Advanced Training Domain (ATD)</t>
  </si>
  <si>
    <t xml:space="preserve">    30 TV</t>
  </si>
  <si>
    <t xml:space="preserve">    MK 53 NULKA Decoy Launching System (DLS) Mod 3</t>
  </si>
  <si>
    <t xml:space="preserve">    Next Generation Navigational Radar</t>
  </si>
  <si>
    <t xml:space="preserve">    AN/USQ-T46(V), Battle Force Tactical Training (BFTT)</t>
  </si>
  <si>
    <t xml:space="preserve">    COMMON ARRAY COOLING SYSTEM (CACS)</t>
  </si>
  <si>
    <t xml:space="preserve">    Digital Photo Lab</t>
  </si>
  <si>
    <t xml:space="preserve">    Print Shop</t>
  </si>
  <si>
    <t xml:space="preserve">    DHYSL</t>
  </si>
  <si>
    <t xml:space="preserve">    AN/UQN-10</t>
  </si>
  <si>
    <t xml:space="preserve">    RADIAC</t>
  </si>
  <si>
    <t xml:space="preserve">    MISC. HM&amp;E</t>
  </si>
  <si>
    <t xml:space="preserve">    Equipment &amp; Engineering</t>
  </si>
  <si>
    <t xml:space="preserve">    MAIN TURBINE GENERATOR (MTG)</t>
  </si>
  <si>
    <t xml:space="preserve">    Integrated Bridge Navigation System</t>
  </si>
  <si>
    <t xml:space="preserve">    STC 3 IVCS</t>
  </si>
  <si>
    <t xml:space="preserve">    Machinery Control System</t>
  </si>
  <si>
    <t xml:space="preserve">    Aircraft Ship Integrated Securing and Traversing System (ASIST)</t>
  </si>
  <si>
    <t xml:space="preserve">    CYBER BDC</t>
  </si>
  <si>
    <t xml:space="preserve">    WSN 12</t>
  </si>
  <si>
    <t xml:space="preserve">    HM&amp;E (NGVLA, Moriah Wind Measurement System (WMS), Aviation Integration)</t>
  </si>
  <si>
    <t xml:space="preserve">    Other HM&amp;E</t>
  </si>
  <si>
    <t xml:space="preserve">    Engineering Services</t>
  </si>
  <si>
    <t xml:space="preserve">    Test &amp; Instrumentation</t>
  </si>
  <si>
    <t xml:space="preserve">    Unclassified Video System (UVS)</t>
  </si>
  <si>
    <t xml:space="preserve">    INTERIM SPARES</t>
  </si>
  <si>
    <t xml:space="preserve">    Internal Communication (IC) Voice</t>
  </si>
  <si>
    <t xml:space="preserve">    Interior Wireless Communication System (IWCS)</t>
  </si>
  <si>
    <t xml:space="preserve">    SUPSHIP Material/Services</t>
  </si>
  <si>
    <t xml:space="preserve">    Ship Control System-Government (SCS GOV)</t>
  </si>
  <si>
    <t xml:space="preserve">    Advanced Flight Deck Lighting System (AFDLS)</t>
  </si>
  <si>
    <t xml:space="preserve">    Forklift Trucks</t>
  </si>
  <si>
    <t xml:space="preserve">    Logistics Support Services</t>
  </si>
  <si>
    <t xml:space="preserve">    Material Handling Equipment</t>
  </si>
  <si>
    <t xml:space="preserve">    RIGID HULL INFLATABLE BOAT (RHIB)</t>
  </si>
  <si>
    <t xml:space="preserve">    Chemical Warfare Detectors</t>
  </si>
  <si>
    <t xml:space="preserve">    Motor Operated Pilot Valve (MOPV)</t>
  </si>
  <si>
    <t xml:space="preserve">    Plastic Waste Processing EQP</t>
  </si>
  <si>
    <t xml:space="preserve">    Boats (Rigid Inflatable Boat, 7 meter)</t>
  </si>
  <si>
    <t xml:space="preserve">    Military Payroll System</t>
  </si>
  <si>
    <t xml:space="preserve">    Improved Point Detection System - Lifecycle Replacement (IPDS-LR)</t>
  </si>
  <si>
    <t xml:space="preserve">    Shipboard Automated Maintenance Module (SAMM)</t>
  </si>
  <si>
    <t xml:space="preserve">    Oily Water Separator</t>
  </si>
  <si>
    <t xml:space="preserve">    AN/SPY-6(V)1 (AMDR)</t>
  </si>
  <si>
    <t xml:space="preserve">    AEGIS WEAPON SYSTEM (MK-7)</t>
  </si>
  <si>
    <t xml:space="preserve">    ADVANCED GUN SYSTEM (AGS)</t>
  </si>
  <si>
    <t xml:space="preserve">    VLS MK 41</t>
  </si>
  <si>
    <t xml:space="preserve">    MISC. ORDNANCE</t>
  </si>
  <si>
    <t xml:space="preserve">    MK 45 Light Weight Gun (LWG)</t>
  </si>
  <si>
    <t xml:space="preserve">    MK 41 Vertical Launch System (VLS)- 32 Cell</t>
  </si>
  <si>
    <t xml:space="preserve">    MK 37 TOMAHAWK</t>
  </si>
  <si>
    <t xml:space="preserve">    EASR</t>
  </si>
  <si>
    <t xml:space="preserve">    NATO Sea Sparrow Missile System (NSSMS) MK 57 Mod 14</t>
  </si>
  <si>
    <t xml:space="preserve">    SPQ-9B Radar</t>
  </si>
  <si>
    <t xml:space="preserve">    MK 48 Gun Weapon System (GWS)</t>
  </si>
  <si>
    <t xml:space="preserve">    PHALANX (CIWS)</t>
  </si>
  <si>
    <t xml:space="preserve">    DDG 1002 Missile Tubes (CPS)</t>
  </si>
  <si>
    <t xml:space="preserve">    MK-38 Gun Weapon System (GWS)</t>
  </si>
  <si>
    <t xml:space="preserve">    MK31 Mod 3, Rolling Airframe Missile (RAM) (Tech Refresh)</t>
  </si>
  <si>
    <t xml:space="preserve">    RAM BLOCK II</t>
  </si>
  <si>
    <t xml:space="preserve">    PHALANX Block 1B MK15 Mod 21 &amp; 22, Close-in Weapon System (CIWS)</t>
  </si>
  <si>
    <t xml:space="preserve">    MISCELLANEOUS ORDNANCE</t>
  </si>
  <si>
    <t xml:space="preserve">    AN/SPQ-9B Radar Set</t>
  </si>
  <si>
    <t xml:space="preserve">    Vertical/Stationary Take-Off Landing Optical Landing System (VSTOL OLS)</t>
  </si>
  <si>
    <t xml:space="preserve">    DDG 1002 Rubber Boots, Hatches, Shock Isolation (CPS)</t>
  </si>
  <si>
    <t xml:space="preserve">    CLOSE-IN GUN SYSTEM (CIGS)</t>
  </si>
  <si>
    <t xml:space="preserve">    MK 160 Gun Fire Control System (GFCS)</t>
  </si>
  <si>
    <t xml:space="preserve">    ELECTRO-OPTICAL SYSTEM</t>
  </si>
  <si>
    <t xml:space="preserve">    MK 32 Surface Vessel Torpedo Tubes (SVTT)</t>
  </si>
  <si>
    <t xml:space="preserve">    MK 46 GUN</t>
  </si>
  <si>
    <t xml:space="preserve">    Aviation Support</t>
  </si>
  <si>
    <t xml:space="preserve">    MK 38 Mod 2 Stabilized Gun Stand Assembly</t>
  </si>
  <si>
    <t xml:space="preserve">    Other Ordnance</t>
  </si>
  <si>
    <t xml:space="preserve">    ASGSI/HOSS/MWS Fit Control &amp; Inst Land Sys</t>
  </si>
  <si>
    <t xml:space="preserve">    Next Generation Surface Search Radar (NGSSR)</t>
  </si>
  <si>
    <t xml:space="preserve">    MK 53 Decoy Launching System (DLS) (Nulka)- 4 Launcher</t>
  </si>
  <si>
    <t xml:space="preserve">    Miscellaneous Ordnance</t>
  </si>
  <si>
    <t xml:space="preserve">    MORIAH</t>
  </si>
  <si>
    <t xml:space="preserve">    AN/SPQ-14</t>
  </si>
  <si>
    <t xml:space="preserve">    ORDNANCE HANDLING EQUIPMENT</t>
  </si>
  <si>
    <t>Gross Total ($K)</t>
  </si>
  <si>
    <t>Cost category mix (% of gross total per hull program)</t>
  </si>
  <si>
    <t>(E) Newbuild SAM (cost-element coverage) — FY2026 ($K)</t>
  </si>
  <si>
    <t>P-5c percentage mix from (D) applied to SAM net budget-authority totals. This is the Newbuild SAM — the outsourceable new-construction market sized at component level.</t>
  </si>
  <si>
    <t>SAM Net Total ($K)</t>
  </si>
  <si>
    <t>Newbuild SAM ($K)</t>
  </si>
  <si>
    <t>(F) Newbuild SAM — Cost Category Mix by Hull (Mekko)</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</si>
  <si>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</si>
  <si>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</si>
  <si>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</si>
  <si>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</si>
  <si>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</si>
  <si>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</si>
  <si>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</si>
  <si>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</si>
  <si>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</si>
  <si>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</si>
  <si>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</si>
  <si>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</si>
  <si>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</si>
  <si>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</si>
  <si>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sized at hull-program level. Starts from MRO TAM, excludes single-yard/nuclear programs (Submarines, Aircraft Carriers, UUVs), then narrows to outsourceable work types: scheduled depot maintenance (Bucket 2), continuous/emergent maintenance (Bucket 3), modernization (Bucket 4), and major life-cycle events (Bucket 5). Includes aggregate SDM cost-element estimation derived from OMN sub-component data.</t>
  </si>
  <si>
    <t>(A) Bridge: MRO TAM → MRO SAM</t>
  </si>
  <si>
    <t xml:space="preserve">  Less: Non-outsourceable work types (Buckets 6, 7)</t>
  </si>
  <si>
    <t>MRO SAM</t>
  </si>
  <si>
    <t>(B) MRO SAM by Vessel Type</t>
  </si>
  <si>
    <t>SDM ($K)</t>
  </si>
  <si>
    <t>Cont/Emerg ($K)</t>
  </si>
  <si>
    <t>Mod ($K)</t>
  </si>
  <si>
    <t>Major LC ($K)</t>
  </si>
  <si>
    <t>% of SAM</t>
  </si>
  <si>
    <t>(C) MRO SAM by Hull Program — FY2026 ($K)</t>
  </si>
  <si>
    <t>Same funding as (B) broken down to individual hull programs — the level at which depot maintenance, modernization, and life-cycle line items are traceable.</t>
  </si>
  <si>
    <t>MRO SAM (all programs)</t>
  </si>
  <si>
    <t>(D) Aggregate SDM Cost Breakdown</t>
  </si>
  <si>
    <t>Aggregate cost breakdown of OMN Ship Maintenance (Bucket 2) spending by cost type. Derived from OMN sub-component data — not hull-specific. Used in section (E) to estimate cost-element coverage per hull program.</t>
  </si>
  <si>
    <t>$K</t>
  </si>
  <si>
    <t>% of SDM</t>
  </si>
  <si>
    <t>Government Shipyard Labor</t>
  </si>
  <si>
    <t>Private Sector Contract</t>
  </si>
  <si>
    <t>Materials &amp; Supply Chain</t>
  </si>
  <si>
    <t>MSC Vessel Maintenance</t>
  </si>
  <si>
    <t>Weapons/Combat Systems Depot</t>
  </si>
  <si>
    <t>(E) MRO SAM (SDM cost-element estimate) — FY2026 ($K)</t>
  </si>
  <si>
    <t>Estimated SDM cost breakdown by hull program. Applies the aggregate OMN cost mix from section (D) to each hull’s SDM funding. This is an approximation — actual cost mix varies by hull class. Analogous to Newbuild SAM section (E) which applies P-5c cost mix to net budget authority.</t>
  </si>
  <si>
    <t>SAM SDM Total ($K)</t>
  </si>
  <si>
    <t>Estimated SDM Total ($K)</t>
  </si>
  <si>
    <t>(F) MRO SAM — Work Type by Hull (Mekko)</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</si>
  <si>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</si>
  <si>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</si>
  <si>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</si>
  <si>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</si>
  <si>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</si>
  <si>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</si>
  <si>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</si>
  <si>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(C) Newbuild TAM by Hull Program — FY2027 ($K)</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</si>
  <si>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</si>
  <si>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</si>
  <si>
    <t>(B) Newbuild SAM (all programs) by Vessel Type &amp; Sub-Category — FY2027 ($K)</t>
  </si>
  <si>
    <t>(C) Newbuild SAM (all programs) by Hull Program — FY2027 ($K)</t>
  </si>
  <si>
    <t>Justification books (P-5c, P-8a) not yet released for FY27 — cost-element breakdown and Newbuild SAM (cost-element coverage) are not available.</t>
  </si>
  <si>
    <t>MRO TAM — FY2027 ($K)</t>
  </si>
  <si>
    <t>MRO SAM — FY2027 ($K)</t>
  </si>
  <si>
    <t>(C) MRO SAM by Hull Program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</si>
  <si>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</si>
  <si>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</si>
  <si>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</si>
  <si>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</si>
  <si>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</si>
  <si>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</si>
  <si>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</si>
  <si>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</si>
  <si>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</si>
  <si>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</si>
  <si>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</si>
  <si>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</si>
  <si>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</si>
  <si>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</si>
  <si>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</si>
  <si>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</si>
  <si>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</si>
  <si>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</si>
  <si>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</si>
  <si>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</si>
  <si>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</si>
  <si>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</si>
  <si>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</si>
  <si>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</si>
  <si>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</si>
  <si>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</si>
  <si>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</si>
  <si>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</si>
  <si>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</si>
  <si>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</si>
  <si>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</si>
  <si>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</si>
  <si>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</si>
  <si>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</si>
  <si>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</si>
  <si>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</si>
  <si>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</si>
  <si>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</si>
  <si>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</si>
  <si>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</si>
  <si>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</si>
  <si>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</si>
  <si>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</si>
  <si>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</si>
  <si>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</si>
  <si>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</si>
  <si>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</si>
  <si>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</si>
  <si>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</si>
  <si>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</si>
  <si>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</si>
  <si>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</si>
  <si>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</si>
  <si>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</si>
  <si>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</si>
  <si>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</si>
  <si>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</si>
  <si>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</si>
  <si>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</si>
  <si>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</si>
  <si>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</si>
  <si>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</si>
  <si>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</si>
  <si>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</si>
  <si>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</si>
  <si>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</si>
  <si>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</si>
  <si>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</si>
  <si>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</si>
  <si>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</si>
  <si>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</si>
  <si>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</si>
  <si>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</si>
  <si>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</si>
  <si>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</si>
  <si>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</si>
  <si>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</si>
  <si>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</si>
  <si>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</si>
  <si>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</si>
  <si>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</si>
  <si>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</si>
  <si>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</si>
  <si>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</si>
  <si>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</si>
  <si>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</si>
  <si>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</si>
  <si>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</si>
  <si>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</si>
  <si>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</si>
  <si>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</si>
  <si>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</si>
  <si>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</si>
  <si>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</si>
  <si>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</si>
  <si>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</si>
  <si>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</si>
  <si>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</si>
  <si>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</si>
  <si>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</si>
  <si>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</si>
  <si>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</si>
  <si>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</si>
  <si>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</si>
  <si>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</si>
  <si>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</si>
  <si>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</si>
  <si>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</si>
  <si>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</si>
  <si>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</si>
  <si>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</si>
  <si>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</si>
  <si>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</si>
  <si>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</si>
  <si>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</si>
  <si>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</si>
  <si>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</si>
  <si>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</si>
  <si>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</si>
  <si>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</si>
  <si>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</si>
  <si>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</si>
  <si>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</si>
  <si>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</si>
  <si>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</si>
  <si>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</si>
  <si>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</si>
  <si>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</si>
  <si>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</si>
  <si>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</si>
  <si>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</si>
  <si>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</si>
  <si>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</si>
  <si>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</si>
  <si>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</si>
  <si>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</si>
  <si>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</si>
  <si>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</si>
  <si>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</si>
  <si>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</si>
  <si>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</si>
  <si>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</si>
  <si>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</si>
  <si>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</si>
  <si>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</si>
  <si>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</si>
  <si>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</si>
  <si>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</si>
  <si>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</si>
  <si>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</si>
  <si>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</si>
  <si>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</si>
  <si>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</si>
  <si>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</si>
  <si>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</si>
  <si>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</si>
  <si>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</si>
  <si>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</si>
  <si>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</si>
  <si>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</si>
  <si>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</si>
  <si>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</si>
  <si>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</si>
  <si>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</si>
  <si>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</si>
  <si>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</si>
  <si>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</si>
  <si>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</si>
  <si>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</si>
  <si>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</si>
  <si>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</si>
  <si>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</si>
  <si>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</si>
  <si>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</si>
  <si>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</si>
  <si>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</si>
  <si>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</si>
  <si>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</si>
  <si>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</si>
  <si>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</si>
  <si>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</si>
  <si>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</si>
  <si>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</si>
  <si>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</si>
  <si>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</si>
  <si>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</si>
  <si>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</si>
  <si>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</si>
  <si>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</si>
  <si>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</si>
  <si>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</si>
  <si>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</si>
  <si>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</si>
  <si>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</si>
  <si>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</si>
  <si>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</si>
  <si>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</si>
  <si>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</si>
  <si>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</si>
  <si>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</si>
  <si>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</si>
  <si>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</si>
  <si>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</si>
  <si>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</si>
  <si>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</si>
  <si>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</si>
  <si>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</si>
  <si>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</si>
  <si>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</si>
  <si>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</si>
  <si>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</si>
  <si>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</si>
  <si>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</si>
  <si>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</si>
  <si>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</si>
  <si>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</si>
  <si>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</si>
  <si>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</si>
  <si>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</si>
  <si>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</si>
  <si>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</si>
  <si>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</si>
  <si>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</si>
  <si>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</si>
  <si>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</si>
  <si>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 &amp; Data Dictionary</t>
  </si>
  <si>
    <t>Data dictionary, validation rules, and taxonomy reference for the consolidated line-item dataset</t>
  </si>
  <si>
    <t>Row Types</t>
  </si>
  <si>
    <t>Tags in the Row Type column (col E) classify how each line item participates in aggregation. Determines which rows are summed for TAM totals.</t>
  </si>
  <si>
    <t>Tag</t>
  </si>
  <si>
    <t>Description</t>
  </si>
  <si>
    <t>Aggregation Rule</t>
  </si>
  <si>
    <t>(no tag)</t>
  </si>
  <si>
    <t>Additive — standalone budget line item whose funding is not double-counted elsewhere.</t>
  </si>
  <si>
    <t>TAM = sum of all (no tag) + [PARENT] rows</t>
  </si>
  <si>
    <t>Parent row — holds aggregate total; [SUB] children break it into components.</t>
  </si>
  <si>
    <t>Include in TAM sum alongside (no tag). Do NOT also sum [SUB] children.</t>
  </si>
  <si>
    <t>Sub-item breakdown of a parent. Provides granular detail but double-counts if summed with parent.</t>
  </si>
  <si>
    <t>Exclude from TAM if summing [PARENT]. Parent Item column points to parent row.</t>
  </si>
  <si>
    <t>Alternative cut of the same money — e.g., P-5c cost breakdowns vs. P-40 line items.</t>
  </si>
  <si>
    <t>Always exclude from TAM sums. Parent Item indicates the alternative-view source.</t>
  </si>
  <si>
    <t>Deferred maintenance or unfunded requirements — real need but NOT in enacted/requested funding.</t>
  </si>
  <si>
    <t>Exclude from TAM. Useful for gap analysis (funded vs. required).</t>
  </si>
  <si>
    <t>Context data that is not additive — unit costs, O&amp;S program changes, revolving fund notes.</t>
  </si>
  <si>
    <t>Exclude from TAM. Included for analytical context only.</t>
  </si>
  <si>
    <t>Market Scope: Total Funding → TAM → SAM</t>
  </si>
  <si>
    <t>How the workbook narrows from total budget authority to the addressable market. Each analysis sheet's row 2 carries the canonical scope definition.</t>
  </si>
  <si>
    <t>All USN, MSC &amp; USCG budget authority for any type of work on any type of vessel — from new construction through depot maintenance, modernization, sustainment, and end-of-life. Includes line items that lack vessel type or work type attribution.</t>
  </si>
  <si>
    <t>Newbuild SAM</t>
  </si>
  <si>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</si>
  <si>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</si>
  <si>
    <t>TAM Formula &amp; Aggregation</t>
  </si>
  <si>
    <t>Rule</t>
  </si>
  <si>
    <t>Notes</t>
  </si>
  <si>
    <t>TAM formula</t>
  </si>
  <si>
    <t>TAM = SUM(FY_Best) WHERE Row_Class = "ADD". Pre-computed in helper columns: Row Class (col AC), FY26 Best (col AD), FY27 Best (col AE).</t>
  </si>
  <si>
    <t>FY26 cascade: DAA Enacted (Y) &gt; Total (U) &gt; Request (S). FY27: Total (AB) &gt; Request (Z).</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</si>
  <si>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</si>
  <si>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</si>
  <si>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</si>
  <si>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</si>
  <si>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</si>
  <si>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t>
  </si>
  <si>
    <t>Outsourceable Work Types (SAM-eligible)</t>
  </si>
  <si>
    <t>Work types a non-incumbent shipyard could compete for — these define SAM scope</t>
  </si>
  <si>
    <t>Detail design, construction, and delivery of new vessels</t>
  </si>
  <si>
    <t>Bucket 1</t>
  </si>
  <si>
    <t>CNO-scheduled depot-level maintenance availabilities</t>
  </si>
  <si>
    <t>Bucket 2</t>
  </si>
  <si>
    <t>Intermediate-level and emergent repair, continuous maintenance</t>
  </si>
  <si>
    <t>Bucket 3</t>
  </si>
  <si>
    <t>Modernization &amp; Alteration</t>
  </si>
  <si>
    <t>Combat system upgrades, hull/mech/elec modernization</t>
  </si>
  <si>
    <t>Bucket 4</t>
  </si>
  <si>
    <t>Major Life-Cycle Events</t>
  </si>
  <si>
    <t>SLEP, MMA, RCOH — major overhauls extending service life</t>
  </si>
  <si>
    <t>Bucket 5</t>
  </si>
  <si>
    <t>Excluded: Sustainment Engineering (6), Availability Support (7)</t>
  </si>
  <si>
    <t>TAM Vessel Category Scope</t>
  </si>
  <si>
    <t>Excluded</t>
  </si>
  <si>
    <t>USCG — excluded</t>
  </si>
  <si>
    <t>SAM Vessel Type Exclusions</t>
  </si>
  <si>
    <t>Reason</t>
  </si>
  <si>
    <t>Nuclear-only yards — only two US facilities can build nuclear submarines</t>
  </si>
  <si>
    <t>Electric Boat (CT) and Newport News (VA)</t>
  </si>
  <si>
    <t>Newport News monopoly — single-source production</t>
  </si>
  <si>
    <t>Specialized programs with limited competition</t>
  </si>
  <si>
    <t>Work Type Buckets (1–7)</t>
  </si>
  <si>
    <t>Seven-bucket taxonomy classifying all types of work performed on vessels, from new construction through end-of-life support</t>
  </si>
  <si>
    <t>Budget Anchors / Keywords</t>
  </si>
  <si>
    <t>1 — New Construction</t>
  </si>
  <si>
    <t>Design, construction, and delivery of new vessels from detail design through sea trials.</t>
  </si>
  <si>
    <t>SCN (Navy), PC&amp;I (USCG). Keywords: DD&amp;C, LLTM, advance procurement.</t>
  </si>
  <si>
    <t>2 — Scheduled Depot Maintenance &amp; Repair</t>
  </si>
  <si>
    <t>Planned depot-level work to restore/sustain material condition during CNO-scheduled availabilities.</t>
  </si>
  <si>
    <t>O&amp;M,N SAG 1B4B Ship Depot Maintenance. Keywords: DSRA, SRA, DPMA, PMA, PIA, ROH, drydock.</t>
  </si>
  <si>
    <t>3 — Continuous / Intermediate / Emergent Maintenance</t>
  </si>
  <si>
    <t>Shorter-duration, intermediate-level, continuous, and emergent/casualty work outside the depot event.</t>
  </si>
  <si>
    <t>Keywords: CMAV, WOO, EM, emergent, casualty repair, voyage repair, dockside.</t>
  </si>
  <si>
    <t>4 — Modernization &amp; Alteration Installation</t>
  </si>
  <si>
    <t>Work that changes configuration or adds capability beyond restore-only repair. Funded primarily through procurement.</t>
  </si>
  <si>
    <t>OPN P-40 line items (DDG Mod, CG Mod, LCS Mod). Keywords: SHIPALT, ORDALT, tech refresh, backfit.</t>
  </si>
  <si>
    <t>5 — Major Life-Cycle Events / SLEP / MMA / RCOH</t>
  </si>
  <si>
    <t>Multi-year platform- or class-scale recapitalization that gets its own budget line.</t>
  </si>
  <si>
    <t>Keywords: RCOH, EOH, SLEP, MMA, midlife. Separate from routine depot maintenance (Bucket 2).</t>
  </si>
  <si>
    <t>6 — Sustainment Engineering / Planning / Obsolescence</t>
  </si>
  <si>
    <t>Engineering, planning, DMSMS/obsolescence, and program support for in-service vessels.</t>
  </si>
  <si>
    <t>O&amp;M,N SAG 1B5B Ship Depot Ops Support; OPN spares (BA08). Keywords: SETA, DMSMS, survey &amp; design.</t>
  </si>
  <si>
    <t>7 — Availability Support / Husbanding / Port Services</t>
  </si>
  <si>
    <t>Services that enable repair/modernization but are not themselves repair or upgrade work.</t>
  </si>
  <si>
    <t>Keywords: husbanding, pilot, tug, berthing, crane, shore power, scaffolding, environmental.</t>
  </si>
  <si>
    <t>Bucket 1 Sub-Categories</t>
  </si>
  <si>
    <t>Examples</t>
  </si>
  <si>
    <t>Detail design and construction of a complete vessel.</t>
  </si>
  <si>
    <t>DDG-51, FFG-62, CVN-79, LPD, LHA, T-AO, OPC, FRC, PSC</t>
  </si>
  <si>
    <t>Long-lead time material and advance procurement funded 1–2 years ahead of DD&amp;C.</t>
  </si>
  <si>
    <t>Reactor components, propulsion equipment, combat system long-lead items</t>
  </si>
  <si>
    <t>Lead yard support, planning yard services, and design completion work.</t>
  </si>
  <si>
    <t>EB submarine planning yard, Columbia design completion</t>
  </si>
  <si>
    <t>Government-furnished equipment / combat systems procured separately from hull construction (via OPN or RDT&amp;E).</t>
  </si>
  <si>
    <t>Funded through OPN, not SCN — but supports new construction</t>
  </si>
  <si>
    <t>Bucket 2–7 Sub-Categories</t>
  </si>
  <si>
    <t>Coverage</t>
  </si>
  <si>
    <t>Bkt 2: Scheduled Depot Maintenance</t>
  </si>
  <si>
    <t>CNO-scheduled depot-level maintenance availabilities.</t>
  </si>
  <si>
    <t>113 rows</t>
  </si>
  <si>
    <t>Bkt 2: Ship Availability</t>
  </si>
  <si>
    <t>Ship availability periods for maintenance and repair work.</t>
  </si>
  <si>
    <t>105 rows</t>
  </si>
  <si>
    <t>Bkt 4: GFE / combat systems</t>
  </si>
  <si>
    <t>Government-furnished equipment and combat system modernization.</t>
  </si>
  <si>
    <t>Shared with Bucket 1</t>
  </si>
  <si>
    <t>Bkt 5: RCOH</t>
  </si>
  <si>
    <t>Refueling Complex Overhaul — multi-year nuclear carrier recapitalization.</t>
  </si>
  <si>
    <t>187 rows</t>
  </si>
  <si>
    <t>Bkt 5: SLEP</t>
  </si>
  <si>
    <t>Service Life Extension Program — extends platform beyond original design life.</t>
  </si>
  <si>
    <t>6 rows</t>
  </si>
  <si>
    <t>Bkt 6: Sustainment Eng. — spares</t>
  </si>
  <si>
    <t>Spare parts procurement for sustainment engineering and obsolescence (OPN BA08).</t>
  </si>
  <si>
    <t>14 rows</t>
  </si>
  <si>
    <t>Bkt 7: Availability Support</t>
  </si>
  <si>
    <t>Services enabling repair/mod — husbanding, port services, crane, scaffolding.</t>
  </si>
  <si>
    <t>76 rows</t>
  </si>
  <si>
    <t>Other: Full vessel procurement</t>
  </si>
  <si>
    <t>USCG full vessel procurement — equivalent to Full ship DD&amp;C for Coast Guard.</t>
  </si>
  <si>
    <t>Other: Full ship DD&amp;C / LLTM</t>
  </si>
  <si>
    <t>Combined full ship construction and long-lead time material in a single line item.</t>
  </si>
  <si>
    <t>3 rows</t>
  </si>
  <si>
    <t>Composite Bucket Values</t>
  </si>
  <si>
    <t>Multi-bucket line items</t>
  </si>
  <si>
    <t>Some line items span multiple work types. Bucket value uses a delimiter (pipe, comma, or slash): 2|3, 2,3, 2/4, 4/6, 1,4,5.</t>
  </si>
  <si>
    <t>Correctly excluded from per-bucket TAM sums (SUMPRODUCT checks fail on composite strings).</t>
  </si>
  <si>
    <t>TAM impact</t>
  </si>
  <si>
    <t>Composite-bucket rows excluded from TAM-by-work-type pivot because SUMPRODUCT checks D=1, D=2, etc. — a string like "2|3" fails all single-integer tests.</t>
  </si>
  <si>
    <t>To capture, filter Bucket for non-integer values.</t>
  </si>
  <si>
    <t>Vessel Taxonomy</t>
  </si>
  <si>
    <t>Four-column hierarchy: Vessel Service → Category → Type → Hull. Each column progressively more specific. All 4 may be populated or only broader levels.</t>
  </si>
  <si>
    <t>USN — United States Navy</t>
  </si>
  <si>
    <t>Commissioned warships and support craft with Navy crews.</t>
  </si>
  <si>
    <t>Combatant Ships (TAM scope)</t>
  </si>
  <si>
    <t>Warships and other combatant vessels — the core fighting and logistics fleet.</t>
  </si>
  <si>
    <t>Type</t>
  </si>
  <si>
    <t>Hull Designators</t>
  </si>
  <si>
    <t>Nuclear-powered aircraft carriers</t>
  </si>
  <si>
    <t>Guided-missile cruisers, destroyers, frigates, littoral combat ships</t>
  </si>
  <si>
    <t>CG, DDG, FFG, LCS</t>
  </si>
  <si>
    <t>Attack submarines, ballistic missile submarines, guided-missile submarines</t>
  </si>
  <si>
    <t>SSN, SSBN, SSGN</t>
  </si>
  <si>
    <t>Amphibious assault ships and transport docks</t>
  </si>
  <si>
    <t>LHA, LHD, LPD, LSD</t>
  </si>
  <si>
    <t>Mine countermeasure ships</t>
  </si>
  <si>
    <t>Oilers, ammunition ships, dry cargo/ammunition ships</t>
  </si>
  <si>
    <t>AO, AOE, AOL, AKE</t>
  </si>
  <si>
    <t>Afloat command and control platforms</t>
  </si>
  <si>
    <t>Submarine tenders</t>
  </si>
  <si>
    <t>Ocean surveillance ships</t>
  </si>
  <si>
    <t>AGOS</t>
  </si>
  <si>
    <t>Rescue/salvage ships and fleet tugs</t>
  </si>
  <si>
    <t>ARS, ATF, ATS</t>
  </si>
  <si>
    <t>Expeditionary fast transports, sea bases, medium landing ships</t>
  </si>
  <si>
    <t>EPF, ESB, ESD, LSM</t>
  </si>
  <si>
    <t>Auxiliary Ships (TAM scope)</t>
  </si>
  <si>
    <t>Non-combatant support vessels — research, cargo, hospital, special-purpose.</t>
  </si>
  <si>
    <t>Floating crane ship</t>
  </si>
  <si>
    <t>Multi-purpose auxiliary vessels</t>
  </si>
  <si>
    <t>Oceanographic and survey ships</t>
  </si>
  <si>
    <t>AGM, AGOR, AGS</t>
  </si>
  <si>
    <t>Hospital ships</t>
  </si>
  <si>
    <t>AH</t>
  </si>
  <si>
    <t>Cargo and vehicle transport ships</t>
  </si>
  <si>
    <t>AK, AKR</t>
  </si>
  <si>
    <t>Transport Oiler</t>
  </si>
  <si>
    <t>Transport oilers</t>
  </si>
  <si>
    <t>AOT</t>
  </si>
  <si>
    <t>Cable Repairing Ship</t>
  </si>
  <si>
    <t>Submarine cable repair ships</t>
  </si>
  <si>
    <t>ARC</t>
  </si>
  <si>
    <t>Aviation support ships</t>
  </si>
  <si>
    <t>High speed transports</t>
  </si>
  <si>
    <t>Submarine escort/support vessels</t>
  </si>
  <si>
    <t>USS Constitution</t>
  </si>
  <si>
    <t>Historic warship — not operationally classified</t>
  </si>
  <si>
    <t>—</t>
  </si>
  <si>
    <t>Combatant Crafts (excluded from TAM)</t>
  </si>
  <si>
    <t>Smaller combatant craft — patrol, landing, and special warfare.</t>
  </si>
  <si>
    <t>Coastal patrol craft</t>
  </si>
  <si>
    <t>Landing craft — air cushion and utility</t>
  </si>
  <si>
    <t>LCAC, LCU</t>
  </si>
  <si>
    <t>Patrol Boats</t>
  </si>
  <si>
    <t>Various patrol boats by length</t>
  </si>
  <si>
    <t>36PB, 64PB, 87PB</t>
  </si>
  <si>
    <t>Naval Special Warfare craft and swimmer delivery vehicles</t>
  </si>
  <si>
    <t>DSB, CCA, CCM, CCH, NSW RHIB, SDV, SWCS, SSC</t>
  </si>
  <si>
    <t>Unmanned Maritime Platforms (TAM scope)</t>
  </si>
  <si>
    <t>Unmanned surface and undersea vehicles.</t>
  </si>
  <si>
    <t>Large, medium, small, and very small USVs</t>
  </si>
  <si>
    <t>LUSV, MUSV, SUSV, VSUSV</t>
  </si>
  <si>
    <t>Extra-large, large, medium, and small UUVs</t>
  </si>
  <si>
    <t>XLUUV, LUUV, MUUV, SUUV</t>
  </si>
  <si>
    <t>Support Crafts (excluded from TAM)</t>
  </si>
  <si>
    <t>Yard craft, barges, tugs, and harbor support vessels.</t>
  </si>
  <si>
    <t>Dry Docks</t>
  </si>
  <si>
    <t>Floating dry docks</t>
  </si>
  <si>
    <t>AFDL, ARDM, AFDM</t>
  </si>
  <si>
    <t>Harbor Tugs</t>
  </si>
  <si>
    <t>Yard and harbor tugboats</t>
  </si>
  <si>
    <t>YT, YTB, YTL</t>
  </si>
  <si>
    <t>Lighters &amp; Barges</t>
  </si>
  <si>
    <t>Non-self-propelled barges and lighters</t>
  </si>
  <si>
    <t>YC, YCV, YFN, YFNX, YFNB, YON, YOS, YWN, YWO</t>
  </si>
  <si>
    <t>Misc. self-propelled yard and special craft</t>
  </si>
  <si>
    <t>FSF, SBX, YFB, YP, YSD, YDT, YTT</t>
  </si>
  <si>
    <t>Berthing barges, floating workshops, misc. non-propelled</t>
  </si>
  <si>
    <t>APL, YD, YFND, YFP, YR, YRB, YRBM, YRDH, YRDM, IX</t>
  </si>
  <si>
    <t>Sealift and marine pre-positioning support craft</t>
  </si>
  <si>
    <t>INLS, LCM 8, LARC V, MPF UB, OPDS UB</t>
  </si>
  <si>
    <t>Ships Boats</t>
  </si>
  <si>
    <t>Motor rescue boats carried aboard ships</t>
  </si>
  <si>
    <t>5MRB, 7MRB, 11MRB</t>
  </si>
  <si>
    <t>Shore-Based Harbor Security Boats</t>
  </si>
  <si>
    <t>Harbor security patrol boats</t>
  </si>
  <si>
    <t>27HS, 28HS, 32HS, 33HS, 11MHS, 35HS, 36HS</t>
  </si>
  <si>
    <t>MSC — Military Sealift Command</t>
  </si>
  <si>
    <t>Civilian-crewed ships using T- prefix (e.g., T-AO, T-AKE, T-EPF). Shares USN categories and types. Service column = MSC when hull starts with T-.</t>
  </si>
  <si>
    <t>Examples: T-AO (Combat Logistics), T-AGOS (Surveillance), T-EPF (Expeditionary &amp; Seabasing)</t>
  </si>
  <si>
    <t>USCG — United States Coast Guard</t>
  </si>
  <si>
    <t>Cutters and boats. Part of DHS, not DoD.</t>
  </si>
  <si>
    <t>Cutters (TAM scope)</t>
  </si>
  <si>
    <t>Coast Guard cutters — 65 feet and larger.</t>
  </si>
  <si>
    <t>Heavy polar icebreakers</t>
  </si>
  <si>
    <t>Great Lakes icebreaking cutters</t>
  </si>
  <si>
    <t>Legend-class national security cutters</t>
  </si>
  <si>
    <t>High Endurance Cutters</t>
  </si>
  <si>
    <t>Hamilton-class high endurance cutters (retiring)</t>
  </si>
  <si>
    <t>WHEC</t>
  </si>
  <si>
    <t>Medium Endurance Cutters</t>
  </si>
  <si>
    <t>270-foot and 210-foot medium endurance cutters</t>
  </si>
  <si>
    <t>WMEC</t>
  </si>
  <si>
    <t>Heritage-class offshore patrol cutters</t>
  </si>
  <si>
    <t>Sentinel-class fast response cutters</t>
  </si>
  <si>
    <t>Marine Protector-class patrol boats</t>
  </si>
  <si>
    <t>WPB</t>
  </si>
  <si>
    <t>Seagoing Buoy Tenders</t>
  </si>
  <si>
    <t>Juniper-class seagoing buoy tenders</t>
  </si>
  <si>
    <t>WLB</t>
  </si>
  <si>
    <t>Keeper-class coastal buoy tenders</t>
  </si>
  <si>
    <t>Inland Construction Tenders</t>
  </si>
  <si>
    <t>Inland construction tenders</t>
  </si>
  <si>
    <t>WLIC</t>
  </si>
  <si>
    <t>Ice Breaking Tugs</t>
  </si>
  <si>
    <t>Ice-breaking harbor tugs</t>
  </si>
  <si>
    <t>WTGB</t>
  </si>
  <si>
    <t>River Buoy Tenders</t>
  </si>
  <si>
    <t>River buoy tenders</t>
  </si>
  <si>
    <t>WLR</t>
  </si>
  <si>
    <t>Inland Buoy Tenders</t>
  </si>
  <si>
    <t>Inland buoy tenders</t>
  </si>
  <si>
    <t>WLI</t>
  </si>
  <si>
    <t>Small Harbor Tugs</t>
  </si>
  <si>
    <t>65-foot small harbor tugs</t>
  </si>
  <si>
    <t>WYTL</t>
  </si>
  <si>
    <t>Barque Eagle</t>
  </si>
  <si>
    <t>USCG training sailing vessel</t>
  </si>
  <si>
    <t>WIX</t>
  </si>
  <si>
    <t>Boats (excluded from TAM)</t>
  </si>
  <si>
    <t>Coast Guard boats — under 65 feet.</t>
  </si>
  <si>
    <t>Response Boats</t>
  </si>
  <si>
    <t>Motor lifeboats, response boats, transportable port security boats</t>
  </si>
  <si>
    <t>MLB, RB-M, TPSB, RB-S II, UTM, UTL</t>
  </si>
  <si>
    <t>Aids to Navigation Boats</t>
  </si>
  <si>
    <t>Boats supporting aids to navigation mission</t>
  </si>
  <si>
    <t>ANB, BUSL, TANB, AB-S, AB-SKF</t>
  </si>
  <si>
    <t>Cutter Boats</t>
  </si>
  <si>
    <t>Small boats deployed from cutters</t>
  </si>
  <si>
    <t>CB-LRI, CB-OTH, ASB/LC, MSB, CB-L, CB-ATON, CB-M, CB-S, UTL</t>
  </si>
  <si>
    <t>Special Purpose Craft</t>
  </si>
  <si>
    <t>Specialized mission craft</t>
  </si>
  <si>
    <t>SPC-SV, SPC-TTB, SPC-TB, SPC-LE, SPC-BTD, SPC-LEO, SPC-SW, SPC-IRT, SKF-ICE, SKF</t>
  </si>
  <si>
    <t>Training Craft</t>
  </si>
  <si>
    <t>Academy and training center craft</t>
  </si>
  <si>
    <t>CT-64, SB</t>
  </si>
  <si>
    <t>Vessel Class Reference</t>
  </si>
  <si>
    <t>Reference only — not a column in the data sheet. Provides class-level context for hull designators.</t>
  </si>
  <si>
    <t>Class</t>
  </si>
  <si>
    <t>Status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</si>
  <si>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</si>
  <si>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</si>
  <si>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</si>
  <si>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</si>
  <si>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</si>
  <si>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</si>
  <si>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</si>
  <si>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</si>
  <si>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</si>
  <si>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</si>
  <si>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</si>
  <si>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</si>
  <si>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</si>
  <si>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</si>
  <si>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</si>
  <si>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</si>
  <si>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</si>
  <si>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</si>
  <si>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</si>
  <si>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</si>
  <si>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SSN / SSBN</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</si>
  <si>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</si>
  <si>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</si>
  <si>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</si>
  <si>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</si>
  <si>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</si>
  <si>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</si>
  <si>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</si>
  <si>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</si>
  <si>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</si>
  <si>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</si>
  <si>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LHA / LHD / LPD / LSD</t>
  </si>
  <si>
    <t>America (LHA-6)</t>
  </si>
  <si>
    <t>Amphibious assault ship</t>
  </si>
  <si>
    <t>Wasp (LHD-1)</t>
  </si>
  <si>
    <t>Multipurpose amphibious assault ship, 8 ships</t>
  </si>
  <si>
    <t>San Antonio (LPD-17)</t>
  </si>
  <si>
    <t>Amphibious transport dock — Flight I and II</t>
  </si>
  <si>
    <t>Whidbey Island / Harpers Ferry (LSD-41/49)</t>
  </si>
  <si>
    <t>Dock landing ships (replaced by LPD Flight II)</t>
  </si>
  <si>
    <t>Avenger (MCM-1)</t>
  </si>
  <si>
    <t>Mine countermeasures ship</t>
  </si>
  <si>
    <t>Oilers / Logistics</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</si>
  <si>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</si>
  <si>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</si>
  <si>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</si>
  <si>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</si>
  <si>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</si>
  <si>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</si>
  <si>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</si>
  <si>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</si>
  <si>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</si>
  <si>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Expeditionary / Special</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</si>
  <si>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</si>
  <si>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</si>
  <si>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</si>
  <si>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</si>
  <si>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</si>
  <si>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</si>
  <si>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</si>
  <si>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</si>
  <si>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</si>
  <si>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</si>
  <si>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Command / Support</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</si>
  <si>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</si>
  <si>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</si>
  <si>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</si>
  <si>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</si>
  <si>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</si>
  <si>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</si>
  <si>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</si>
  <si>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</si>
  <si>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</si>
  <si>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</si>
  <si>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</si>
  <si>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</si>
  <si>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</si>
  <si>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</si>
  <si>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</si>
  <si>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</si>
  <si>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</si>
  <si>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</si>
  <si>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</si>
  <si>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</si>
  <si>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</si>
  <si>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</si>
  <si>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</si>
  <si>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</si>
  <si>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</si>
  <si>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</si>
  <si>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</si>
  <si>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</si>
  <si>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</si>
  <si>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</si>
  <si>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</si>
  <si>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</si>
  <si>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</si>
  <si>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</si>
  <si>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Rules governing how Vessel Service, Category, Type, and Hull columns are populated</t>
  </si>
  <si>
    <t>4-column vessel hierarchy</t>
  </si>
  <si>
    <t>Vessel data split into: Vessel_Service (USN/USCG/MSC), Vessel_Category, Vessel_Type, Vessel_Hull.</t>
  </si>
  <si>
    <t>Each column progressively more specific.</t>
  </si>
  <si>
    <t>Service determined by hull and source</t>
  </si>
  <si>
    <t>MSC when hull starts with T-. USCG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</si>
  <si>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</si>
  <si>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</si>
  <si>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</si>
  <si>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</si>
  <si>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</si>
  <si>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</si>
  <si>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 DDG). If no class but type was specific, hull extracted from type.</t>
  </si>
  <si>
    <t>Type has no parentheticals</t>
  </si>
  <si>
    <t>Vessel_Type uses base name only (e.g., 'Surface Combatants'). Hull abbreviations belong in Vessel_Hull.</t>
  </si>
  <si>
    <t>Blank stays blank</t>
  </si>
  <si>
    <t>If vessel info was originally blank, all 4 vessel columns remain blank.</t>
  </si>
  <si>
    <t>Derived &amp; Helper Columns</t>
  </si>
  <si>
    <t>Columns added by the build script for formula simplification and cost category analysis</t>
  </si>
  <si>
    <t>Derived Columns (v4.0)</t>
  </si>
  <si>
    <t>Column</t>
  </si>
  <si>
    <t>Details</t>
  </si>
  <si>
    <t>Exhibit Level (col G)</t>
  </si>
  <si>
    <t>Populated for [ALT_VIEW] rows. Values: "P-5c", "P-8a", "P-35", or blank. Parsed from the Line Item Title.</t>
  </si>
  <si>
    <t>P-8a rows require a known cost category in the title. Blank for non-ALT_VIEW.</t>
  </si>
  <si>
    <t>Cost Category (col H)</t>
  </si>
  <si>
    <t>Populated for [ALT_VIEW] rows. One of 9 P-5c cost categories, or blank. For P-5c: extracted from title. For P-8a: parent P-5c category.</t>
  </si>
  <si>
    <t>Valid: Plan Costs, Basic Construction, Change Orders, Electronics, Propulsion Equipment, Hull Mechanical and Electrical, Ordnance, Other Cost, Technology Insertion.</t>
  </si>
  <si>
    <t>Helper Columns (v5.14)</t>
  </si>
  <si>
    <t>Formula</t>
  </si>
  <si>
    <t>Row Class (col AC)</t>
  </si>
  <si>
    <t>Classifies each row: "ADD" for additive (blank or [PARENT]), "ALT" for [ALT_VIEW], blank for others.</t>
  </si>
  <si>
    <t>FY26 Best ($K) (col AD)</t>
  </si>
  <si>
    <t>Pre-computed FY2026 cascade. Picks first non-blank: DAA Enacted (Y), Total (U), Request (S).</t>
  </si>
  <si>
    <t>FY27 Best ($K) (col AE)</t>
  </si>
  <si>
    <t>Pre-computed FY2027 cascade. Picks first non-blank: Total (AB), Request (Z).</t>
  </si>
  <si>
    <t>Formula Simplification Impact</t>
  </si>
  <si>
    <t>Before v5.14</t>
  </si>
  <si>
    <t>Every SUMIFS encoded cascade inline — 2 row types × 3 value columns = 6 SUMIFS per FY26 condition.</t>
  </si>
  <si>
    <t>Max formula: 6,013 chars / 84 SUMIFS</t>
  </si>
  <si>
    <t>After v5.14</t>
  </si>
  <si>
    <t>Each formula reduces to 1 SUMIFS: =SUMIFS(JB_26BV, ..., JB_RC, "ADD"). Helper columns are live formulas.</t>
  </si>
  <si>
    <t>Max formula: 853 chars / 14 SUMIFS (86% reduction)</t>
  </si>
  <si>
    <t>Named Ranges</t>
  </si>
  <si>
    <t>Named ranges defined on J Book Items Cons. for use in SUMIFS formulas across all analysis sheets</t>
  </si>
  <si>
    <t>Name</t>
  </si>
  <si>
    <t>Column &amp; Description</t>
  </si>
  <si>
    <t>Range</t>
  </si>
  <si>
    <t>JB_A</t>
  </si>
  <si>
    <t>col A — Source Book</t>
  </si>
  <si>
    <t>$A$6:$A$4000</t>
  </si>
  <si>
    <t>JB_B</t>
  </si>
  <si>
    <t>col I — Bucket</t>
  </si>
  <si>
    <t>$I$6:$I$4000</t>
  </si>
  <si>
    <t>JB_V</t>
  </si>
  <si>
    <t>col L — Vessel Category</t>
  </si>
  <si>
    <t>$L$6:$L$4000</t>
  </si>
  <si>
    <t>JB_W</t>
  </si>
  <si>
    <t>col M — Vessel Type</t>
  </si>
  <si>
    <t>$M$6:$M$4000</t>
  </si>
  <si>
    <t>JB_H</t>
  </si>
  <si>
    <t>col N — Vessel Hull</t>
  </si>
  <si>
    <t>$N$6:$N$4000</t>
  </si>
  <si>
    <t>JB_S</t>
  </si>
  <si>
    <t>col E — Row Type</t>
  </si>
  <si>
    <t>$E$6:$E$4000</t>
  </si>
  <si>
    <t>JB_F</t>
  </si>
  <si>
    <t>col J — Bucket Sub Category</t>
  </si>
  <si>
    <t>$J$6:$J$4000</t>
  </si>
  <si>
    <t>JB_EX</t>
  </si>
  <si>
    <t>col G — Exhibit Level (derived)</t>
  </si>
  <si>
    <t>$G$6:$G$4000</t>
  </si>
  <si>
    <t>JB_CC</t>
  </si>
  <si>
    <t>col H — Cost Category (derived)</t>
  </si>
  <si>
    <t>$H$6:$H$4000</t>
  </si>
  <si>
    <t>JB_CE</t>
  </si>
  <si>
    <t>col AJ — Cost Element (system names for P-8a)</t>
  </si>
  <si>
    <t>$AJ$6:$AJ$4000</t>
  </si>
  <si>
    <t>JB_RC</t>
  </si>
  <si>
    <t>col AC — Row Class (helper)</t>
  </si>
  <si>
    <t>$AC$6:$AC$4000</t>
  </si>
  <si>
    <t>JB_26BV</t>
  </si>
  <si>
    <t>col AD — FY2026 Best Value (helper)</t>
  </si>
  <si>
    <t>$AD$6:$AD$4000</t>
  </si>
  <si>
    <t>JB_27BV</t>
  </si>
  <si>
    <t>col AE — FY2027 Best Value (helper)</t>
  </si>
  <si>
    <t>$AE$6:$AE$4000</t>
  </si>
  <si>
    <t>Newbuild SAM Cost Category Detail</t>
  </si>
  <si>
    <t>Supplemental cost category analysis on the Newbuild SAM sheet (FY26 only)</t>
  </si>
  <si>
    <t>Section</t>
  </si>
  <si>
    <t>SAM (D): P-5c Gross Cost Category + P-8a System Detail</t>
  </si>
  <si>
    <t>Decomposes new-construction budget authority into P-5c cost categories by SAM vessel type. Individual P-8a GFE systems (radars, weapons, electronics, propulsion) are indented under each cost category. Gross total-ship-estimate costs — pre-AP/SFF, will NOT match SAM net totals.</t>
  </si>
  <si>
    <t>P-5c rows use SUMIFS on [ALT_VIEW] with JB_EX="P-5c". P-8a detail rows (green font) use JB_EX="P-8a" with JB_CE for each system. Sorted by value descending within category.</t>
  </si>
  <si>
    <t>SAM (E): Proportional Allocation</t>
  </si>
  <si>
    <t>P-5c percentage mix from (D) applied to SAM net budget-authority totals. Cost category decomposition reconciles to the SAM total.</t>
  </si>
  <si>
    <t>Allocated Total should equal SAM Net Total per vessel type.</t>
  </si>
  <si>
    <t>FY2027 has no sections (D)/(E) — justification books (P-5c, P-8a, P-35) not yet released.</t>
  </si>
  <si>
    <t>FY2027 Methodology &amp; Sourcing</t>
  </si>
  <si>
    <t>How FY2027 columns were populated, sourcing, and methodological notes</t>
  </si>
  <si>
    <t>Topic</t>
  </si>
  <si>
    <t>Source document</t>
  </si>
  <si>
    <t>FY 2027 P-1 / O-1 (April 2026). New columns: FY2027 Request ($K), FY2027 Mandatory Request ($K), FY2027 Total ($K) at cols Z/AA/AB.</t>
  </si>
  <si>
    <t>Status: REQUEST only, not enacted.</t>
  </si>
  <si>
    <t>Discretionary vs Mandatory</t>
  </si>
  <si>
    <t>Two FY27 request columns: Discretionary Request (regular annual base) and Mandatory Request (a NEW reconciliation ask, separate from OBBBA, NOT enacted, NOT guaranteed).</t>
  </si>
  <si>
    <t>SCN FY27: Disc $60.18B + Mand $5.65B = $65.83B.</t>
  </si>
  <si>
    <t>TAM formula (FY27)</t>
  </si>
  <si>
    <t>Same as FY26 — sum (no tag) + [PARENT] rows. Uses FY2027 Total as per-row value.</t>
  </si>
  <si>
    <t>Same double-counting guards apply.</t>
  </si>
  <si>
    <t>Net vs Gross convention</t>
  </si>
  <si>
    <t>PARENT = NET (gross − Less:AP − Less:SFF). Same as FY26 DAA columns.</t>
  </si>
  <si>
    <t>Completion-PY rolldowns excluded from PARENT (live in [SUB] rows).</t>
  </si>
  <si>
    <t>OBBBA exclusion</t>
  </si>
  <si>
    <t>OBBBA (PL 119-21) is FY2026-only budget authority. 100% captured in FY2026 DAA columns. No FY27 OBBBA column — adding one would double-count.</t>
  </si>
  <si>
    <t>OBBBA contracts may sign in FY27/FY28 but BA is all FY26.</t>
  </si>
  <si>
    <t>Budget authority vs outlays</t>
  </si>
  <si>
    <t>This workbook measures BUDGET AUTHORITY (BA), not outlays. OBBBA gave $152.3B of FY2026 BA, available for obligation through Sept 30, 2029.</t>
  </si>
  <si>
    <t>Apples-to-apples basis for cross-year comparison.</t>
  </si>
  <si>
    <t>FY27 Mandatory vs OBBBA</t>
  </si>
  <si>
    <t>Different pots of money. OBBBA = enacted FY26 mandatory (PL 119-21, July 2025). FY27 Mandatory = a NEW ask in the Apr 2026 PB submission — NOT enacted.</t>
  </si>
  <si>
    <t>SCN FY27 Mand = $5.65B vs. SCN FY26 OBBBA = $17.93B.</t>
  </si>
  <si>
    <t>Coverage by source book</t>
  </si>
  <si>
    <t>High for SCN/OPN/WPN (line-item match). Blank for OMN/NWCF (SAG-level only) and USCG (DHS, not DoD).</t>
  </si>
  <si>
    <t>OMN/NWCF: Phase 2 prorated allocation. USCG: Phase 3 (DHS CJ).</t>
  </si>
  <si>
    <t>New programs (v1.21)</t>
  </si>
  <si>
    <t>9 new SCN rows for FY27 P-1 items not in v1.20: Surface Ship IB, BBG(X), FF(X), AS Sub Tender, SMS, Next Gen Logistics Ship, Bulk Fuel Vessel, T-AH(X), Fireboats.</t>
  </si>
  <si>
    <t>Each: Source=SCN, no Row Type tag (additive), full taxonomy where available.</t>
  </si>
  <si>
    <t>1613N Maritime Industrial Base Fund</t>
  </si>
  <si>
    <t>NOT added — FY26-only appropriation. Two line items (Sub IB $2.54B, Surface Ship IB $1.99B) are zero in FY27. OBBBA-only money already captured by other rows.</t>
  </si>
  <si>
    <t>Data Quality Flags</t>
  </si>
  <si>
    <t>Known duplicates, inconsistencies, and data quality issues in the current dataset</t>
  </si>
  <si>
    <t>Issue</t>
  </si>
  <si>
    <t>Resolution</t>
  </si>
  <si>
    <t>Surface Combatants variant (RESOLVED)</t>
  </si>
  <si>
    <t>Submarket column previously had hyphen and en-dash variants. As of v1.22, all standardized.</t>
  </si>
  <si>
    <t>Re-run consolidation if reloading from en-dash sources.</t>
  </si>
  <si>
    <t>OPN_BA3 / BA5-8 duplicate rows</t>
  </si>
  <si>
    <t>5 line items appear in both OPN_BA3 and OPN_BA5-8. Double-count when summed across all OPN_BAx.</t>
  </si>
  <si>
    <t>Est. impact: +$1.0M to +$1.3M. Pick canonical source, blank the other.</t>
  </si>
  <si>
    <t>LI 116 Advanced Arresting Gear (AAG)</t>
  </si>
  <si>
    <t>OPN_BA3 R2890 + OPN_BA5-8 R3208. Both reference same P-1 line item.</t>
  </si>
  <si>
    <t>Both FY27 = $23,551K. Pick one.</t>
  </si>
  <si>
    <t>LI 117 EMALS</t>
  </si>
  <si>
    <t>OPN_BA3 R2901 + OPN_BA5-8 R3209. Both reference same P-1 line item.</t>
  </si>
  <si>
    <t>Both FY27 = $36,908K. Pick one.</t>
  </si>
  <si>
    <t>LI 122 UMCS-UCA Mission Control Station</t>
  </si>
  <si>
    <t>OPN_BA3 R2947 + OPN_BA5-8 R3210. Both reference same P-1 line item.</t>
  </si>
  <si>
    <t>Both FY27 = $211,216K. Pick one.</t>
  </si>
  <si>
    <t>LI 176 Spares and Repair Parts</t>
  </si>
  <si>
    <t>OPN_BA3 R2973 + OPN_BA5-8 R3220. Both reference P-1 BA08 line 176.</t>
  </si>
  <si>
    <t>Both FY27 = $765,711K. Largest single-line double-count.</t>
  </si>
  <si>
    <t>LI 177 VIRGINIA Class Spares</t>
  </si>
  <si>
    <t>OPN_BA3 R2974 + OPN_BA5-8 R3221. In FY27, P-1 lacks a separate Virginia spares line — both rows blank in FY27.</t>
  </si>
  <si>
    <t>FY26: both have data. Consider prorating as share of consolidated BA08.</t>
  </si>
  <si>
    <t>Phase 2 — OMN/NWCF FY27 Allocation (Planned)</t>
  </si>
  <si>
    <t>Planned methodology for populating FY27 values for OMN, OMN_Vol2, and NWCF source books</t>
  </si>
  <si>
    <t>Why a separate sheet</t>
  </si>
  <si>
    <t>FY27 O-1/RF-1 only publish SAG-level totals — no per-line detail for OMN/NWCF. A "FY27 Allocation Workbench" will apportion SAG totals to individual rows.</t>
  </si>
  <si>
    <t>USCG is DHS, not DoD — cannot be filled from this exhibit set (Phase 3).</t>
  </si>
  <si>
    <t>Allocation rule</t>
  </si>
  <si>
    <t>Pro-rate by FY26 share: FY27_row = (FY26_row / FY26_SAG_total) × FY27_SAG_total. Use FY26 DAA Enacted Total as baseline.</t>
  </si>
  <si>
    <t>Flag rows where prorated FY27 differs from FY26 by &gt; ±25% for review.</t>
  </si>
  <si>
    <t>Source SAG totals (FY27)</t>
  </si>
  <si>
    <t>OMN SAGs: 1A5A Aircraft Depot Maint ($2,220M), 1B1B Mission &amp; Ship Ops ($7,425M), 1B2B Ship Ops Support ($1,713M), 1B4B Ship Depot Maint ($14,293M), 1B5B Depot Ops Support ($2,598M). NWCF: $266M.</t>
  </si>
  <si>
    <t>All FY27 Disc Request only — no Mandatory for OMN/NWCF.</t>
  </si>
  <si>
    <t>Workbench structure</t>
  </si>
  <si>
    <t>Columns: J Book row #, Source Book, LI, Title, SAG, FY26 DAA, FY26 SAG total, FY26 share %, FY27 SAG total, FY27 prorated, ±25% flag, manual override.</t>
  </si>
  <si>
    <t>Manual overrides take precedence when set.</t>
  </si>
  <si>
    <t>SAG → row mapping</t>
  </si>
  <si>
    <t>Parse SAG code from the Citation column (e.g., "OMN &gt; BA01 &gt; 1B4B Ship Depot Maintenance &gt; ...").</t>
  </si>
  <si>
    <t>Ambiguous/missing citations require manual SAG assignment.</t>
  </si>
  <si>
    <t>Validation after Phase 2</t>
  </si>
  <si>
    <t>Sum of prorated FY27 values within a SAG should equal FY27 SAG total. Per-SAG summary: total, sum of prorated, variance.</t>
  </si>
  <si>
    <t>Only PARENT and (no tag) rows are additive for the SAG check.</t>
  </si>
  <si>
    <t>USCG handling (Phase 3)</t>
  </si>
  <si>
    <t>18 USCG rows cannot be populated from FY27 P-1/O-1 (CG is DHS). Requires FY27 DHS CG Congressional Justification.</t>
  </si>
  <si>
    <t>USCG FY27 columns remain blank until Phase 3.</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</si>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</sst>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42">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5" borderId="0" xfId="0" applyFill="1" applyAlignment="1">
      <alignment vertical="center"/>
    </xf>
    <xf numFmtId="0" fontId="7" fillId="5" borderId="2" xfId="0" applyFont="1" applyFill="1" applyBorder="1" applyAlignment="1">
      <alignment vertical="center"/>
    </xf>
    <xf numFmtId="0" fontId="0" fillId="5"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13" fillId="0" borderId="0" xfId="0" applyFont="1" applyAlignment="1">
      <alignment vertical="center"/>
    </xf>
    <xf numFmtId="164" fontId="13" fillId="0" borderId="2" xfId="0" applyNumberFormat="1" applyFont="1" applyBorder="1" applyAlignment="1">
      <alignment vertical="center"/>
    </xf>
    <xf numFmtId="164" fontId="13" fillId="0" borderId="0" xfId="0" applyNumberFormat="1" applyFont="1" applyAlignment="1">
      <alignment vertical="center"/>
    </xf>
    <xf numFmtId="0" fontId="7"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a:extLst>
            <a:ext uri="{FF2B5EF4-FFF2-40B4-BE49-F238E27FC236}">
              <a16:creationId xmlns:a16="http://schemas.microsoft.com/office/drawing/2014/main" id="{00000000-0008-0000-04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457200</xdr:colOff>
      <xdr:row>86</xdr:row>
      <xdr:rowOff>28575</xdr:rowOff>
    </xdr:from>
    <xdr:ext cx="2697480" cy="2971800"/>
    <xdr:sp macro="" textlink="">
      <xdr:nvSpPr>
        <xdr:cNvPr id="2" name="Note 2">
          <a:extLst>
            <a:ext uri="{FF2B5EF4-FFF2-40B4-BE49-F238E27FC236}">
              <a16:creationId xmlns:a16="http://schemas.microsoft.com/office/drawing/2014/main" id="{00000000-0008-0000-06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Estimation</a:t>
          </a:r>
        </a:p>
        <a:p>
          <a:endParaRPr lang="en-US" sz="800"/>
        </a:p>
        <a:p>
          <a:r>
            <a:rPr lang="en-US" sz="800">
              <a:solidFill>
                <a:srgbClr val="333333"/>
              </a:solidFill>
              <a:latin typeface="Arial"/>
            </a:rPr>
            <a:t>Section (E) applies aggregate OMN Ship</a:t>
          </a:r>
        </a:p>
        <a:p>
          <a:r>
            <a:rPr lang="en-US" sz="800">
              <a:solidFill>
                <a:srgbClr val="333333"/>
              </a:solidFill>
              <a:latin typeface="Arial"/>
            </a:rPr>
            <a:t>Maintenance cost mix to per-hull SDM totals.</a:t>
          </a:r>
        </a:p>
        <a:p>
          <a:r>
            <a:rPr lang="en-US" sz="800">
              <a:solidFill>
                <a:srgbClr val="333333"/>
              </a:solidFill>
              <a:latin typeface="Arial"/>
            </a:rPr>
            <a:t>Unlike Newbuild SAM where P-5c gives</a:t>
          </a:r>
        </a:p>
        <a:p>
          <a:r>
            <a:rPr lang="en-US" sz="800">
              <a:solidFill>
                <a:srgbClr val="333333"/>
              </a:solidFill>
              <a:latin typeface="Arial"/>
            </a:rPr>
            <a:t>hull-specific cost breakdowns, MRO uses</a:t>
          </a:r>
        </a:p>
        <a:p>
          <a:r>
            <a:rPr lang="en-US" sz="800">
              <a:solidFill>
                <a:srgbClr val="333333"/>
              </a:solidFill>
              <a:latin typeface="Arial"/>
            </a:rPr>
            <a:t>a single aggregate percentage across all</a:t>
          </a:r>
        </a:p>
        <a:p>
          <a:r>
            <a:rPr lang="en-US" sz="800">
              <a:solidFill>
                <a:srgbClr val="333333"/>
              </a:solidFill>
              <a:latin typeface="Arial"/>
            </a:rPr>
            <a:t>hull programs — a directional estimate.</a:t>
          </a:r>
        </a:p>
        <a:p>
          <a:endParaRPr lang="en-US" sz="800"/>
        </a:p>
        <a:p>
          <a:r>
            <a:rPr lang="en-US" sz="800">
              <a:solidFill>
                <a:srgbClr val="333333"/>
              </a:solidFill>
              <a:latin typeface="Arial"/>
            </a:rPr>
            <a:t>The aggregate mix (Gov Labor, Contract,</a:t>
          </a:r>
        </a:p>
        <a:p>
          <a:r>
            <a:rPr lang="en-US" sz="800">
              <a:solidFill>
                <a:srgbClr val="333333"/>
              </a:solidFill>
              <a:latin typeface="Arial"/>
            </a:rPr>
            <a:t>Materials, MSC, Weapons Depot) is derived</a:t>
          </a:r>
        </a:p>
        <a:p>
          <a:r>
            <a:rPr lang="en-US" sz="800">
              <a:solidFill>
                <a:srgbClr val="333333"/>
              </a:solidFill>
              <a:latin typeface="Arial"/>
            </a:rPr>
            <a:t>from OMN [SUB] data for Bucket 2.</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abSelected="1" topLeftCell="H1" workbookViewId="0">
      <selection activeCell="M49" sqref="M49"/>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6"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6"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6"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6"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6"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6"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6" x14ac:dyDescent="0.2">
      <c r="A3383" t="s">
        <v>7930</v>
      </c>
      <c r="B3383" t="s">
        <v>45</v>
      </c>
      <c r="D3383" t="s">
        <v>8307</v>
      </c>
      <c r="E3383" t="s">
        <v>349</v>
      </c>
      <c r="F3383" t="s">
        <v>8308</v>
      </c>
      <c r="G3383" t="s">
        <v>8309</v>
      </c>
      <c r="H3383" t="s">
        <v>8310</v>
      </c>
      <c r="I3383">
        <v>4</v>
      </c>
      <c r="K3383" t="s">
        <v>50</v>
      </c>
      <c r="L3383" t="s">
        <v>51</v>
      </c>
      <c r="M3383" t="s">
        <v>52</v>
      </c>
      <c r="S3383">
        <v>6354</v>
      </c>
      <c r="U3383">
        <v>6354</v>
      </c>
      <c r="AC3383" t="str">
        <f t="shared" si="156"/>
        <v>ALT</v>
      </c>
      <c r="AD3383">
        <f t="shared" si="157"/>
        <v>6354</v>
      </c>
      <c r="AE3383">
        <f t="shared" si="158"/>
        <v>0</v>
      </c>
      <c r="AF3383" t="s">
        <v>8311</v>
      </c>
      <c r="AJ3383" t="s">
        <v>8312</v>
      </c>
    </row>
    <row r="3384" spans="1:36" x14ac:dyDescent="0.2">
      <c r="A3384" t="s">
        <v>7930</v>
      </c>
      <c r="B3384" t="s">
        <v>45</v>
      </c>
      <c r="D3384" t="s">
        <v>8313</v>
      </c>
      <c r="E3384" t="s">
        <v>349</v>
      </c>
      <c r="F3384" t="s">
        <v>8308</v>
      </c>
      <c r="G3384" t="s">
        <v>8309</v>
      </c>
      <c r="H3384" t="s">
        <v>8310</v>
      </c>
      <c r="I3384">
        <v>4</v>
      </c>
      <c r="K3384" t="s">
        <v>50</v>
      </c>
      <c r="L3384" t="s">
        <v>51</v>
      </c>
      <c r="M3384" t="s">
        <v>52</v>
      </c>
      <c r="S3384">
        <v>0</v>
      </c>
      <c r="U3384">
        <v>0</v>
      </c>
      <c r="AC3384" t="str">
        <f t="shared" si="156"/>
        <v>ALT</v>
      </c>
      <c r="AD3384">
        <f t="shared" si="157"/>
        <v>0</v>
      </c>
      <c r="AE3384">
        <f t="shared" si="158"/>
        <v>0</v>
      </c>
      <c r="AF3384" t="s">
        <v>8314</v>
      </c>
      <c r="AJ3384" t="s">
        <v>8315</v>
      </c>
    </row>
    <row r="3385" spans="1:36" x14ac:dyDescent="0.2">
      <c r="A3385" t="s">
        <v>7930</v>
      </c>
      <c r="B3385" t="s">
        <v>45</v>
      </c>
      <c r="D3385" t="s">
        <v>8316</v>
      </c>
      <c r="E3385" t="s">
        <v>349</v>
      </c>
      <c r="F3385" t="s">
        <v>8308</v>
      </c>
      <c r="G3385" t="s">
        <v>8309</v>
      </c>
      <c r="H3385" t="s">
        <v>8310</v>
      </c>
      <c r="I3385">
        <v>4</v>
      </c>
      <c r="K3385" t="s">
        <v>50</v>
      </c>
      <c r="L3385" t="s">
        <v>51</v>
      </c>
      <c r="M3385" t="s">
        <v>52</v>
      </c>
      <c r="S3385">
        <v>31330</v>
      </c>
      <c r="U3385">
        <v>31330</v>
      </c>
      <c r="AC3385" t="str">
        <f t="shared" si="156"/>
        <v>ALT</v>
      </c>
      <c r="AD3385">
        <f t="shared" si="157"/>
        <v>31330</v>
      </c>
      <c r="AE3385">
        <f t="shared" si="158"/>
        <v>0</v>
      </c>
      <c r="AF3385" t="s">
        <v>8317</v>
      </c>
      <c r="AJ3385" t="s">
        <v>8318</v>
      </c>
    </row>
    <row r="3386" spans="1:36" x14ac:dyDescent="0.2">
      <c r="A3386" t="s">
        <v>7930</v>
      </c>
      <c r="B3386" t="s">
        <v>45</v>
      </c>
      <c r="D3386" t="s">
        <v>8319</v>
      </c>
      <c r="E3386" t="s">
        <v>349</v>
      </c>
      <c r="F3386" t="s">
        <v>8308</v>
      </c>
      <c r="G3386" t="s">
        <v>8309</v>
      </c>
      <c r="H3386" t="s">
        <v>8310</v>
      </c>
      <c r="I3386">
        <v>4</v>
      </c>
      <c r="K3386" t="s">
        <v>50</v>
      </c>
      <c r="L3386" t="s">
        <v>51</v>
      </c>
      <c r="M3386" t="s">
        <v>52</v>
      </c>
      <c r="S3386">
        <v>20050</v>
      </c>
      <c r="U3386">
        <v>20050</v>
      </c>
      <c r="AC3386" t="str">
        <f t="shared" si="156"/>
        <v>ALT</v>
      </c>
      <c r="AD3386">
        <f t="shared" si="157"/>
        <v>20050</v>
      </c>
      <c r="AE3386">
        <f t="shared" si="158"/>
        <v>0</v>
      </c>
      <c r="AF3386" t="s">
        <v>8320</v>
      </c>
      <c r="AJ3386" t="s">
        <v>8321</v>
      </c>
    </row>
    <row r="3387" spans="1:36" x14ac:dyDescent="0.2">
      <c r="A3387" t="s">
        <v>7930</v>
      </c>
      <c r="B3387" t="s">
        <v>45</v>
      </c>
      <c r="D3387" t="s">
        <v>8322</v>
      </c>
      <c r="E3387" t="s">
        <v>349</v>
      </c>
      <c r="F3387" t="s">
        <v>8308</v>
      </c>
      <c r="G3387" t="s">
        <v>8309</v>
      </c>
      <c r="H3387" t="s">
        <v>8310</v>
      </c>
      <c r="I3387">
        <v>4</v>
      </c>
      <c r="K3387" t="s">
        <v>50</v>
      </c>
      <c r="L3387" t="s">
        <v>51</v>
      </c>
      <c r="M3387" t="s">
        <v>52</v>
      </c>
      <c r="S3387">
        <v>24578</v>
      </c>
      <c r="U3387">
        <v>24578</v>
      </c>
      <c r="AC3387" t="str">
        <f t="shared" si="156"/>
        <v>ALT</v>
      </c>
      <c r="AD3387">
        <f t="shared" si="157"/>
        <v>24578</v>
      </c>
      <c r="AE3387">
        <f t="shared" si="158"/>
        <v>0</v>
      </c>
      <c r="AF3387" t="s">
        <v>8323</v>
      </c>
      <c r="AJ3387" t="s">
        <v>8324</v>
      </c>
    </row>
    <row r="3388" spans="1:36" x14ac:dyDescent="0.2">
      <c r="A3388" t="s">
        <v>7930</v>
      </c>
      <c r="B3388" t="s">
        <v>45</v>
      </c>
      <c r="D3388" t="s">
        <v>8325</v>
      </c>
      <c r="E3388" t="s">
        <v>349</v>
      </c>
      <c r="F3388" t="s">
        <v>8308</v>
      </c>
      <c r="G3388" t="s">
        <v>8309</v>
      </c>
      <c r="H3388" t="s">
        <v>8310</v>
      </c>
      <c r="I3388">
        <v>4</v>
      </c>
      <c r="K3388" t="s">
        <v>50</v>
      </c>
      <c r="L3388" t="s">
        <v>51</v>
      </c>
      <c r="M3388" t="s">
        <v>52</v>
      </c>
      <c r="S3388">
        <v>12060</v>
      </c>
      <c r="U3388">
        <v>12060</v>
      </c>
      <c r="AC3388" t="str">
        <f t="shared" si="156"/>
        <v>ALT</v>
      </c>
      <c r="AD3388">
        <f t="shared" si="157"/>
        <v>12060</v>
      </c>
      <c r="AE3388">
        <f t="shared" si="158"/>
        <v>0</v>
      </c>
      <c r="AF3388" t="s">
        <v>8326</v>
      </c>
      <c r="AJ3388" t="s">
        <v>8327</v>
      </c>
    </row>
    <row r="3389" spans="1:36" x14ac:dyDescent="0.2">
      <c r="A3389" t="s">
        <v>7930</v>
      </c>
      <c r="B3389" t="s">
        <v>45</v>
      </c>
      <c r="D3389" t="s">
        <v>8328</v>
      </c>
      <c r="E3389" t="s">
        <v>349</v>
      </c>
      <c r="F3389" t="s">
        <v>8308</v>
      </c>
      <c r="G3389" t="s">
        <v>8309</v>
      </c>
      <c r="H3389" t="s">
        <v>8329</v>
      </c>
      <c r="I3389">
        <v>4</v>
      </c>
      <c r="K3389" t="s">
        <v>50</v>
      </c>
      <c r="L3389" t="s">
        <v>51</v>
      </c>
      <c r="M3389" t="s">
        <v>52</v>
      </c>
      <c r="S3389">
        <v>76668</v>
      </c>
      <c r="U3389">
        <v>76668</v>
      </c>
      <c r="AC3389" t="str">
        <f t="shared" si="156"/>
        <v>ALT</v>
      </c>
      <c r="AD3389">
        <f t="shared" si="157"/>
        <v>76668</v>
      </c>
      <c r="AE3389">
        <f t="shared" si="158"/>
        <v>0</v>
      </c>
      <c r="AF3389" t="s">
        <v>8330</v>
      </c>
      <c r="AJ3389" t="s">
        <v>8331</v>
      </c>
    </row>
    <row r="3390" spans="1:36" x14ac:dyDescent="0.2">
      <c r="A3390" t="s">
        <v>7930</v>
      </c>
      <c r="B3390" t="s">
        <v>45</v>
      </c>
      <c r="D3390" t="s">
        <v>8332</v>
      </c>
      <c r="E3390" t="s">
        <v>349</v>
      </c>
      <c r="F3390" t="s">
        <v>8308</v>
      </c>
      <c r="G3390" t="s">
        <v>8309</v>
      </c>
      <c r="H3390" t="s">
        <v>8329</v>
      </c>
      <c r="I3390">
        <v>4</v>
      </c>
      <c r="K3390" t="s">
        <v>50</v>
      </c>
      <c r="L3390" t="s">
        <v>51</v>
      </c>
      <c r="M3390" t="s">
        <v>52</v>
      </c>
      <c r="S3390">
        <v>32895</v>
      </c>
      <c r="U3390">
        <v>32895</v>
      </c>
      <c r="AC3390" t="str">
        <f t="shared" si="156"/>
        <v>ALT</v>
      </c>
      <c r="AD3390">
        <f t="shared" si="157"/>
        <v>32895</v>
      </c>
      <c r="AE3390">
        <f t="shared" si="158"/>
        <v>0</v>
      </c>
      <c r="AF3390" t="s">
        <v>8333</v>
      </c>
      <c r="AJ3390" t="s">
        <v>8334</v>
      </c>
    </row>
    <row r="3391" spans="1:36" x14ac:dyDescent="0.2">
      <c r="A3391" t="s">
        <v>7930</v>
      </c>
      <c r="B3391" t="s">
        <v>45</v>
      </c>
      <c r="D3391" t="s">
        <v>8335</v>
      </c>
      <c r="E3391" t="s">
        <v>349</v>
      </c>
      <c r="F3391" t="s">
        <v>8308</v>
      </c>
      <c r="G3391" t="s">
        <v>8309</v>
      </c>
      <c r="H3391" t="s">
        <v>8329</v>
      </c>
      <c r="I3391">
        <v>4</v>
      </c>
      <c r="K3391" t="s">
        <v>50</v>
      </c>
      <c r="L3391" t="s">
        <v>51</v>
      </c>
      <c r="M3391" t="s">
        <v>52</v>
      </c>
      <c r="S3391">
        <v>123736</v>
      </c>
      <c r="U3391">
        <v>123736</v>
      </c>
      <c r="AC3391" t="str">
        <f t="shared" si="156"/>
        <v>ALT</v>
      </c>
      <c r="AD3391">
        <f t="shared" si="157"/>
        <v>123736</v>
      </c>
      <c r="AE3391">
        <f t="shared" si="158"/>
        <v>0</v>
      </c>
      <c r="AF3391" t="s">
        <v>8336</v>
      </c>
      <c r="AJ3391" t="s">
        <v>8337</v>
      </c>
    </row>
    <row r="3392" spans="1:36" x14ac:dyDescent="0.2">
      <c r="A3392" t="s">
        <v>7930</v>
      </c>
      <c r="B3392" t="s">
        <v>45</v>
      </c>
      <c r="D3392" t="s">
        <v>8338</v>
      </c>
      <c r="E3392" t="s">
        <v>349</v>
      </c>
      <c r="F3392" t="s">
        <v>8308</v>
      </c>
      <c r="G3392" t="s">
        <v>8309</v>
      </c>
      <c r="H3392" t="s">
        <v>8329</v>
      </c>
      <c r="I3392">
        <v>4</v>
      </c>
      <c r="K3392" t="s">
        <v>50</v>
      </c>
      <c r="L3392" t="s">
        <v>51</v>
      </c>
      <c r="M3392" t="s">
        <v>52</v>
      </c>
      <c r="S3392">
        <v>8583</v>
      </c>
      <c r="U3392">
        <v>8583</v>
      </c>
      <c r="AC3392" t="str">
        <f t="shared" si="156"/>
        <v>ALT</v>
      </c>
      <c r="AD3392">
        <f t="shared" si="157"/>
        <v>8583</v>
      </c>
      <c r="AE3392">
        <f t="shared" si="158"/>
        <v>0</v>
      </c>
      <c r="AF3392" t="s">
        <v>8339</v>
      </c>
      <c r="AJ3392" t="s">
        <v>8340</v>
      </c>
    </row>
    <row r="3393" spans="1:36" x14ac:dyDescent="0.2">
      <c r="A3393" t="s">
        <v>7930</v>
      </c>
      <c r="B3393" t="s">
        <v>45</v>
      </c>
      <c r="D3393" t="s">
        <v>8341</v>
      </c>
      <c r="E3393" t="s">
        <v>349</v>
      </c>
      <c r="F3393" t="s">
        <v>8308</v>
      </c>
      <c r="G3393" t="s">
        <v>8309</v>
      </c>
      <c r="H3393" t="s">
        <v>8329</v>
      </c>
      <c r="I3393">
        <v>4</v>
      </c>
      <c r="K3393" t="s">
        <v>50</v>
      </c>
      <c r="L3393" t="s">
        <v>51</v>
      </c>
      <c r="M3393" t="s">
        <v>52</v>
      </c>
      <c r="S3393">
        <v>45218</v>
      </c>
      <c r="U3393">
        <v>45218</v>
      </c>
      <c r="AC3393" t="str">
        <f t="shared" si="156"/>
        <v>ALT</v>
      </c>
      <c r="AD3393">
        <f t="shared" si="157"/>
        <v>45218</v>
      </c>
      <c r="AE3393">
        <f t="shared" si="158"/>
        <v>0</v>
      </c>
      <c r="AF3393" t="s">
        <v>8342</v>
      </c>
      <c r="AJ3393" t="s">
        <v>8343</v>
      </c>
    </row>
    <row r="3394" spans="1:36" x14ac:dyDescent="0.2">
      <c r="A3394" t="s">
        <v>7930</v>
      </c>
      <c r="B3394" t="s">
        <v>45</v>
      </c>
      <c r="D3394" t="s">
        <v>8344</v>
      </c>
      <c r="E3394" t="s">
        <v>349</v>
      </c>
      <c r="F3394" t="s">
        <v>8308</v>
      </c>
      <c r="G3394" t="s">
        <v>8309</v>
      </c>
      <c r="H3394" t="s">
        <v>8310</v>
      </c>
      <c r="I3394">
        <v>4</v>
      </c>
      <c r="K3394" t="s">
        <v>50</v>
      </c>
      <c r="L3394" t="s">
        <v>51</v>
      </c>
      <c r="M3394" t="s">
        <v>52</v>
      </c>
      <c r="S3394">
        <v>260958</v>
      </c>
      <c r="U3394">
        <v>260958</v>
      </c>
      <c r="AC3394" t="str">
        <f t="shared" si="156"/>
        <v>ALT</v>
      </c>
      <c r="AD3394">
        <f t="shared" si="157"/>
        <v>260958</v>
      </c>
      <c r="AE3394">
        <f t="shared" si="158"/>
        <v>0</v>
      </c>
      <c r="AF3394" t="s">
        <v>8345</v>
      </c>
      <c r="AJ3394" t="s">
        <v>8346</v>
      </c>
    </row>
    <row r="3395" spans="1:36" x14ac:dyDescent="0.2">
      <c r="A3395" t="s">
        <v>7930</v>
      </c>
      <c r="B3395" t="s">
        <v>45</v>
      </c>
      <c r="D3395" t="s">
        <v>8347</v>
      </c>
      <c r="E3395" t="s">
        <v>349</v>
      </c>
      <c r="F3395" t="s">
        <v>8308</v>
      </c>
      <c r="G3395" t="s">
        <v>8309</v>
      </c>
      <c r="H3395" t="s">
        <v>8310</v>
      </c>
      <c r="I3395">
        <v>4</v>
      </c>
      <c r="K3395" t="s">
        <v>50</v>
      </c>
      <c r="L3395" t="s">
        <v>51</v>
      </c>
      <c r="M3395" t="s">
        <v>52</v>
      </c>
      <c r="S3395">
        <v>53600</v>
      </c>
      <c r="U3395">
        <v>53600</v>
      </c>
      <c r="AC3395" t="str">
        <f t="shared" si="156"/>
        <v>ALT</v>
      </c>
      <c r="AD3395">
        <f t="shared" si="157"/>
        <v>53600</v>
      </c>
      <c r="AE3395">
        <f t="shared" si="158"/>
        <v>0</v>
      </c>
      <c r="AF3395" t="s">
        <v>8348</v>
      </c>
      <c r="AJ3395" t="s">
        <v>8349</v>
      </c>
    </row>
    <row r="3396" spans="1:36" x14ac:dyDescent="0.2">
      <c r="A3396" t="s">
        <v>7930</v>
      </c>
      <c r="B3396" t="s">
        <v>45</v>
      </c>
      <c r="D3396" t="s">
        <v>8350</v>
      </c>
      <c r="E3396" t="s">
        <v>349</v>
      </c>
      <c r="F3396" t="s">
        <v>8308</v>
      </c>
      <c r="G3396" t="s">
        <v>8309</v>
      </c>
      <c r="H3396" t="s">
        <v>8329</v>
      </c>
      <c r="I3396">
        <v>4</v>
      </c>
      <c r="K3396" t="s">
        <v>50</v>
      </c>
      <c r="L3396" t="s">
        <v>51</v>
      </c>
      <c r="M3396" t="s">
        <v>52</v>
      </c>
      <c r="S3396">
        <v>19210</v>
      </c>
      <c r="U3396">
        <v>19210</v>
      </c>
      <c r="AC3396" t="str">
        <f t="shared" si="156"/>
        <v>ALT</v>
      </c>
      <c r="AD3396">
        <f t="shared" si="157"/>
        <v>19210</v>
      </c>
      <c r="AE3396">
        <f t="shared" si="158"/>
        <v>0</v>
      </c>
      <c r="AF3396" t="s">
        <v>8351</v>
      </c>
      <c r="AJ3396" t="s">
        <v>8352</v>
      </c>
    </row>
    <row r="3397" spans="1:36" x14ac:dyDescent="0.2">
      <c r="A3397" t="s">
        <v>7930</v>
      </c>
      <c r="B3397" t="s">
        <v>45</v>
      </c>
      <c r="D3397" t="s">
        <v>8353</v>
      </c>
      <c r="E3397" t="s">
        <v>349</v>
      </c>
      <c r="F3397" t="s">
        <v>8308</v>
      </c>
      <c r="G3397" t="s">
        <v>8309</v>
      </c>
      <c r="H3397" t="s">
        <v>8329</v>
      </c>
      <c r="I3397">
        <v>4</v>
      </c>
      <c r="K3397" t="s">
        <v>50</v>
      </c>
      <c r="L3397" t="s">
        <v>51</v>
      </c>
      <c r="M3397" t="s">
        <v>52</v>
      </c>
      <c r="S3397">
        <v>21862</v>
      </c>
      <c r="U3397">
        <v>21862</v>
      </c>
      <c r="AC3397" t="str">
        <f t="shared" si="156"/>
        <v>ALT</v>
      </c>
      <c r="AD3397">
        <f t="shared" si="157"/>
        <v>21862</v>
      </c>
      <c r="AE3397">
        <f t="shared" si="158"/>
        <v>0</v>
      </c>
      <c r="AF3397" t="s">
        <v>8354</v>
      </c>
      <c r="AJ3397" t="s">
        <v>370</v>
      </c>
    </row>
    <row r="3398" spans="1:36" x14ac:dyDescent="0.2">
      <c r="A3398" t="s">
        <v>7930</v>
      </c>
      <c r="B3398" t="s">
        <v>45</v>
      </c>
      <c r="D3398" t="s">
        <v>8355</v>
      </c>
      <c r="E3398" t="s">
        <v>349</v>
      </c>
      <c r="F3398" t="s">
        <v>8308</v>
      </c>
      <c r="G3398" t="s">
        <v>8309</v>
      </c>
      <c r="H3398" t="s">
        <v>8329</v>
      </c>
      <c r="I3398">
        <v>4</v>
      </c>
      <c r="K3398" t="s">
        <v>50</v>
      </c>
      <c r="L3398" t="s">
        <v>51</v>
      </c>
      <c r="M3398" t="s">
        <v>52</v>
      </c>
      <c r="S3398">
        <v>27396</v>
      </c>
      <c r="U3398">
        <v>27396</v>
      </c>
      <c r="AC3398" t="str">
        <f t="shared" ref="AC3398:AC3461" si="159">IF(OR(E3398="",E3398="[PARENT]"),"ADD",IF(E3398="[ALT_VIEW]","ALT",""))</f>
        <v>ALT</v>
      </c>
      <c r="AD3398">
        <f t="shared" ref="AD3398:AD3461" si="160">IF(Y3398&lt;&gt;"",Y3398,IF(U3398&lt;&gt;"",U3398,S3398))</f>
        <v>27396</v>
      </c>
      <c r="AE3398">
        <f t="shared" ref="AE3398:AE3461" si="161">IF(AB3398&lt;&gt;"",AB3398,Z3398)</f>
        <v>0</v>
      </c>
      <c r="AF3398" t="s">
        <v>8356</v>
      </c>
      <c r="AJ3398" t="s">
        <v>8357</v>
      </c>
    </row>
    <row r="3399" spans="1:36" x14ac:dyDescent="0.2">
      <c r="A3399" t="s">
        <v>7930</v>
      </c>
      <c r="B3399" t="s">
        <v>45</v>
      </c>
      <c r="D3399" t="s">
        <v>8358</v>
      </c>
      <c r="E3399" t="s">
        <v>349</v>
      </c>
      <c r="F3399" t="s">
        <v>8308</v>
      </c>
      <c r="G3399" t="s">
        <v>8309</v>
      </c>
      <c r="H3399" t="s">
        <v>8329</v>
      </c>
      <c r="I3399">
        <v>4</v>
      </c>
      <c r="K3399" t="s">
        <v>50</v>
      </c>
      <c r="L3399" t="s">
        <v>51</v>
      </c>
      <c r="M3399" t="s">
        <v>52</v>
      </c>
      <c r="S3399">
        <v>7421</v>
      </c>
      <c r="U3399">
        <v>7421</v>
      </c>
      <c r="AC3399" t="str">
        <f t="shared" si="159"/>
        <v>ALT</v>
      </c>
      <c r="AD3399">
        <f t="shared" si="160"/>
        <v>7421</v>
      </c>
      <c r="AE3399">
        <f t="shared" si="161"/>
        <v>0</v>
      </c>
      <c r="AF3399" t="s">
        <v>8359</v>
      </c>
      <c r="AJ3399" t="s">
        <v>2574</v>
      </c>
    </row>
    <row r="3400" spans="1:36" x14ac:dyDescent="0.2">
      <c r="A3400" t="s">
        <v>7930</v>
      </c>
      <c r="B3400" t="s">
        <v>45</v>
      </c>
      <c r="D3400" t="s">
        <v>8360</v>
      </c>
      <c r="E3400" t="s">
        <v>349</v>
      </c>
      <c r="F3400" t="s">
        <v>8308</v>
      </c>
      <c r="G3400" t="s">
        <v>8309</v>
      </c>
      <c r="H3400" t="s">
        <v>8329</v>
      </c>
      <c r="I3400">
        <v>4</v>
      </c>
      <c r="K3400" t="s">
        <v>50</v>
      </c>
      <c r="L3400" t="s">
        <v>51</v>
      </c>
      <c r="M3400" t="s">
        <v>52</v>
      </c>
      <c r="S3400">
        <v>13800</v>
      </c>
      <c r="U3400">
        <v>13800</v>
      </c>
      <c r="AC3400" t="str">
        <f t="shared" si="159"/>
        <v>ALT</v>
      </c>
      <c r="AD3400">
        <f t="shared" si="160"/>
        <v>13800</v>
      </c>
      <c r="AE3400">
        <f t="shared" si="161"/>
        <v>0</v>
      </c>
      <c r="AF3400" t="s">
        <v>8361</v>
      </c>
      <c r="AJ3400" t="s">
        <v>8362</v>
      </c>
    </row>
    <row r="3401" spans="1:36" x14ac:dyDescent="0.2">
      <c r="A3401" t="s">
        <v>7930</v>
      </c>
      <c r="B3401" t="s">
        <v>45</v>
      </c>
      <c r="D3401" t="s">
        <v>8363</v>
      </c>
      <c r="E3401" t="s">
        <v>349</v>
      </c>
      <c r="F3401" t="s">
        <v>8308</v>
      </c>
      <c r="G3401" t="s">
        <v>8309</v>
      </c>
      <c r="H3401" t="s">
        <v>8329</v>
      </c>
      <c r="I3401">
        <v>4</v>
      </c>
      <c r="K3401" t="s">
        <v>50</v>
      </c>
      <c r="L3401" t="s">
        <v>51</v>
      </c>
      <c r="M3401" t="s">
        <v>52</v>
      </c>
      <c r="S3401">
        <v>3551</v>
      </c>
      <c r="U3401">
        <v>3551</v>
      </c>
      <c r="AC3401" t="str">
        <f t="shared" si="159"/>
        <v>ALT</v>
      </c>
      <c r="AD3401">
        <f t="shared" si="160"/>
        <v>3551</v>
      </c>
      <c r="AE3401">
        <f t="shared" si="161"/>
        <v>0</v>
      </c>
      <c r="AF3401" t="s">
        <v>8364</v>
      </c>
      <c r="AJ3401" t="s">
        <v>361</v>
      </c>
    </row>
    <row r="3402" spans="1:36" x14ac:dyDescent="0.2">
      <c r="A3402" t="s">
        <v>7930</v>
      </c>
      <c r="B3402" t="s">
        <v>45</v>
      </c>
      <c r="D3402" t="s">
        <v>8365</v>
      </c>
      <c r="E3402" t="s">
        <v>349</v>
      </c>
      <c r="F3402" t="s">
        <v>8308</v>
      </c>
      <c r="G3402" t="s">
        <v>8309</v>
      </c>
      <c r="H3402" t="s">
        <v>8329</v>
      </c>
      <c r="I3402">
        <v>4</v>
      </c>
      <c r="K3402" t="s">
        <v>50</v>
      </c>
      <c r="L3402" t="s">
        <v>51</v>
      </c>
      <c r="M3402" t="s">
        <v>52</v>
      </c>
      <c r="S3402">
        <v>102294</v>
      </c>
      <c r="U3402">
        <v>102294</v>
      </c>
      <c r="AC3402" t="str">
        <f t="shared" si="159"/>
        <v>ALT</v>
      </c>
      <c r="AD3402">
        <f t="shared" si="160"/>
        <v>102294</v>
      </c>
      <c r="AE3402">
        <f t="shared" si="161"/>
        <v>0</v>
      </c>
      <c r="AF3402" t="s">
        <v>8366</v>
      </c>
      <c r="AJ3402" t="s">
        <v>8318</v>
      </c>
    </row>
    <row r="3403" spans="1:36" x14ac:dyDescent="0.2">
      <c r="A3403" t="s">
        <v>7930</v>
      </c>
      <c r="B3403" t="s">
        <v>45</v>
      </c>
      <c r="D3403" t="s">
        <v>8367</v>
      </c>
      <c r="E3403" t="s">
        <v>349</v>
      </c>
      <c r="F3403" t="s">
        <v>8308</v>
      </c>
      <c r="G3403" t="s">
        <v>8309</v>
      </c>
      <c r="H3403" t="s">
        <v>8329</v>
      </c>
      <c r="I3403">
        <v>4</v>
      </c>
      <c r="K3403" t="s">
        <v>50</v>
      </c>
      <c r="L3403" t="s">
        <v>51</v>
      </c>
      <c r="M3403" t="s">
        <v>52</v>
      </c>
      <c r="S3403">
        <v>3612</v>
      </c>
      <c r="U3403">
        <v>3612</v>
      </c>
      <c r="AC3403" t="str">
        <f t="shared" si="159"/>
        <v>ALT</v>
      </c>
      <c r="AD3403">
        <f t="shared" si="160"/>
        <v>3612</v>
      </c>
      <c r="AE3403">
        <f t="shared" si="161"/>
        <v>0</v>
      </c>
      <c r="AF3403" t="s">
        <v>8368</v>
      </c>
      <c r="AJ3403" t="s">
        <v>8369</v>
      </c>
    </row>
    <row r="3404" spans="1:36" x14ac:dyDescent="0.2">
      <c r="A3404" t="s">
        <v>7930</v>
      </c>
      <c r="B3404" t="s">
        <v>45</v>
      </c>
      <c r="D3404" t="s">
        <v>8370</v>
      </c>
      <c r="E3404" t="s">
        <v>349</v>
      </c>
      <c r="F3404" t="s">
        <v>8308</v>
      </c>
      <c r="G3404" t="s">
        <v>8309</v>
      </c>
      <c r="H3404" t="s">
        <v>8329</v>
      </c>
      <c r="I3404">
        <v>4</v>
      </c>
      <c r="K3404" t="s">
        <v>50</v>
      </c>
      <c r="L3404" t="s">
        <v>51</v>
      </c>
      <c r="M3404" t="s">
        <v>52</v>
      </c>
      <c r="S3404">
        <v>21500</v>
      </c>
      <c r="U3404">
        <v>21500</v>
      </c>
      <c r="AC3404" t="str">
        <f t="shared" si="159"/>
        <v>ALT</v>
      </c>
      <c r="AD3404">
        <f t="shared" si="160"/>
        <v>21500</v>
      </c>
      <c r="AE3404">
        <f t="shared" si="161"/>
        <v>0</v>
      </c>
      <c r="AF3404" t="s">
        <v>8371</v>
      </c>
      <c r="AJ3404" t="s">
        <v>8372</v>
      </c>
    </row>
    <row r="3405" spans="1:36" x14ac:dyDescent="0.2">
      <c r="A3405" t="s">
        <v>7930</v>
      </c>
      <c r="B3405" t="s">
        <v>45</v>
      </c>
      <c r="D3405" t="s">
        <v>8373</v>
      </c>
      <c r="E3405" t="s">
        <v>349</v>
      </c>
      <c r="F3405" t="s">
        <v>8308</v>
      </c>
      <c r="G3405" t="s">
        <v>8309</v>
      </c>
      <c r="H3405" t="s">
        <v>8329</v>
      </c>
      <c r="I3405">
        <v>4</v>
      </c>
      <c r="K3405" t="s">
        <v>50</v>
      </c>
      <c r="L3405" t="s">
        <v>51</v>
      </c>
      <c r="M3405" t="s">
        <v>52</v>
      </c>
      <c r="S3405">
        <v>17500</v>
      </c>
      <c r="U3405">
        <v>17500</v>
      </c>
      <c r="AC3405" t="str">
        <f t="shared" si="159"/>
        <v>ALT</v>
      </c>
      <c r="AD3405">
        <f t="shared" si="160"/>
        <v>17500</v>
      </c>
      <c r="AE3405">
        <f t="shared" si="161"/>
        <v>0</v>
      </c>
      <c r="AF3405" t="s">
        <v>8374</v>
      </c>
      <c r="AJ3405" t="s">
        <v>8375</v>
      </c>
    </row>
    <row r="3406" spans="1:36" x14ac:dyDescent="0.2">
      <c r="A3406" t="s">
        <v>7930</v>
      </c>
      <c r="B3406" t="s">
        <v>45</v>
      </c>
      <c r="D3406" t="s">
        <v>8376</v>
      </c>
      <c r="E3406" t="s">
        <v>349</v>
      </c>
      <c r="F3406" t="s">
        <v>8308</v>
      </c>
      <c r="G3406" t="s">
        <v>8309</v>
      </c>
      <c r="H3406" t="s">
        <v>8329</v>
      </c>
      <c r="I3406">
        <v>4</v>
      </c>
      <c r="K3406" t="s">
        <v>50</v>
      </c>
      <c r="L3406" t="s">
        <v>51</v>
      </c>
      <c r="M3406" t="s">
        <v>52</v>
      </c>
      <c r="S3406">
        <v>25206</v>
      </c>
      <c r="U3406">
        <v>25206</v>
      </c>
      <c r="AC3406" t="str">
        <f t="shared" si="159"/>
        <v>ALT</v>
      </c>
      <c r="AD3406">
        <f t="shared" si="160"/>
        <v>25206</v>
      </c>
      <c r="AE3406">
        <f t="shared" si="161"/>
        <v>0</v>
      </c>
      <c r="AF3406" t="s">
        <v>8377</v>
      </c>
      <c r="AJ3406" t="s">
        <v>8378</v>
      </c>
    </row>
    <row r="3407" spans="1:36" x14ac:dyDescent="0.2">
      <c r="A3407" t="s">
        <v>7930</v>
      </c>
      <c r="B3407" t="s">
        <v>45</v>
      </c>
      <c r="D3407" t="s">
        <v>8379</v>
      </c>
      <c r="E3407" t="s">
        <v>349</v>
      </c>
      <c r="F3407" t="s">
        <v>8308</v>
      </c>
      <c r="G3407" t="s">
        <v>8309</v>
      </c>
      <c r="H3407" t="s">
        <v>8329</v>
      </c>
      <c r="I3407">
        <v>4</v>
      </c>
      <c r="K3407" t="s">
        <v>50</v>
      </c>
      <c r="L3407" t="s">
        <v>51</v>
      </c>
      <c r="M3407" t="s">
        <v>52</v>
      </c>
      <c r="S3407">
        <v>8353</v>
      </c>
      <c r="U3407">
        <v>8353</v>
      </c>
      <c r="AC3407" t="str">
        <f t="shared" si="159"/>
        <v>ALT</v>
      </c>
      <c r="AD3407">
        <f t="shared" si="160"/>
        <v>8353</v>
      </c>
      <c r="AE3407">
        <f t="shared" si="161"/>
        <v>0</v>
      </c>
      <c r="AF3407" t="s">
        <v>8380</v>
      </c>
      <c r="AJ3407" t="s">
        <v>8381</v>
      </c>
    </row>
    <row r="3408" spans="1:36" x14ac:dyDescent="0.2">
      <c r="A3408" t="s">
        <v>7930</v>
      </c>
      <c r="B3408" t="s">
        <v>45</v>
      </c>
      <c r="D3408" t="s">
        <v>8382</v>
      </c>
      <c r="E3408" t="s">
        <v>349</v>
      </c>
      <c r="F3408" t="s">
        <v>8308</v>
      </c>
      <c r="G3408" t="s">
        <v>8309</v>
      </c>
      <c r="H3408" t="s">
        <v>8329</v>
      </c>
      <c r="I3408">
        <v>4</v>
      </c>
      <c r="K3408" t="s">
        <v>50</v>
      </c>
      <c r="L3408" t="s">
        <v>51</v>
      </c>
      <c r="M3408" t="s">
        <v>52</v>
      </c>
      <c r="S3408">
        <v>68771</v>
      </c>
      <c r="U3408">
        <v>68771</v>
      </c>
      <c r="AC3408" t="str">
        <f t="shared" si="159"/>
        <v>ALT</v>
      </c>
      <c r="AD3408">
        <f t="shared" si="160"/>
        <v>68771</v>
      </c>
      <c r="AE3408">
        <f t="shared" si="161"/>
        <v>0</v>
      </c>
      <c r="AF3408" t="s">
        <v>8383</v>
      </c>
      <c r="AJ3408" t="s">
        <v>8384</v>
      </c>
    </row>
    <row r="3409" spans="1:36" x14ac:dyDescent="0.2">
      <c r="A3409" t="s">
        <v>7930</v>
      </c>
      <c r="B3409" t="s">
        <v>45</v>
      </c>
      <c r="D3409" t="s">
        <v>8385</v>
      </c>
      <c r="E3409" t="s">
        <v>349</v>
      </c>
      <c r="F3409" t="s">
        <v>8308</v>
      </c>
      <c r="G3409" t="s">
        <v>8309</v>
      </c>
      <c r="H3409" t="s">
        <v>8329</v>
      </c>
      <c r="I3409">
        <v>4</v>
      </c>
      <c r="K3409" t="s">
        <v>50</v>
      </c>
      <c r="L3409" t="s">
        <v>51</v>
      </c>
      <c r="M3409" t="s">
        <v>52</v>
      </c>
      <c r="S3409">
        <v>81839</v>
      </c>
      <c r="U3409">
        <v>81839</v>
      </c>
      <c r="AC3409" t="str">
        <f t="shared" si="159"/>
        <v>ALT</v>
      </c>
      <c r="AD3409">
        <f t="shared" si="160"/>
        <v>81839</v>
      </c>
      <c r="AE3409">
        <f t="shared" si="161"/>
        <v>0</v>
      </c>
      <c r="AF3409" t="s">
        <v>8386</v>
      </c>
      <c r="AJ3409" t="s">
        <v>8387</v>
      </c>
    </row>
    <row r="3410" spans="1:36" x14ac:dyDescent="0.2">
      <c r="A3410" t="s">
        <v>7930</v>
      </c>
      <c r="B3410" t="s">
        <v>45</v>
      </c>
      <c r="D3410" t="s">
        <v>8388</v>
      </c>
      <c r="E3410" t="s">
        <v>349</v>
      </c>
      <c r="F3410" t="s">
        <v>8308</v>
      </c>
      <c r="G3410" t="s">
        <v>8309</v>
      </c>
      <c r="H3410" t="s">
        <v>8329</v>
      </c>
      <c r="I3410">
        <v>4</v>
      </c>
      <c r="K3410" t="s">
        <v>50</v>
      </c>
      <c r="L3410" t="s">
        <v>51</v>
      </c>
      <c r="M3410" t="s">
        <v>52</v>
      </c>
      <c r="S3410">
        <v>210278</v>
      </c>
      <c r="U3410">
        <v>210278</v>
      </c>
      <c r="AC3410" t="str">
        <f t="shared" si="159"/>
        <v>ALT</v>
      </c>
      <c r="AD3410">
        <f t="shared" si="160"/>
        <v>210278</v>
      </c>
      <c r="AE3410">
        <f t="shared" si="161"/>
        <v>0</v>
      </c>
      <c r="AF3410" t="s">
        <v>8389</v>
      </c>
      <c r="AJ3410" t="s">
        <v>8390</v>
      </c>
    </row>
    <row r="3411" spans="1:36" x14ac:dyDescent="0.2">
      <c r="A3411" t="s">
        <v>7930</v>
      </c>
      <c r="B3411" t="s">
        <v>45</v>
      </c>
      <c r="D3411" t="s">
        <v>8391</v>
      </c>
      <c r="E3411" t="s">
        <v>349</v>
      </c>
      <c r="F3411" t="s">
        <v>8308</v>
      </c>
      <c r="G3411" t="s">
        <v>8309</v>
      </c>
      <c r="H3411" t="s">
        <v>8329</v>
      </c>
      <c r="I3411">
        <v>4</v>
      </c>
      <c r="K3411" t="s">
        <v>50</v>
      </c>
      <c r="L3411" t="s">
        <v>51</v>
      </c>
      <c r="M3411" t="s">
        <v>52</v>
      </c>
      <c r="S3411">
        <v>240255</v>
      </c>
      <c r="U3411">
        <v>240255</v>
      </c>
      <c r="AC3411" t="str">
        <f t="shared" si="159"/>
        <v>ALT</v>
      </c>
      <c r="AD3411">
        <f t="shared" si="160"/>
        <v>240255</v>
      </c>
      <c r="AE3411">
        <f t="shared" si="161"/>
        <v>0</v>
      </c>
      <c r="AF3411" t="s">
        <v>8392</v>
      </c>
      <c r="AJ3411" t="s">
        <v>8357</v>
      </c>
    </row>
    <row r="3412" spans="1:36" x14ac:dyDescent="0.2">
      <c r="A3412" t="s">
        <v>7930</v>
      </c>
      <c r="B3412" t="s">
        <v>45</v>
      </c>
      <c r="D3412" t="s">
        <v>8393</v>
      </c>
      <c r="E3412" t="s">
        <v>349</v>
      </c>
      <c r="F3412" t="s">
        <v>8308</v>
      </c>
      <c r="G3412" t="s">
        <v>8309</v>
      </c>
      <c r="H3412" t="s">
        <v>8329</v>
      </c>
      <c r="I3412">
        <v>4</v>
      </c>
      <c r="K3412" t="s">
        <v>50</v>
      </c>
      <c r="L3412" t="s">
        <v>51</v>
      </c>
      <c r="M3412" t="s">
        <v>52</v>
      </c>
      <c r="S3412">
        <v>20184</v>
      </c>
      <c r="U3412">
        <v>20184</v>
      </c>
      <c r="AC3412" t="str">
        <f t="shared" si="159"/>
        <v>ALT</v>
      </c>
      <c r="AD3412">
        <f t="shared" si="160"/>
        <v>20184</v>
      </c>
      <c r="AE3412">
        <f t="shared" si="161"/>
        <v>0</v>
      </c>
      <c r="AF3412" t="s">
        <v>8394</v>
      </c>
      <c r="AJ3412" t="s">
        <v>370</v>
      </c>
    </row>
    <row r="3413" spans="1:36" x14ac:dyDescent="0.2">
      <c r="A3413" t="s">
        <v>7930</v>
      </c>
      <c r="B3413" t="s">
        <v>45</v>
      </c>
      <c r="D3413" t="s">
        <v>8395</v>
      </c>
      <c r="E3413" t="s">
        <v>349</v>
      </c>
      <c r="F3413" t="s">
        <v>8308</v>
      </c>
      <c r="G3413" t="s">
        <v>8309</v>
      </c>
      <c r="H3413" t="s">
        <v>8329</v>
      </c>
      <c r="I3413">
        <v>4</v>
      </c>
      <c r="K3413" t="s">
        <v>50</v>
      </c>
      <c r="L3413" t="s">
        <v>51</v>
      </c>
      <c r="M3413" t="s">
        <v>52</v>
      </c>
      <c r="S3413">
        <v>146061</v>
      </c>
      <c r="U3413">
        <v>146061</v>
      </c>
      <c r="AC3413" t="str">
        <f t="shared" si="159"/>
        <v>ALT</v>
      </c>
      <c r="AD3413">
        <f t="shared" si="160"/>
        <v>146061</v>
      </c>
      <c r="AE3413">
        <f t="shared" si="161"/>
        <v>0</v>
      </c>
      <c r="AF3413" t="s">
        <v>8396</v>
      </c>
      <c r="AJ3413" t="s">
        <v>8397</v>
      </c>
    </row>
    <row r="3414" spans="1:36" x14ac:dyDescent="0.2">
      <c r="A3414" t="s">
        <v>7930</v>
      </c>
      <c r="B3414" t="s">
        <v>45</v>
      </c>
      <c r="D3414" t="s">
        <v>8398</v>
      </c>
      <c r="E3414" t="s">
        <v>349</v>
      </c>
      <c r="F3414" t="s">
        <v>8308</v>
      </c>
      <c r="G3414" t="s">
        <v>8309</v>
      </c>
      <c r="H3414" t="s">
        <v>8329</v>
      </c>
      <c r="I3414">
        <v>4</v>
      </c>
      <c r="K3414" t="s">
        <v>50</v>
      </c>
      <c r="L3414" t="s">
        <v>51</v>
      </c>
      <c r="M3414" t="s">
        <v>52</v>
      </c>
      <c r="S3414">
        <v>120622</v>
      </c>
      <c r="U3414">
        <v>120622</v>
      </c>
      <c r="AC3414" t="str">
        <f t="shared" si="159"/>
        <v>ALT</v>
      </c>
      <c r="AD3414">
        <f t="shared" si="160"/>
        <v>120622</v>
      </c>
      <c r="AE3414">
        <f t="shared" si="161"/>
        <v>0</v>
      </c>
      <c r="AF3414" t="s">
        <v>8399</v>
      </c>
      <c r="AJ3414" t="s">
        <v>8400</v>
      </c>
    </row>
    <row r="3415" spans="1:36" x14ac:dyDescent="0.2">
      <c r="A3415" t="s">
        <v>7930</v>
      </c>
      <c r="B3415" t="s">
        <v>45</v>
      </c>
      <c r="D3415" t="s">
        <v>8401</v>
      </c>
      <c r="E3415" t="s">
        <v>349</v>
      </c>
      <c r="F3415" t="s">
        <v>8308</v>
      </c>
      <c r="G3415" t="s">
        <v>8309</v>
      </c>
      <c r="H3415" t="s">
        <v>8329</v>
      </c>
      <c r="I3415">
        <v>4</v>
      </c>
      <c r="K3415" t="s">
        <v>50</v>
      </c>
      <c r="L3415" t="s">
        <v>51</v>
      </c>
      <c r="M3415" t="s">
        <v>52</v>
      </c>
      <c r="S3415">
        <v>53474</v>
      </c>
      <c r="U3415">
        <v>53474</v>
      </c>
      <c r="AC3415" t="str">
        <f t="shared" si="159"/>
        <v>ALT</v>
      </c>
      <c r="AD3415">
        <f t="shared" si="160"/>
        <v>53474</v>
      </c>
      <c r="AE3415">
        <f t="shared" si="161"/>
        <v>0</v>
      </c>
      <c r="AF3415" t="s">
        <v>8402</v>
      </c>
      <c r="AJ3415" t="s">
        <v>8403</v>
      </c>
    </row>
    <row r="3416" spans="1:36" x14ac:dyDescent="0.2">
      <c r="A3416" t="s">
        <v>7930</v>
      </c>
      <c r="B3416" t="s">
        <v>45</v>
      </c>
      <c r="D3416" t="s">
        <v>8404</v>
      </c>
      <c r="E3416" t="s">
        <v>349</v>
      </c>
      <c r="F3416" t="s">
        <v>8308</v>
      </c>
      <c r="G3416" t="s">
        <v>8309</v>
      </c>
      <c r="H3416" t="s">
        <v>8329</v>
      </c>
      <c r="I3416">
        <v>4</v>
      </c>
      <c r="K3416" t="s">
        <v>50</v>
      </c>
      <c r="L3416" t="s">
        <v>51</v>
      </c>
      <c r="M3416" t="s">
        <v>52</v>
      </c>
      <c r="S3416">
        <v>81782</v>
      </c>
      <c r="U3416">
        <v>81782</v>
      </c>
      <c r="AC3416" t="str">
        <f t="shared" si="159"/>
        <v>ALT</v>
      </c>
      <c r="AD3416">
        <f t="shared" si="160"/>
        <v>81782</v>
      </c>
      <c r="AE3416">
        <f t="shared" si="161"/>
        <v>0</v>
      </c>
      <c r="AF3416" t="s">
        <v>8405</v>
      </c>
      <c r="AJ3416" t="s">
        <v>8406</v>
      </c>
    </row>
    <row r="3417" spans="1:36" x14ac:dyDescent="0.2">
      <c r="A3417" t="s">
        <v>7930</v>
      </c>
      <c r="B3417" t="s">
        <v>45</v>
      </c>
      <c r="D3417" t="s">
        <v>8407</v>
      </c>
      <c r="E3417" t="s">
        <v>349</v>
      </c>
      <c r="F3417" t="s">
        <v>8308</v>
      </c>
      <c r="G3417" t="s">
        <v>8309</v>
      </c>
      <c r="H3417" t="s">
        <v>8329</v>
      </c>
      <c r="I3417">
        <v>4</v>
      </c>
      <c r="K3417" t="s">
        <v>50</v>
      </c>
      <c r="L3417" t="s">
        <v>51</v>
      </c>
      <c r="M3417" t="s">
        <v>52</v>
      </c>
      <c r="S3417">
        <v>37741</v>
      </c>
      <c r="U3417">
        <v>37741</v>
      </c>
      <c r="AC3417" t="str">
        <f t="shared" si="159"/>
        <v>ALT</v>
      </c>
      <c r="AD3417">
        <f t="shared" si="160"/>
        <v>37741</v>
      </c>
      <c r="AE3417">
        <f t="shared" si="161"/>
        <v>0</v>
      </c>
      <c r="AF3417" t="s">
        <v>8408</v>
      </c>
      <c r="AJ3417" t="s">
        <v>8409</v>
      </c>
    </row>
    <row r="3418" spans="1:36" x14ac:dyDescent="0.2">
      <c r="A3418" t="s">
        <v>7930</v>
      </c>
      <c r="B3418" t="s">
        <v>45</v>
      </c>
      <c r="D3418" t="s">
        <v>8410</v>
      </c>
      <c r="E3418" t="s">
        <v>349</v>
      </c>
      <c r="F3418" t="s">
        <v>8308</v>
      </c>
      <c r="G3418" t="s">
        <v>8309</v>
      </c>
      <c r="H3418" t="s">
        <v>8329</v>
      </c>
      <c r="I3418">
        <v>4</v>
      </c>
      <c r="K3418" t="s">
        <v>50</v>
      </c>
      <c r="L3418" t="s">
        <v>51</v>
      </c>
      <c r="M3418" t="s">
        <v>52</v>
      </c>
      <c r="S3418">
        <v>48604</v>
      </c>
      <c r="U3418">
        <v>48604</v>
      </c>
      <c r="AC3418" t="str">
        <f t="shared" si="159"/>
        <v>ALT</v>
      </c>
      <c r="AD3418">
        <f t="shared" si="160"/>
        <v>48604</v>
      </c>
      <c r="AE3418">
        <f t="shared" si="161"/>
        <v>0</v>
      </c>
      <c r="AF3418" t="s">
        <v>8411</v>
      </c>
      <c r="AJ3418" t="s">
        <v>8412</v>
      </c>
    </row>
    <row r="3419" spans="1:36" x14ac:dyDescent="0.2">
      <c r="A3419" t="s">
        <v>7930</v>
      </c>
      <c r="B3419" t="s">
        <v>45</v>
      </c>
      <c r="D3419" t="s">
        <v>8413</v>
      </c>
      <c r="E3419" t="s">
        <v>349</v>
      </c>
      <c r="F3419" t="s">
        <v>8308</v>
      </c>
      <c r="G3419" t="s">
        <v>8309</v>
      </c>
      <c r="H3419" t="s">
        <v>8329</v>
      </c>
      <c r="I3419">
        <v>4</v>
      </c>
      <c r="K3419" t="s">
        <v>50</v>
      </c>
      <c r="L3419" t="s">
        <v>51</v>
      </c>
      <c r="M3419" t="s">
        <v>52</v>
      </c>
      <c r="S3419">
        <v>29049</v>
      </c>
      <c r="U3419">
        <v>29049</v>
      </c>
      <c r="AC3419" t="str">
        <f t="shared" si="159"/>
        <v>ALT</v>
      </c>
      <c r="AD3419">
        <f t="shared" si="160"/>
        <v>29049</v>
      </c>
      <c r="AE3419">
        <f t="shared" si="161"/>
        <v>0</v>
      </c>
      <c r="AF3419" t="s">
        <v>8414</v>
      </c>
      <c r="AJ3419" t="s">
        <v>8415</v>
      </c>
    </row>
    <row r="3420" spans="1:36" x14ac:dyDescent="0.2">
      <c r="A3420" t="s">
        <v>7930</v>
      </c>
      <c r="B3420" t="s">
        <v>45</v>
      </c>
      <c r="D3420" t="s">
        <v>8416</v>
      </c>
      <c r="E3420" t="s">
        <v>349</v>
      </c>
      <c r="F3420" t="s">
        <v>8308</v>
      </c>
      <c r="G3420" t="s">
        <v>8309</v>
      </c>
      <c r="H3420" t="s">
        <v>8329</v>
      </c>
      <c r="I3420">
        <v>4</v>
      </c>
      <c r="K3420" t="s">
        <v>50</v>
      </c>
      <c r="L3420" t="s">
        <v>51</v>
      </c>
      <c r="M3420" t="s">
        <v>52</v>
      </c>
      <c r="S3420">
        <v>20155</v>
      </c>
      <c r="U3420">
        <v>20155</v>
      </c>
      <c r="AC3420" t="str">
        <f t="shared" si="159"/>
        <v>ALT</v>
      </c>
      <c r="AD3420">
        <f t="shared" si="160"/>
        <v>20155</v>
      </c>
      <c r="AE3420">
        <f t="shared" si="161"/>
        <v>0</v>
      </c>
      <c r="AF3420" t="s">
        <v>8417</v>
      </c>
      <c r="AJ3420" t="s">
        <v>8418</v>
      </c>
    </row>
    <row r="3421" spans="1:36" x14ac:dyDescent="0.2">
      <c r="A3421" t="s">
        <v>7930</v>
      </c>
      <c r="B3421" t="s">
        <v>45</v>
      </c>
      <c r="D3421" t="s">
        <v>8419</v>
      </c>
      <c r="E3421" t="s">
        <v>349</v>
      </c>
      <c r="F3421" t="s">
        <v>8308</v>
      </c>
      <c r="G3421" t="s">
        <v>8309</v>
      </c>
      <c r="H3421" t="s">
        <v>8329</v>
      </c>
      <c r="I3421">
        <v>4</v>
      </c>
      <c r="K3421" t="s">
        <v>50</v>
      </c>
      <c r="L3421" t="s">
        <v>51</v>
      </c>
      <c r="M3421" t="s">
        <v>52</v>
      </c>
      <c r="S3421">
        <v>95817</v>
      </c>
      <c r="U3421">
        <v>95817</v>
      </c>
      <c r="AC3421" t="str">
        <f t="shared" si="159"/>
        <v>ALT</v>
      </c>
      <c r="AD3421">
        <f t="shared" si="160"/>
        <v>95817</v>
      </c>
      <c r="AE3421">
        <f t="shared" si="161"/>
        <v>0</v>
      </c>
      <c r="AF3421" t="s">
        <v>8420</v>
      </c>
      <c r="AJ3421" t="s">
        <v>8421</v>
      </c>
    </row>
    <row r="3422" spans="1:36" x14ac:dyDescent="0.2">
      <c r="A3422" t="s">
        <v>7930</v>
      </c>
      <c r="B3422" t="s">
        <v>45</v>
      </c>
      <c r="D3422" t="s">
        <v>8422</v>
      </c>
      <c r="E3422" t="s">
        <v>349</v>
      </c>
      <c r="F3422" t="s">
        <v>8308</v>
      </c>
      <c r="G3422" t="s">
        <v>8309</v>
      </c>
      <c r="H3422" t="s">
        <v>8329</v>
      </c>
      <c r="I3422">
        <v>4</v>
      </c>
      <c r="K3422" t="s">
        <v>50</v>
      </c>
      <c r="L3422" t="s">
        <v>51</v>
      </c>
      <c r="M3422" t="s">
        <v>52</v>
      </c>
      <c r="S3422">
        <v>33332</v>
      </c>
      <c r="U3422">
        <v>33332</v>
      </c>
      <c r="AC3422" t="str">
        <f t="shared" si="159"/>
        <v>ALT</v>
      </c>
      <c r="AD3422">
        <f t="shared" si="160"/>
        <v>33332</v>
      </c>
      <c r="AE3422">
        <f t="shared" si="161"/>
        <v>0</v>
      </c>
      <c r="AF3422" t="s">
        <v>8423</v>
      </c>
      <c r="AJ3422" t="s">
        <v>8424</v>
      </c>
    </row>
    <row r="3423" spans="1:36" x14ac:dyDescent="0.2">
      <c r="A3423" t="s">
        <v>7930</v>
      </c>
      <c r="B3423" t="s">
        <v>45</v>
      </c>
      <c r="D3423" t="s">
        <v>8425</v>
      </c>
      <c r="E3423" t="s">
        <v>349</v>
      </c>
      <c r="F3423" t="s">
        <v>8308</v>
      </c>
      <c r="G3423" t="s">
        <v>8309</v>
      </c>
      <c r="H3423" t="s">
        <v>8329</v>
      </c>
      <c r="I3423">
        <v>4</v>
      </c>
      <c r="K3423" t="s">
        <v>50</v>
      </c>
      <c r="L3423" t="s">
        <v>51</v>
      </c>
      <c r="M3423" t="s">
        <v>52</v>
      </c>
      <c r="S3423">
        <v>114860</v>
      </c>
      <c r="U3423">
        <v>114860</v>
      </c>
      <c r="AC3423" t="str">
        <f t="shared" si="159"/>
        <v>ALT</v>
      </c>
      <c r="AD3423">
        <f t="shared" si="160"/>
        <v>114860</v>
      </c>
      <c r="AE3423">
        <f t="shared" si="161"/>
        <v>0</v>
      </c>
      <c r="AF3423" t="s">
        <v>8426</v>
      </c>
      <c r="AJ3423" t="s">
        <v>8427</v>
      </c>
    </row>
    <row r="3424" spans="1:36" x14ac:dyDescent="0.2">
      <c r="A3424" t="s">
        <v>7930</v>
      </c>
      <c r="B3424" t="s">
        <v>45</v>
      </c>
      <c r="D3424" t="s">
        <v>8428</v>
      </c>
      <c r="E3424" t="s">
        <v>349</v>
      </c>
      <c r="F3424" t="s">
        <v>8308</v>
      </c>
      <c r="G3424" t="s">
        <v>8309</v>
      </c>
      <c r="H3424" t="s">
        <v>8329</v>
      </c>
      <c r="I3424">
        <v>4</v>
      </c>
      <c r="K3424" t="s">
        <v>50</v>
      </c>
      <c r="L3424" t="s">
        <v>51</v>
      </c>
      <c r="M3424" t="s">
        <v>52</v>
      </c>
      <c r="S3424">
        <v>7167</v>
      </c>
      <c r="U3424">
        <v>7167</v>
      </c>
      <c r="AC3424" t="str">
        <f t="shared" si="159"/>
        <v>ALT</v>
      </c>
      <c r="AD3424">
        <f t="shared" si="160"/>
        <v>7167</v>
      </c>
      <c r="AE3424">
        <f t="shared" si="161"/>
        <v>0</v>
      </c>
      <c r="AF3424" t="s">
        <v>8429</v>
      </c>
      <c r="AJ3424" t="s">
        <v>8430</v>
      </c>
    </row>
    <row r="3425" spans="1:36" x14ac:dyDescent="0.2">
      <c r="A3425" t="s">
        <v>7930</v>
      </c>
      <c r="B3425" t="s">
        <v>45</v>
      </c>
      <c r="D3425" t="s">
        <v>8431</v>
      </c>
      <c r="E3425" t="s">
        <v>349</v>
      </c>
      <c r="F3425" t="s">
        <v>8308</v>
      </c>
      <c r="G3425" t="s">
        <v>8309</v>
      </c>
      <c r="H3425" t="s">
        <v>8329</v>
      </c>
      <c r="I3425">
        <v>4</v>
      </c>
      <c r="K3425" t="s">
        <v>50</v>
      </c>
      <c r="L3425" t="s">
        <v>51</v>
      </c>
      <c r="M3425" t="s">
        <v>52</v>
      </c>
      <c r="S3425">
        <v>16599</v>
      </c>
      <c r="U3425">
        <v>16599</v>
      </c>
      <c r="AC3425" t="str">
        <f t="shared" si="159"/>
        <v>ALT</v>
      </c>
      <c r="AD3425">
        <f t="shared" si="160"/>
        <v>16599</v>
      </c>
      <c r="AE3425">
        <f t="shared" si="161"/>
        <v>0</v>
      </c>
      <c r="AF3425" t="s">
        <v>8432</v>
      </c>
      <c r="AJ3425" t="s">
        <v>8433</v>
      </c>
    </row>
    <row r="3426" spans="1:36" x14ac:dyDescent="0.2">
      <c r="A3426" t="s">
        <v>7930</v>
      </c>
      <c r="B3426" t="s">
        <v>45</v>
      </c>
      <c r="D3426" t="s">
        <v>8434</v>
      </c>
      <c r="E3426" t="s">
        <v>349</v>
      </c>
      <c r="F3426" t="s">
        <v>8308</v>
      </c>
      <c r="G3426" t="s">
        <v>8309</v>
      </c>
      <c r="H3426" t="s">
        <v>8329</v>
      </c>
      <c r="I3426">
        <v>4</v>
      </c>
      <c r="K3426" t="s">
        <v>50</v>
      </c>
      <c r="L3426" t="s">
        <v>51</v>
      </c>
      <c r="M3426" t="s">
        <v>52</v>
      </c>
      <c r="S3426">
        <v>9206</v>
      </c>
      <c r="U3426">
        <v>9206</v>
      </c>
      <c r="AC3426" t="str">
        <f t="shared" si="159"/>
        <v>ALT</v>
      </c>
      <c r="AD3426">
        <f t="shared" si="160"/>
        <v>9206</v>
      </c>
      <c r="AE3426">
        <f t="shared" si="161"/>
        <v>0</v>
      </c>
      <c r="AF3426" t="s">
        <v>8435</v>
      </c>
      <c r="AJ3426" t="s">
        <v>8436</v>
      </c>
    </row>
    <row r="3427" spans="1:36" x14ac:dyDescent="0.2">
      <c r="A3427" t="s">
        <v>7930</v>
      </c>
      <c r="B3427" t="s">
        <v>45</v>
      </c>
      <c r="D3427" t="s">
        <v>8437</v>
      </c>
      <c r="E3427" t="s">
        <v>349</v>
      </c>
      <c r="F3427" t="s">
        <v>8308</v>
      </c>
      <c r="G3427" t="s">
        <v>8309</v>
      </c>
      <c r="H3427" t="s">
        <v>8329</v>
      </c>
      <c r="I3427">
        <v>4</v>
      </c>
      <c r="K3427" t="s">
        <v>50</v>
      </c>
      <c r="L3427" t="s">
        <v>51</v>
      </c>
      <c r="M3427" t="s">
        <v>52</v>
      </c>
      <c r="S3427">
        <v>92777</v>
      </c>
      <c r="U3427">
        <v>92777</v>
      </c>
      <c r="AC3427" t="str">
        <f t="shared" si="159"/>
        <v>ALT</v>
      </c>
      <c r="AD3427">
        <f t="shared" si="160"/>
        <v>92777</v>
      </c>
      <c r="AE3427">
        <f t="shared" si="161"/>
        <v>0</v>
      </c>
      <c r="AF3427" t="s">
        <v>8438</v>
      </c>
      <c r="AJ3427" t="s">
        <v>8439</v>
      </c>
    </row>
    <row r="3428" spans="1:36" x14ac:dyDescent="0.2">
      <c r="A3428" t="s">
        <v>7930</v>
      </c>
      <c r="B3428" t="s">
        <v>45</v>
      </c>
      <c r="D3428" t="s">
        <v>8440</v>
      </c>
      <c r="E3428" t="s">
        <v>349</v>
      </c>
      <c r="F3428" t="s">
        <v>8308</v>
      </c>
      <c r="G3428" t="s">
        <v>8309</v>
      </c>
      <c r="H3428" t="s">
        <v>8329</v>
      </c>
      <c r="I3428">
        <v>4</v>
      </c>
      <c r="K3428" t="s">
        <v>50</v>
      </c>
      <c r="L3428" t="s">
        <v>51</v>
      </c>
      <c r="M3428" t="s">
        <v>52</v>
      </c>
      <c r="S3428">
        <v>23457</v>
      </c>
      <c r="U3428">
        <v>23457</v>
      </c>
      <c r="AC3428" t="str">
        <f t="shared" si="159"/>
        <v>ALT</v>
      </c>
      <c r="AD3428">
        <f t="shared" si="160"/>
        <v>23457</v>
      </c>
      <c r="AE3428">
        <f t="shared" si="161"/>
        <v>0</v>
      </c>
      <c r="AF3428" t="s">
        <v>8441</v>
      </c>
      <c r="AJ3428" t="s">
        <v>8442</v>
      </c>
    </row>
    <row r="3429" spans="1:36" x14ac:dyDescent="0.2">
      <c r="A3429" t="s">
        <v>7930</v>
      </c>
      <c r="B3429" t="s">
        <v>45</v>
      </c>
      <c r="D3429" t="s">
        <v>8443</v>
      </c>
      <c r="E3429" t="s">
        <v>349</v>
      </c>
      <c r="F3429" t="s">
        <v>8308</v>
      </c>
      <c r="G3429" t="s">
        <v>8309</v>
      </c>
      <c r="H3429" t="s">
        <v>8329</v>
      </c>
      <c r="I3429">
        <v>4</v>
      </c>
      <c r="K3429" t="s">
        <v>50</v>
      </c>
      <c r="L3429" t="s">
        <v>51</v>
      </c>
      <c r="M3429" t="s">
        <v>52</v>
      </c>
      <c r="S3429">
        <v>9736</v>
      </c>
      <c r="U3429">
        <v>9736</v>
      </c>
      <c r="AC3429" t="str">
        <f t="shared" si="159"/>
        <v>ALT</v>
      </c>
      <c r="AD3429">
        <f t="shared" si="160"/>
        <v>9736</v>
      </c>
      <c r="AE3429">
        <f t="shared" si="161"/>
        <v>0</v>
      </c>
      <c r="AF3429" t="s">
        <v>8444</v>
      </c>
      <c r="AJ3429" t="s">
        <v>407</v>
      </c>
    </row>
    <row r="3430" spans="1:36" x14ac:dyDescent="0.2">
      <c r="A3430" t="s">
        <v>7930</v>
      </c>
      <c r="B3430" t="s">
        <v>45</v>
      </c>
      <c r="D3430" t="s">
        <v>8445</v>
      </c>
      <c r="E3430" t="s">
        <v>349</v>
      </c>
      <c r="F3430" t="s">
        <v>8308</v>
      </c>
      <c r="G3430" t="s">
        <v>8309</v>
      </c>
      <c r="H3430" t="s">
        <v>8329</v>
      </c>
      <c r="I3430">
        <v>4</v>
      </c>
      <c r="K3430" t="s">
        <v>50</v>
      </c>
      <c r="L3430" t="s">
        <v>51</v>
      </c>
      <c r="M3430" t="s">
        <v>52</v>
      </c>
      <c r="S3430">
        <v>52528</v>
      </c>
      <c r="U3430">
        <v>52528</v>
      </c>
      <c r="AC3430" t="str">
        <f t="shared" si="159"/>
        <v>ALT</v>
      </c>
      <c r="AD3430">
        <f t="shared" si="160"/>
        <v>52528</v>
      </c>
      <c r="AE3430">
        <f t="shared" si="161"/>
        <v>0</v>
      </c>
      <c r="AF3430" t="s">
        <v>8446</v>
      </c>
      <c r="AJ3430" t="s">
        <v>8447</v>
      </c>
    </row>
    <row r="3431" spans="1:36" x14ac:dyDescent="0.2">
      <c r="A3431" t="s">
        <v>7930</v>
      </c>
      <c r="B3431" t="s">
        <v>45</v>
      </c>
      <c r="D3431" t="s">
        <v>8448</v>
      </c>
      <c r="E3431" t="s">
        <v>349</v>
      </c>
      <c r="F3431" t="s">
        <v>8449</v>
      </c>
      <c r="G3431" t="s">
        <v>8309</v>
      </c>
      <c r="H3431" t="s">
        <v>8310</v>
      </c>
      <c r="I3431">
        <v>4</v>
      </c>
      <c r="K3431" t="s">
        <v>50</v>
      </c>
      <c r="L3431" t="s">
        <v>51</v>
      </c>
      <c r="M3431" t="s">
        <v>119</v>
      </c>
      <c r="S3431">
        <v>148400</v>
      </c>
      <c r="U3431">
        <v>148400</v>
      </c>
      <c r="AC3431" t="str">
        <f t="shared" si="159"/>
        <v>ALT</v>
      </c>
      <c r="AD3431">
        <f t="shared" si="160"/>
        <v>148400</v>
      </c>
      <c r="AE3431">
        <f t="shared" si="161"/>
        <v>0</v>
      </c>
      <c r="AF3431" t="s">
        <v>8450</v>
      </c>
      <c r="AJ3431" t="s">
        <v>8451</v>
      </c>
    </row>
    <row r="3432" spans="1:36" x14ac:dyDescent="0.2">
      <c r="A3432" t="s">
        <v>7930</v>
      </c>
      <c r="B3432" t="s">
        <v>45</v>
      </c>
      <c r="D3432" t="s">
        <v>8452</v>
      </c>
      <c r="E3432" t="s">
        <v>349</v>
      </c>
      <c r="F3432" t="s">
        <v>8449</v>
      </c>
      <c r="G3432" t="s">
        <v>8309</v>
      </c>
      <c r="H3432" t="s">
        <v>8310</v>
      </c>
      <c r="I3432">
        <v>4</v>
      </c>
      <c r="K3432" t="s">
        <v>50</v>
      </c>
      <c r="L3432" t="s">
        <v>51</v>
      </c>
      <c r="M3432" t="s">
        <v>119</v>
      </c>
      <c r="S3432">
        <v>30359</v>
      </c>
      <c r="U3432">
        <v>30359</v>
      </c>
      <c r="AC3432" t="str">
        <f t="shared" si="159"/>
        <v>ALT</v>
      </c>
      <c r="AD3432">
        <f t="shared" si="160"/>
        <v>30359</v>
      </c>
      <c r="AE3432">
        <f t="shared" si="161"/>
        <v>0</v>
      </c>
      <c r="AF3432" t="s">
        <v>8453</v>
      </c>
      <c r="AJ3432" t="s">
        <v>8454</v>
      </c>
    </row>
    <row r="3433" spans="1:36" x14ac:dyDescent="0.2">
      <c r="A3433" t="s">
        <v>7930</v>
      </c>
      <c r="B3433" t="s">
        <v>45</v>
      </c>
      <c r="D3433" t="s">
        <v>8455</v>
      </c>
      <c r="E3433" t="s">
        <v>349</v>
      </c>
      <c r="F3433" t="s">
        <v>8449</v>
      </c>
      <c r="G3433" t="s">
        <v>8309</v>
      </c>
      <c r="H3433" t="s">
        <v>8310</v>
      </c>
      <c r="I3433">
        <v>4</v>
      </c>
      <c r="K3433" t="s">
        <v>50</v>
      </c>
      <c r="L3433" t="s">
        <v>51</v>
      </c>
      <c r="M3433" t="s">
        <v>119</v>
      </c>
      <c r="S3433">
        <v>10257</v>
      </c>
      <c r="U3433">
        <v>10257</v>
      </c>
      <c r="AC3433" t="str">
        <f t="shared" si="159"/>
        <v>ALT</v>
      </c>
      <c r="AD3433">
        <f t="shared" si="160"/>
        <v>10257</v>
      </c>
      <c r="AE3433">
        <f t="shared" si="161"/>
        <v>0</v>
      </c>
      <c r="AF3433" t="s">
        <v>8456</v>
      </c>
      <c r="AJ3433" t="s">
        <v>8457</v>
      </c>
    </row>
    <row r="3434" spans="1:36" x14ac:dyDescent="0.2">
      <c r="A3434" t="s">
        <v>7930</v>
      </c>
      <c r="B3434" t="s">
        <v>45</v>
      </c>
      <c r="D3434" t="s">
        <v>8458</v>
      </c>
      <c r="E3434" t="s">
        <v>349</v>
      </c>
      <c r="F3434" t="s">
        <v>8449</v>
      </c>
      <c r="G3434" t="s">
        <v>8309</v>
      </c>
      <c r="H3434" t="s">
        <v>8310</v>
      </c>
      <c r="I3434">
        <v>4</v>
      </c>
      <c r="K3434" t="s">
        <v>50</v>
      </c>
      <c r="L3434" t="s">
        <v>51</v>
      </c>
      <c r="M3434" t="s">
        <v>119</v>
      </c>
      <c r="S3434">
        <v>51000</v>
      </c>
      <c r="U3434">
        <v>51000</v>
      </c>
      <c r="AC3434" t="str">
        <f t="shared" si="159"/>
        <v>ALT</v>
      </c>
      <c r="AD3434">
        <f t="shared" si="160"/>
        <v>51000</v>
      </c>
      <c r="AE3434">
        <f t="shared" si="161"/>
        <v>0</v>
      </c>
      <c r="AF3434" t="s">
        <v>8459</v>
      </c>
      <c r="AJ3434" t="s">
        <v>8460</v>
      </c>
    </row>
    <row r="3435" spans="1:36" x14ac:dyDescent="0.2">
      <c r="A3435" t="s">
        <v>7930</v>
      </c>
      <c r="B3435" t="s">
        <v>45</v>
      </c>
      <c r="D3435" t="s">
        <v>8461</v>
      </c>
      <c r="E3435" t="s">
        <v>349</v>
      </c>
      <c r="F3435" t="s">
        <v>8449</v>
      </c>
      <c r="G3435" t="s">
        <v>8309</v>
      </c>
      <c r="H3435" t="s">
        <v>8329</v>
      </c>
      <c r="I3435">
        <v>4</v>
      </c>
      <c r="K3435" t="s">
        <v>50</v>
      </c>
      <c r="L3435" t="s">
        <v>51</v>
      </c>
      <c r="M3435" t="s">
        <v>119</v>
      </c>
      <c r="S3435">
        <v>28516</v>
      </c>
      <c r="U3435">
        <v>28516</v>
      </c>
      <c r="AC3435" t="str">
        <f t="shared" si="159"/>
        <v>ALT</v>
      </c>
      <c r="AD3435">
        <f t="shared" si="160"/>
        <v>28516</v>
      </c>
      <c r="AE3435">
        <f t="shared" si="161"/>
        <v>0</v>
      </c>
      <c r="AF3435" t="s">
        <v>8462</v>
      </c>
      <c r="AJ3435" t="s">
        <v>8463</v>
      </c>
    </row>
    <row r="3436" spans="1:36" x14ac:dyDescent="0.2">
      <c r="A3436" t="s">
        <v>7930</v>
      </c>
      <c r="B3436" t="s">
        <v>45</v>
      </c>
      <c r="D3436" t="s">
        <v>8464</v>
      </c>
      <c r="E3436" t="s">
        <v>349</v>
      </c>
      <c r="F3436" t="s">
        <v>8449</v>
      </c>
      <c r="G3436" t="s">
        <v>8309</v>
      </c>
      <c r="H3436" t="s">
        <v>8329</v>
      </c>
      <c r="I3436">
        <v>4</v>
      </c>
      <c r="K3436" t="s">
        <v>50</v>
      </c>
      <c r="L3436" t="s">
        <v>51</v>
      </c>
      <c r="M3436" t="s">
        <v>119</v>
      </c>
      <c r="S3436">
        <v>24268</v>
      </c>
      <c r="U3436">
        <v>24268</v>
      </c>
      <c r="AC3436" t="str">
        <f t="shared" si="159"/>
        <v>ALT</v>
      </c>
      <c r="AD3436">
        <f t="shared" si="160"/>
        <v>24268</v>
      </c>
      <c r="AE3436">
        <f t="shared" si="161"/>
        <v>0</v>
      </c>
      <c r="AF3436" t="s">
        <v>8465</v>
      </c>
      <c r="AJ3436" t="s">
        <v>8466</v>
      </c>
    </row>
    <row r="3437" spans="1:36" x14ac:dyDescent="0.2">
      <c r="A3437" t="s">
        <v>7930</v>
      </c>
      <c r="B3437" t="s">
        <v>45</v>
      </c>
      <c r="D3437" t="s">
        <v>8467</v>
      </c>
      <c r="E3437" t="s">
        <v>349</v>
      </c>
      <c r="F3437" t="s">
        <v>8449</v>
      </c>
      <c r="G3437" t="s">
        <v>8309</v>
      </c>
      <c r="H3437" t="s">
        <v>8329</v>
      </c>
      <c r="I3437">
        <v>4</v>
      </c>
      <c r="K3437" t="s">
        <v>50</v>
      </c>
      <c r="L3437" t="s">
        <v>51</v>
      </c>
      <c r="M3437" t="s">
        <v>119</v>
      </c>
      <c r="S3437">
        <v>504</v>
      </c>
      <c r="U3437">
        <v>504</v>
      </c>
      <c r="AC3437" t="str">
        <f t="shared" si="159"/>
        <v>ALT</v>
      </c>
      <c r="AD3437">
        <f t="shared" si="160"/>
        <v>504</v>
      </c>
      <c r="AE3437">
        <f t="shared" si="161"/>
        <v>0</v>
      </c>
      <c r="AF3437" t="s">
        <v>8468</v>
      </c>
      <c r="AJ3437" t="s">
        <v>8469</v>
      </c>
    </row>
    <row r="3438" spans="1:36" x14ac:dyDescent="0.2">
      <c r="A3438" t="s">
        <v>7930</v>
      </c>
      <c r="B3438" t="s">
        <v>45</v>
      </c>
      <c r="D3438" t="s">
        <v>8470</v>
      </c>
      <c r="E3438" t="s">
        <v>349</v>
      </c>
      <c r="F3438" t="s">
        <v>8449</v>
      </c>
      <c r="G3438" t="s">
        <v>8309</v>
      </c>
      <c r="H3438" t="s">
        <v>8329</v>
      </c>
      <c r="I3438">
        <v>4</v>
      </c>
      <c r="K3438" t="s">
        <v>50</v>
      </c>
      <c r="L3438" t="s">
        <v>51</v>
      </c>
      <c r="M3438" t="s">
        <v>119</v>
      </c>
      <c r="S3438">
        <v>2019</v>
      </c>
      <c r="U3438">
        <v>2019</v>
      </c>
      <c r="AC3438" t="str">
        <f t="shared" si="159"/>
        <v>ALT</v>
      </c>
      <c r="AD3438">
        <f t="shared" si="160"/>
        <v>2019</v>
      </c>
      <c r="AE3438">
        <f t="shared" si="161"/>
        <v>0</v>
      </c>
      <c r="AF3438" t="s">
        <v>8471</v>
      </c>
      <c r="AJ3438" t="s">
        <v>8472</v>
      </c>
    </row>
    <row r="3439" spans="1:36" x14ac:dyDescent="0.2">
      <c r="A3439" t="s">
        <v>7930</v>
      </c>
      <c r="B3439" t="s">
        <v>45</v>
      </c>
      <c r="D3439" t="s">
        <v>8473</v>
      </c>
      <c r="E3439" t="s">
        <v>349</v>
      </c>
      <c r="F3439" t="s">
        <v>8004</v>
      </c>
      <c r="G3439" t="s">
        <v>8309</v>
      </c>
      <c r="H3439" t="s">
        <v>8310</v>
      </c>
      <c r="I3439">
        <v>4</v>
      </c>
      <c r="S3439">
        <v>92940</v>
      </c>
      <c r="U3439">
        <v>92940</v>
      </c>
      <c r="AC3439" t="str">
        <f t="shared" si="159"/>
        <v>ALT</v>
      </c>
      <c r="AD3439">
        <f t="shared" si="160"/>
        <v>92940</v>
      </c>
      <c r="AE3439">
        <f t="shared" si="161"/>
        <v>0</v>
      </c>
      <c r="AF3439" t="s">
        <v>8474</v>
      </c>
      <c r="AJ3439" t="s">
        <v>8475</v>
      </c>
    </row>
    <row r="3440" spans="1:36" x14ac:dyDescent="0.2">
      <c r="A3440" t="s">
        <v>7930</v>
      </c>
      <c r="B3440" t="s">
        <v>45</v>
      </c>
      <c r="D3440" t="s">
        <v>8476</v>
      </c>
      <c r="E3440" t="s">
        <v>349</v>
      </c>
      <c r="F3440" t="s">
        <v>8004</v>
      </c>
      <c r="G3440" t="s">
        <v>8309</v>
      </c>
      <c r="H3440" t="s">
        <v>8477</v>
      </c>
      <c r="I3440">
        <v>4</v>
      </c>
      <c r="S3440">
        <v>929</v>
      </c>
      <c r="U3440">
        <v>929</v>
      </c>
      <c r="AC3440" t="str">
        <f t="shared" si="159"/>
        <v>ALT</v>
      </c>
      <c r="AD3440">
        <f t="shared" si="160"/>
        <v>929</v>
      </c>
      <c r="AE3440">
        <f t="shared" si="161"/>
        <v>0</v>
      </c>
      <c r="AF3440" t="s">
        <v>8478</v>
      </c>
      <c r="AJ3440" t="s">
        <v>8479</v>
      </c>
    </row>
    <row r="3441" spans="1:36" x14ac:dyDescent="0.2">
      <c r="A3441" t="s">
        <v>7930</v>
      </c>
      <c r="B3441" t="s">
        <v>45</v>
      </c>
      <c r="D3441" t="s">
        <v>8480</v>
      </c>
      <c r="E3441" t="s">
        <v>349</v>
      </c>
      <c r="F3441" t="s">
        <v>8004</v>
      </c>
      <c r="G3441" t="s">
        <v>8309</v>
      </c>
      <c r="H3441" t="s">
        <v>8329</v>
      </c>
      <c r="I3441">
        <v>4</v>
      </c>
      <c r="S3441">
        <v>5100</v>
      </c>
      <c r="U3441">
        <v>5100</v>
      </c>
      <c r="AC3441" t="str">
        <f t="shared" si="159"/>
        <v>ALT</v>
      </c>
      <c r="AD3441">
        <f t="shared" si="160"/>
        <v>5100</v>
      </c>
      <c r="AE3441">
        <f t="shared" si="161"/>
        <v>0</v>
      </c>
      <c r="AF3441" t="s">
        <v>8481</v>
      </c>
      <c r="AJ3441" t="s">
        <v>8318</v>
      </c>
    </row>
    <row r="3442" spans="1:36" x14ac:dyDescent="0.2">
      <c r="A3442" t="s">
        <v>7930</v>
      </c>
      <c r="B3442" t="s">
        <v>45</v>
      </c>
      <c r="D3442" t="s">
        <v>8482</v>
      </c>
      <c r="E3442" t="s">
        <v>349</v>
      </c>
      <c r="F3442" t="s">
        <v>8004</v>
      </c>
      <c r="G3442" t="s">
        <v>8309</v>
      </c>
      <c r="H3442" t="s">
        <v>8329</v>
      </c>
      <c r="I3442">
        <v>4</v>
      </c>
      <c r="S3442">
        <v>9652</v>
      </c>
      <c r="U3442">
        <v>9652</v>
      </c>
      <c r="AC3442" t="str">
        <f t="shared" si="159"/>
        <v>ALT</v>
      </c>
      <c r="AD3442">
        <f t="shared" si="160"/>
        <v>9652</v>
      </c>
      <c r="AE3442">
        <f t="shared" si="161"/>
        <v>0</v>
      </c>
      <c r="AF3442" t="s">
        <v>8483</v>
      </c>
      <c r="AJ3442" t="s">
        <v>8484</v>
      </c>
    </row>
    <row r="3443" spans="1:36" x14ac:dyDescent="0.2">
      <c r="A3443" t="s">
        <v>7930</v>
      </c>
      <c r="B3443" t="s">
        <v>45</v>
      </c>
      <c r="D3443" t="s">
        <v>8485</v>
      </c>
      <c r="E3443" t="s">
        <v>349</v>
      </c>
      <c r="F3443" t="s">
        <v>8004</v>
      </c>
      <c r="G3443" t="s">
        <v>8309</v>
      </c>
      <c r="H3443" t="s">
        <v>8310</v>
      </c>
      <c r="I3443">
        <v>4</v>
      </c>
      <c r="S3443">
        <v>99742</v>
      </c>
      <c r="U3443">
        <v>99742</v>
      </c>
      <c r="AC3443" t="str">
        <f t="shared" si="159"/>
        <v>ALT</v>
      </c>
      <c r="AD3443">
        <f t="shared" si="160"/>
        <v>99742</v>
      </c>
      <c r="AE3443">
        <f t="shared" si="161"/>
        <v>0</v>
      </c>
      <c r="AF3443" t="s">
        <v>8486</v>
      </c>
      <c r="AJ3443" t="s">
        <v>8487</v>
      </c>
    </row>
    <row r="3444" spans="1:36" x14ac:dyDescent="0.2">
      <c r="A3444" t="s">
        <v>7930</v>
      </c>
      <c r="B3444" t="s">
        <v>45</v>
      </c>
      <c r="D3444" t="s">
        <v>8488</v>
      </c>
      <c r="E3444" t="s">
        <v>349</v>
      </c>
      <c r="F3444" t="s">
        <v>8004</v>
      </c>
      <c r="G3444" t="s">
        <v>8309</v>
      </c>
      <c r="H3444" t="s">
        <v>8310</v>
      </c>
      <c r="I3444">
        <v>4</v>
      </c>
      <c r="S3444">
        <v>4654</v>
      </c>
      <c r="U3444">
        <v>4654</v>
      </c>
      <c r="AC3444" t="str">
        <f t="shared" si="159"/>
        <v>ALT</v>
      </c>
      <c r="AD3444">
        <f t="shared" si="160"/>
        <v>4654</v>
      </c>
      <c r="AE3444">
        <f t="shared" si="161"/>
        <v>0</v>
      </c>
      <c r="AF3444" t="s">
        <v>8489</v>
      </c>
      <c r="AJ3444" t="s">
        <v>8490</v>
      </c>
    </row>
    <row r="3445" spans="1:36" x14ac:dyDescent="0.2">
      <c r="A3445" t="s">
        <v>7930</v>
      </c>
      <c r="B3445" t="s">
        <v>45</v>
      </c>
      <c r="D3445" t="s">
        <v>8491</v>
      </c>
      <c r="E3445" t="s">
        <v>349</v>
      </c>
      <c r="F3445" t="s">
        <v>8004</v>
      </c>
      <c r="G3445" t="s">
        <v>8309</v>
      </c>
      <c r="H3445" t="s">
        <v>8310</v>
      </c>
      <c r="I3445">
        <v>4</v>
      </c>
      <c r="S3445">
        <v>248</v>
      </c>
      <c r="U3445">
        <v>248</v>
      </c>
      <c r="AC3445" t="str">
        <f t="shared" si="159"/>
        <v>ALT</v>
      </c>
      <c r="AD3445">
        <f t="shared" si="160"/>
        <v>248</v>
      </c>
      <c r="AE3445">
        <f t="shared" si="161"/>
        <v>0</v>
      </c>
      <c r="AF3445" t="s">
        <v>8492</v>
      </c>
      <c r="AJ3445" t="s">
        <v>8493</v>
      </c>
    </row>
    <row r="3446" spans="1:36" x14ac:dyDescent="0.2">
      <c r="A3446" t="s">
        <v>7930</v>
      </c>
      <c r="B3446" t="s">
        <v>45</v>
      </c>
      <c r="D3446" t="s">
        <v>8494</v>
      </c>
      <c r="E3446" t="s">
        <v>349</v>
      </c>
      <c r="F3446" t="s">
        <v>8004</v>
      </c>
      <c r="G3446" t="s">
        <v>8309</v>
      </c>
      <c r="H3446" t="s">
        <v>8477</v>
      </c>
      <c r="I3446">
        <v>4</v>
      </c>
      <c r="S3446">
        <v>3039</v>
      </c>
      <c r="U3446">
        <v>3039</v>
      </c>
      <c r="AC3446" t="str">
        <f t="shared" si="159"/>
        <v>ALT</v>
      </c>
      <c r="AD3446">
        <f t="shared" si="160"/>
        <v>3039</v>
      </c>
      <c r="AE3446">
        <f t="shared" si="161"/>
        <v>0</v>
      </c>
      <c r="AF3446" t="s">
        <v>8495</v>
      </c>
      <c r="AJ3446" t="s">
        <v>8496</v>
      </c>
    </row>
    <row r="3447" spans="1:36" x14ac:dyDescent="0.2">
      <c r="A3447" t="s">
        <v>7930</v>
      </c>
      <c r="B3447" t="s">
        <v>45</v>
      </c>
      <c r="D3447" t="s">
        <v>8497</v>
      </c>
      <c r="E3447" t="s">
        <v>349</v>
      </c>
      <c r="F3447" t="s">
        <v>8004</v>
      </c>
      <c r="G3447" t="s">
        <v>8309</v>
      </c>
      <c r="H3447" t="s">
        <v>8477</v>
      </c>
      <c r="I3447">
        <v>4</v>
      </c>
      <c r="S3447">
        <v>7161</v>
      </c>
      <c r="U3447">
        <v>7161</v>
      </c>
      <c r="AC3447" t="str">
        <f t="shared" si="159"/>
        <v>ALT</v>
      </c>
      <c r="AD3447">
        <f t="shared" si="160"/>
        <v>7161</v>
      </c>
      <c r="AE3447">
        <f t="shared" si="161"/>
        <v>0</v>
      </c>
      <c r="AF3447" t="s">
        <v>8498</v>
      </c>
      <c r="AJ3447" t="s">
        <v>8499</v>
      </c>
    </row>
    <row r="3448" spans="1:36" x14ac:dyDescent="0.2">
      <c r="A3448" t="s">
        <v>7930</v>
      </c>
      <c r="B3448" t="s">
        <v>45</v>
      </c>
      <c r="D3448" t="s">
        <v>8500</v>
      </c>
      <c r="E3448" t="s">
        <v>349</v>
      </c>
      <c r="F3448" t="s">
        <v>8004</v>
      </c>
      <c r="G3448" t="s">
        <v>8309</v>
      </c>
      <c r="H3448" t="s">
        <v>8477</v>
      </c>
      <c r="I3448">
        <v>4</v>
      </c>
      <c r="S3448">
        <v>8023</v>
      </c>
      <c r="U3448">
        <v>8023</v>
      </c>
      <c r="AC3448" t="str">
        <f t="shared" si="159"/>
        <v>ALT</v>
      </c>
      <c r="AD3448">
        <f t="shared" si="160"/>
        <v>8023</v>
      </c>
      <c r="AE3448">
        <f t="shared" si="161"/>
        <v>0</v>
      </c>
      <c r="AF3448" t="s">
        <v>8501</v>
      </c>
      <c r="AJ3448" t="s">
        <v>8502</v>
      </c>
    </row>
    <row r="3449" spans="1:36" x14ac:dyDescent="0.2">
      <c r="A3449" t="s">
        <v>7930</v>
      </c>
      <c r="B3449" t="s">
        <v>45</v>
      </c>
      <c r="D3449" t="s">
        <v>8503</v>
      </c>
      <c r="E3449" t="s">
        <v>349</v>
      </c>
      <c r="F3449" t="s">
        <v>8004</v>
      </c>
      <c r="G3449" t="s">
        <v>8309</v>
      </c>
      <c r="H3449" t="s">
        <v>8329</v>
      </c>
      <c r="I3449">
        <v>4</v>
      </c>
      <c r="S3449">
        <v>9154</v>
      </c>
      <c r="U3449">
        <v>9154</v>
      </c>
      <c r="AC3449" t="str">
        <f t="shared" si="159"/>
        <v>ALT</v>
      </c>
      <c r="AD3449">
        <f t="shared" si="160"/>
        <v>9154</v>
      </c>
      <c r="AE3449">
        <f t="shared" si="161"/>
        <v>0</v>
      </c>
      <c r="AF3449" t="s">
        <v>8481</v>
      </c>
      <c r="AJ3449" t="s">
        <v>8318</v>
      </c>
    </row>
    <row r="3450" spans="1:36" x14ac:dyDescent="0.2">
      <c r="A3450" t="s">
        <v>7930</v>
      </c>
      <c r="B3450" t="s">
        <v>45</v>
      </c>
      <c r="D3450" t="s">
        <v>8504</v>
      </c>
      <c r="E3450" t="s">
        <v>349</v>
      </c>
      <c r="F3450" t="s">
        <v>8004</v>
      </c>
      <c r="G3450" t="s">
        <v>8309</v>
      </c>
      <c r="H3450" t="s">
        <v>8329</v>
      </c>
      <c r="I3450">
        <v>4</v>
      </c>
      <c r="S3450">
        <v>2575</v>
      </c>
      <c r="U3450">
        <v>2575</v>
      </c>
      <c r="AC3450" t="str">
        <f t="shared" si="159"/>
        <v>ALT</v>
      </c>
      <c r="AD3450">
        <f t="shared" si="160"/>
        <v>2575</v>
      </c>
      <c r="AE3450">
        <f t="shared" si="161"/>
        <v>0</v>
      </c>
      <c r="AF3450" t="s">
        <v>8505</v>
      </c>
      <c r="AJ3450" t="s">
        <v>8506</v>
      </c>
    </row>
    <row r="3451" spans="1:36" x14ac:dyDescent="0.2">
      <c r="A3451" t="s">
        <v>7930</v>
      </c>
      <c r="B3451" t="s">
        <v>45</v>
      </c>
      <c r="D3451" t="s">
        <v>8507</v>
      </c>
      <c r="E3451" t="s">
        <v>349</v>
      </c>
      <c r="F3451" t="s">
        <v>8508</v>
      </c>
      <c r="G3451" t="s">
        <v>8309</v>
      </c>
      <c r="H3451" t="s">
        <v>8310</v>
      </c>
      <c r="I3451">
        <v>4</v>
      </c>
      <c r="S3451">
        <v>412055</v>
      </c>
      <c r="U3451">
        <v>412055</v>
      </c>
      <c r="AC3451" t="str">
        <f t="shared" si="159"/>
        <v>ALT</v>
      </c>
      <c r="AD3451">
        <f t="shared" si="160"/>
        <v>412055</v>
      </c>
      <c r="AE3451">
        <f t="shared" si="161"/>
        <v>0</v>
      </c>
      <c r="AF3451" t="s">
        <v>8509</v>
      </c>
      <c r="AJ3451" t="s">
        <v>8510</v>
      </c>
    </row>
    <row r="3452" spans="1:36" x14ac:dyDescent="0.2">
      <c r="A3452" t="s">
        <v>7930</v>
      </c>
      <c r="B3452" t="s">
        <v>45</v>
      </c>
      <c r="D3452" t="s">
        <v>8511</v>
      </c>
      <c r="E3452" t="s">
        <v>349</v>
      </c>
      <c r="F3452" t="s">
        <v>8508</v>
      </c>
      <c r="G3452" t="s">
        <v>8309</v>
      </c>
      <c r="H3452" t="s">
        <v>8310</v>
      </c>
      <c r="I3452">
        <v>4</v>
      </c>
      <c r="S3452">
        <v>14155</v>
      </c>
      <c r="U3452">
        <v>14155</v>
      </c>
      <c r="AC3452" t="str">
        <f t="shared" si="159"/>
        <v>ALT</v>
      </c>
      <c r="AD3452">
        <f t="shared" si="160"/>
        <v>14155</v>
      </c>
      <c r="AE3452">
        <f t="shared" si="161"/>
        <v>0</v>
      </c>
      <c r="AF3452" t="s">
        <v>8512</v>
      </c>
      <c r="AJ3452" t="s">
        <v>8513</v>
      </c>
    </row>
    <row r="3453" spans="1:36" x14ac:dyDescent="0.2">
      <c r="A3453" t="s">
        <v>7930</v>
      </c>
      <c r="B3453" t="s">
        <v>45</v>
      </c>
      <c r="D3453" t="s">
        <v>8514</v>
      </c>
      <c r="E3453" t="s">
        <v>349</v>
      </c>
      <c r="F3453" t="s">
        <v>8508</v>
      </c>
      <c r="G3453" t="s">
        <v>8309</v>
      </c>
      <c r="H3453" t="s">
        <v>8310</v>
      </c>
      <c r="I3453">
        <v>4</v>
      </c>
      <c r="S3453">
        <v>47809</v>
      </c>
      <c r="U3453">
        <v>47809</v>
      </c>
      <c r="AC3453" t="str">
        <f t="shared" si="159"/>
        <v>ALT</v>
      </c>
      <c r="AD3453">
        <f t="shared" si="160"/>
        <v>47809</v>
      </c>
      <c r="AE3453">
        <f t="shared" si="161"/>
        <v>0</v>
      </c>
      <c r="AF3453" t="s">
        <v>8515</v>
      </c>
      <c r="AJ3453" t="s">
        <v>8516</v>
      </c>
    </row>
    <row r="3454" spans="1:36" x14ac:dyDescent="0.2">
      <c r="A3454" t="s">
        <v>7930</v>
      </c>
      <c r="B3454" t="s">
        <v>45</v>
      </c>
      <c r="D3454" t="s">
        <v>8517</v>
      </c>
      <c r="E3454" t="s">
        <v>349</v>
      </c>
      <c r="F3454" t="s">
        <v>8508</v>
      </c>
      <c r="G3454" t="s">
        <v>8309</v>
      </c>
      <c r="H3454" t="s">
        <v>8310</v>
      </c>
      <c r="I3454">
        <v>4</v>
      </c>
      <c r="S3454">
        <v>2040</v>
      </c>
      <c r="U3454">
        <v>2040</v>
      </c>
      <c r="AC3454" t="str">
        <f t="shared" si="159"/>
        <v>ALT</v>
      </c>
      <c r="AD3454">
        <f t="shared" si="160"/>
        <v>2040</v>
      </c>
      <c r="AE3454">
        <f t="shared" si="161"/>
        <v>0</v>
      </c>
      <c r="AF3454" t="s">
        <v>8518</v>
      </c>
      <c r="AJ3454" t="s">
        <v>8519</v>
      </c>
    </row>
    <row r="3455" spans="1:36" x14ac:dyDescent="0.2">
      <c r="A3455" t="s">
        <v>7930</v>
      </c>
      <c r="B3455" t="s">
        <v>45</v>
      </c>
      <c r="D3455" t="s">
        <v>8520</v>
      </c>
      <c r="E3455" t="s">
        <v>349</v>
      </c>
      <c r="F3455" t="s">
        <v>8508</v>
      </c>
      <c r="G3455" t="s">
        <v>8309</v>
      </c>
      <c r="H3455" t="s">
        <v>8310</v>
      </c>
      <c r="I3455">
        <v>4</v>
      </c>
      <c r="S3455">
        <v>1363</v>
      </c>
      <c r="U3455">
        <v>1363</v>
      </c>
      <c r="AC3455" t="str">
        <f t="shared" si="159"/>
        <v>ALT</v>
      </c>
      <c r="AD3455">
        <f t="shared" si="160"/>
        <v>1363</v>
      </c>
      <c r="AE3455">
        <f t="shared" si="161"/>
        <v>0</v>
      </c>
      <c r="AF3455" t="s">
        <v>8521</v>
      </c>
      <c r="AJ3455" t="s">
        <v>8522</v>
      </c>
    </row>
    <row r="3456" spans="1:36" x14ac:dyDescent="0.2">
      <c r="A3456" t="s">
        <v>7930</v>
      </c>
      <c r="B3456" t="s">
        <v>45</v>
      </c>
      <c r="D3456" t="s">
        <v>8523</v>
      </c>
      <c r="E3456" t="s">
        <v>349</v>
      </c>
      <c r="F3456" t="s">
        <v>8508</v>
      </c>
      <c r="G3456" t="s">
        <v>8309</v>
      </c>
      <c r="H3456" t="s">
        <v>8329</v>
      </c>
      <c r="I3456">
        <v>4</v>
      </c>
      <c r="S3456">
        <v>12272</v>
      </c>
      <c r="U3456">
        <v>12272</v>
      </c>
      <c r="AC3456" t="str">
        <f t="shared" si="159"/>
        <v>ALT</v>
      </c>
      <c r="AD3456">
        <f t="shared" si="160"/>
        <v>12272</v>
      </c>
      <c r="AE3456">
        <f t="shared" si="161"/>
        <v>0</v>
      </c>
      <c r="AF3456" t="s">
        <v>8524</v>
      </c>
      <c r="AJ3456" t="s">
        <v>8525</v>
      </c>
    </row>
    <row r="3457" spans="1:36" x14ac:dyDescent="0.2">
      <c r="A3457" t="s">
        <v>7930</v>
      </c>
      <c r="B3457" t="s">
        <v>45</v>
      </c>
      <c r="D3457" t="s">
        <v>8526</v>
      </c>
      <c r="E3457" t="s">
        <v>349</v>
      </c>
      <c r="F3457" t="s">
        <v>8508</v>
      </c>
      <c r="G3457" t="s">
        <v>8309</v>
      </c>
      <c r="H3457" t="s">
        <v>8329</v>
      </c>
      <c r="I3457">
        <v>4</v>
      </c>
      <c r="S3457">
        <v>10023</v>
      </c>
      <c r="U3457">
        <v>10023</v>
      </c>
      <c r="AC3457" t="str">
        <f t="shared" si="159"/>
        <v>ALT</v>
      </c>
      <c r="AD3457">
        <f t="shared" si="160"/>
        <v>10023</v>
      </c>
      <c r="AE3457">
        <f t="shared" si="161"/>
        <v>0</v>
      </c>
      <c r="AF3457" t="s">
        <v>8527</v>
      </c>
      <c r="AJ3457" t="s">
        <v>8528</v>
      </c>
    </row>
    <row r="3458" spans="1:36" x14ac:dyDescent="0.2">
      <c r="A3458" t="s">
        <v>7930</v>
      </c>
      <c r="B3458" t="s">
        <v>45</v>
      </c>
      <c r="D3458" t="s">
        <v>8529</v>
      </c>
      <c r="E3458" t="s">
        <v>349</v>
      </c>
      <c r="F3458" t="s">
        <v>8508</v>
      </c>
      <c r="G3458" t="s">
        <v>8309</v>
      </c>
      <c r="H3458" t="s">
        <v>8329</v>
      </c>
      <c r="I3458">
        <v>4</v>
      </c>
      <c r="S3458">
        <v>962</v>
      </c>
      <c r="U3458">
        <v>962</v>
      </c>
      <c r="AC3458" t="str">
        <f t="shared" si="159"/>
        <v>ALT</v>
      </c>
      <c r="AD3458">
        <f t="shared" si="160"/>
        <v>962</v>
      </c>
      <c r="AE3458">
        <f t="shared" si="161"/>
        <v>0</v>
      </c>
      <c r="AF3458" t="s">
        <v>8530</v>
      </c>
      <c r="AJ3458" t="s">
        <v>8531</v>
      </c>
    </row>
    <row r="3459" spans="1:36" x14ac:dyDescent="0.2">
      <c r="A3459" t="s">
        <v>7930</v>
      </c>
      <c r="B3459" t="s">
        <v>45</v>
      </c>
      <c r="D3459" t="s">
        <v>8532</v>
      </c>
      <c r="E3459" t="s">
        <v>349</v>
      </c>
      <c r="F3459" t="s">
        <v>8508</v>
      </c>
      <c r="G3459" t="s">
        <v>8309</v>
      </c>
      <c r="H3459" t="s">
        <v>8329</v>
      </c>
      <c r="I3459">
        <v>4</v>
      </c>
      <c r="S3459">
        <v>2702</v>
      </c>
      <c r="U3459">
        <v>2702</v>
      </c>
      <c r="AC3459" t="str">
        <f t="shared" si="159"/>
        <v>ALT</v>
      </c>
      <c r="AD3459">
        <f t="shared" si="160"/>
        <v>2702</v>
      </c>
      <c r="AE3459">
        <f t="shared" si="161"/>
        <v>0</v>
      </c>
      <c r="AF3459" t="s">
        <v>8533</v>
      </c>
      <c r="AJ3459" t="s">
        <v>8534</v>
      </c>
    </row>
    <row r="3460" spans="1:36" x14ac:dyDescent="0.2">
      <c r="A3460" t="s">
        <v>7930</v>
      </c>
      <c r="B3460" t="s">
        <v>45</v>
      </c>
      <c r="D3460" t="s">
        <v>8535</v>
      </c>
      <c r="E3460" t="s">
        <v>349</v>
      </c>
      <c r="F3460" t="s">
        <v>8536</v>
      </c>
      <c r="G3460" t="s">
        <v>8309</v>
      </c>
      <c r="H3460" t="s">
        <v>8310</v>
      </c>
      <c r="I3460">
        <v>4</v>
      </c>
      <c r="K3460" t="s">
        <v>50</v>
      </c>
      <c r="L3460" t="s">
        <v>51</v>
      </c>
      <c r="M3460" t="s">
        <v>52</v>
      </c>
      <c r="S3460">
        <v>6987</v>
      </c>
      <c r="U3460">
        <v>6987</v>
      </c>
      <c r="AC3460" t="str">
        <f t="shared" si="159"/>
        <v>ALT</v>
      </c>
      <c r="AD3460">
        <f t="shared" si="160"/>
        <v>6987</v>
      </c>
      <c r="AE3460">
        <f t="shared" si="161"/>
        <v>0</v>
      </c>
      <c r="AF3460" t="s">
        <v>8537</v>
      </c>
      <c r="AJ3460" t="s">
        <v>8538</v>
      </c>
    </row>
    <row r="3461" spans="1:36" x14ac:dyDescent="0.2">
      <c r="A3461" t="s">
        <v>7930</v>
      </c>
      <c r="B3461" t="s">
        <v>45</v>
      </c>
      <c r="D3461" t="s">
        <v>8539</v>
      </c>
      <c r="E3461" t="s">
        <v>349</v>
      </c>
      <c r="F3461" t="s">
        <v>8536</v>
      </c>
      <c r="G3461" t="s">
        <v>8309</v>
      </c>
      <c r="H3461" t="s">
        <v>8310</v>
      </c>
      <c r="I3461">
        <v>4</v>
      </c>
      <c r="K3461" t="s">
        <v>50</v>
      </c>
      <c r="L3461" t="s">
        <v>51</v>
      </c>
      <c r="M3461" t="s">
        <v>52</v>
      </c>
      <c r="S3461">
        <v>94</v>
      </c>
      <c r="U3461">
        <v>94</v>
      </c>
      <c r="AC3461" t="str">
        <f t="shared" si="159"/>
        <v>ALT</v>
      </c>
      <c r="AD3461">
        <f t="shared" si="160"/>
        <v>94</v>
      </c>
      <c r="AE3461">
        <f t="shared" si="161"/>
        <v>0</v>
      </c>
      <c r="AF3461" t="s">
        <v>8540</v>
      </c>
      <c r="AJ3461" t="s">
        <v>8541</v>
      </c>
    </row>
    <row r="3462" spans="1:36" x14ac:dyDescent="0.2">
      <c r="A3462" t="s">
        <v>7930</v>
      </c>
      <c r="B3462" t="s">
        <v>45</v>
      </c>
      <c r="D3462" t="s">
        <v>8542</v>
      </c>
      <c r="E3462" t="s">
        <v>349</v>
      </c>
      <c r="F3462" t="s">
        <v>8543</v>
      </c>
      <c r="G3462" t="s">
        <v>8544</v>
      </c>
      <c r="H3462" t="s">
        <v>8329</v>
      </c>
      <c r="I3462">
        <v>4</v>
      </c>
      <c r="S3462">
        <v>6283</v>
      </c>
      <c r="U3462">
        <v>6283</v>
      </c>
      <c r="AC3462" t="str">
        <f t="shared" ref="AC3462:AC3525" si="162">IF(OR(E3462="",E3462="[PARENT]"),"ADD",IF(E3462="[ALT_VIEW]","ALT",""))</f>
        <v>ALT</v>
      </c>
      <c r="AD3462">
        <f t="shared" ref="AD3462:AD3525" si="163">IF(Y3462&lt;&gt;"",Y3462,IF(U3462&lt;&gt;"",U3462,S3462))</f>
        <v>6283</v>
      </c>
      <c r="AE3462">
        <f t="shared" ref="AE3462:AE3525" si="164">IF(AB3462&lt;&gt;"",AB3462,Z3462)</f>
        <v>0</v>
      </c>
      <c r="AF3462" t="s">
        <v>8545</v>
      </c>
      <c r="AJ3462" t="s">
        <v>8546</v>
      </c>
    </row>
    <row r="3463" spans="1:36" x14ac:dyDescent="0.2">
      <c r="A3463" t="s">
        <v>6255</v>
      </c>
      <c r="B3463" t="s">
        <v>45</v>
      </c>
      <c r="D3463" t="s">
        <v>8547</v>
      </c>
      <c r="E3463" t="s">
        <v>349</v>
      </c>
      <c r="F3463" t="s">
        <v>6382</v>
      </c>
      <c r="G3463" t="s">
        <v>8309</v>
      </c>
      <c r="H3463" t="s">
        <v>8310</v>
      </c>
      <c r="I3463">
        <v>2</v>
      </c>
      <c r="S3463">
        <v>1306538</v>
      </c>
      <c r="U3463">
        <v>1306538</v>
      </c>
      <c r="AC3463" t="str">
        <f t="shared" si="162"/>
        <v>ALT</v>
      </c>
      <c r="AD3463">
        <f t="shared" si="163"/>
        <v>1306538</v>
      </c>
      <c r="AE3463">
        <f t="shared" si="164"/>
        <v>0</v>
      </c>
      <c r="AF3463" t="s">
        <v>8548</v>
      </c>
      <c r="AJ3463" t="s">
        <v>8549</v>
      </c>
    </row>
    <row r="3464" spans="1:36" x14ac:dyDescent="0.2">
      <c r="A3464" t="s">
        <v>6255</v>
      </c>
      <c r="B3464" t="s">
        <v>45</v>
      </c>
      <c r="D3464" t="s">
        <v>8550</v>
      </c>
      <c r="E3464" t="s">
        <v>349</v>
      </c>
      <c r="F3464" t="s">
        <v>6382</v>
      </c>
      <c r="G3464" t="s">
        <v>8309</v>
      </c>
      <c r="H3464" t="s">
        <v>8310</v>
      </c>
      <c r="I3464">
        <v>2</v>
      </c>
      <c r="S3464">
        <v>1086082</v>
      </c>
      <c r="U3464">
        <v>1086082</v>
      </c>
      <c r="AC3464" t="str">
        <f t="shared" si="162"/>
        <v>ALT</v>
      </c>
      <c r="AD3464">
        <f t="shared" si="163"/>
        <v>1086082</v>
      </c>
      <c r="AE3464">
        <f t="shared" si="164"/>
        <v>0</v>
      </c>
      <c r="AF3464" t="s">
        <v>8551</v>
      </c>
      <c r="AJ3464" t="s">
        <v>8552</v>
      </c>
    </row>
    <row r="3465" spans="1:36" x14ac:dyDescent="0.2">
      <c r="A3465" t="s">
        <v>6255</v>
      </c>
      <c r="B3465" t="s">
        <v>45</v>
      </c>
      <c r="D3465" t="s">
        <v>8553</v>
      </c>
      <c r="E3465" t="s">
        <v>349</v>
      </c>
      <c r="F3465" t="s">
        <v>6278</v>
      </c>
      <c r="G3465" t="s">
        <v>8544</v>
      </c>
      <c r="H3465" t="s">
        <v>8310</v>
      </c>
      <c r="I3465">
        <v>4</v>
      </c>
      <c r="K3465" t="s">
        <v>50</v>
      </c>
      <c r="L3465" t="s">
        <v>51</v>
      </c>
      <c r="M3465" t="s">
        <v>119</v>
      </c>
      <c r="S3465">
        <v>24122</v>
      </c>
      <c r="U3465">
        <v>24122</v>
      </c>
      <c r="AC3465" t="str">
        <f t="shared" si="162"/>
        <v>ALT</v>
      </c>
      <c r="AD3465">
        <f t="shared" si="163"/>
        <v>24122</v>
      </c>
      <c r="AE3465">
        <f t="shared" si="164"/>
        <v>0</v>
      </c>
      <c r="AF3465" t="s">
        <v>8554</v>
      </c>
      <c r="AJ3465" t="s">
        <v>8555</v>
      </c>
    </row>
    <row r="3466" spans="1:36" x14ac:dyDescent="0.2">
      <c r="A3466" t="s">
        <v>6255</v>
      </c>
      <c r="B3466" t="s">
        <v>45</v>
      </c>
      <c r="D3466" t="s">
        <v>8556</v>
      </c>
      <c r="E3466" t="s">
        <v>349</v>
      </c>
      <c r="F3466" t="s">
        <v>6278</v>
      </c>
      <c r="G3466" t="s">
        <v>8544</v>
      </c>
      <c r="H3466" t="s">
        <v>8310</v>
      </c>
      <c r="I3466">
        <v>4</v>
      </c>
      <c r="K3466" t="s">
        <v>50</v>
      </c>
      <c r="L3466" t="s">
        <v>51</v>
      </c>
      <c r="M3466" t="s">
        <v>119</v>
      </c>
      <c r="S3466">
        <v>45949</v>
      </c>
      <c r="U3466">
        <v>45949</v>
      </c>
      <c r="AC3466" t="str">
        <f t="shared" si="162"/>
        <v>ALT</v>
      </c>
      <c r="AD3466">
        <f t="shared" si="163"/>
        <v>45949</v>
      </c>
      <c r="AE3466">
        <f t="shared" si="164"/>
        <v>0</v>
      </c>
      <c r="AF3466" t="s">
        <v>8557</v>
      </c>
      <c r="AJ3466" t="s">
        <v>8558</v>
      </c>
    </row>
    <row r="3467" spans="1:36" x14ac:dyDescent="0.2">
      <c r="A3467" t="s">
        <v>6255</v>
      </c>
      <c r="B3467" t="s">
        <v>45</v>
      </c>
      <c r="D3467" t="s">
        <v>8559</v>
      </c>
      <c r="E3467" t="s">
        <v>349</v>
      </c>
      <c r="F3467" t="s">
        <v>6278</v>
      </c>
      <c r="G3467" t="s">
        <v>8544</v>
      </c>
      <c r="H3467" t="s">
        <v>8310</v>
      </c>
      <c r="I3467">
        <v>4</v>
      </c>
      <c r="K3467" t="s">
        <v>50</v>
      </c>
      <c r="L3467" t="s">
        <v>51</v>
      </c>
      <c r="M3467" t="s">
        <v>119</v>
      </c>
      <c r="S3467">
        <v>2917</v>
      </c>
      <c r="U3467">
        <v>2917</v>
      </c>
      <c r="AC3467" t="str">
        <f t="shared" si="162"/>
        <v>ALT</v>
      </c>
      <c r="AD3467">
        <f t="shared" si="163"/>
        <v>2917</v>
      </c>
      <c r="AE3467">
        <f t="shared" si="164"/>
        <v>0</v>
      </c>
      <c r="AF3467" t="s">
        <v>8560</v>
      </c>
      <c r="AJ3467" t="s">
        <v>8561</v>
      </c>
    </row>
    <row r="3468" spans="1:36" x14ac:dyDescent="0.2">
      <c r="A3468" t="s">
        <v>6255</v>
      </c>
      <c r="B3468" t="s">
        <v>45</v>
      </c>
      <c r="D3468" t="s">
        <v>8562</v>
      </c>
      <c r="E3468" t="s">
        <v>349</v>
      </c>
      <c r="F3468" t="s">
        <v>6278</v>
      </c>
      <c r="G3468" t="s">
        <v>8544</v>
      </c>
      <c r="H3468" t="s">
        <v>8310</v>
      </c>
      <c r="I3468">
        <v>4</v>
      </c>
      <c r="K3468" t="s">
        <v>50</v>
      </c>
      <c r="L3468" t="s">
        <v>51</v>
      </c>
      <c r="M3468" t="s">
        <v>119</v>
      </c>
      <c r="S3468">
        <v>732</v>
      </c>
      <c r="U3468">
        <v>732</v>
      </c>
      <c r="AC3468" t="str">
        <f t="shared" si="162"/>
        <v>ALT</v>
      </c>
      <c r="AD3468">
        <f t="shared" si="163"/>
        <v>732</v>
      </c>
      <c r="AE3468">
        <f t="shared" si="164"/>
        <v>0</v>
      </c>
      <c r="AF3468" t="s">
        <v>8563</v>
      </c>
      <c r="AJ3468" t="s">
        <v>8564</v>
      </c>
    </row>
    <row r="3469" spans="1:36" x14ac:dyDescent="0.2">
      <c r="A3469" t="s">
        <v>6832</v>
      </c>
      <c r="B3469" t="s">
        <v>45</v>
      </c>
      <c r="D3469" t="s">
        <v>8565</v>
      </c>
      <c r="E3469" t="s">
        <v>349</v>
      </c>
      <c r="F3469" t="s">
        <v>6838</v>
      </c>
      <c r="G3469" t="s">
        <v>8309</v>
      </c>
      <c r="H3469" t="s">
        <v>8310</v>
      </c>
      <c r="I3469">
        <v>6</v>
      </c>
      <c r="S3469">
        <v>1590</v>
      </c>
      <c r="U3469">
        <v>1590</v>
      </c>
      <c r="AC3469" t="str">
        <f t="shared" si="162"/>
        <v>ALT</v>
      </c>
      <c r="AD3469">
        <f t="shared" si="163"/>
        <v>1590</v>
      </c>
      <c r="AE3469">
        <f t="shared" si="164"/>
        <v>0</v>
      </c>
      <c r="AF3469" t="s">
        <v>8566</v>
      </c>
      <c r="AJ3469" t="s">
        <v>8567</v>
      </c>
    </row>
    <row r="3470" spans="1:36" x14ac:dyDescent="0.2">
      <c r="A3470" t="s">
        <v>6832</v>
      </c>
      <c r="B3470" t="s">
        <v>45</v>
      </c>
      <c r="D3470" t="s">
        <v>8568</v>
      </c>
      <c r="E3470" t="s">
        <v>349</v>
      </c>
      <c r="F3470" t="s">
        <v>6838</v>
      </c>
      <c r="G3470" t="s">
        <v>8309</v>
      </c>
      <c r="H3470" t="s">
        <v>8310</v>
      </c>
      <c r="I3470">
        <v>6</v>
      </c>
      <c r="S3470">
        <v>124802</v>
      </c>
      <c r="U3470">
        <v>124802</v>
      </c>
      <c r="AC3470" t="str">
        <f t="shared" si="162"/>
        <v>ALT</v>
      </c>
      <c r="AD3470">
        <f t="shared" si="163"/>
        <v>124802</v>
      </c>
      <c r="AE3470">
        <f t="shared" si="164"/>
        <v>0</v>
      </c>
      <c r="AF3470" t="s">
        <v>8569</v>
      </c>
      <c r="AJ3470" t="s">
        <v>8570</v>
      </c>
    </row>
    <row r="3471" spans="1:36" x14ac:dyDescent="0.2">
      <c r="A3471" t="s">
        <v>6832</v>
      </c>
      <c r="B3471" t="s">
        <v>45</v>
      </c>
      <c r="D3471" t="s">
        <v>8571</v>
      </c>
      <c r="E3471" t="s">
        <v>349</v>
      </c>
      <c r="F3471" t="s">
        <v>6838</v>
      </c>
      <c r="G3471" t="s">
        <v>8309</v>
      </c>
      <c r="H3471" t="s">
        <v>8310</v>
      </c>
      <c r="I3471">
        <v>6</v>
      </c>
      <c r="S3471">
        <v>27347</v>
      </c>
      <c r="U3471">
        <v>27347</v>
      </c>
      <c r="AC3471" t="str">
        <f t="shared" si="162"/>
        <v>ALT</v>
      </c>
      <c r="AD3471">
        <f t="shared" si="163"/>
        <v>27347</v>
      </c>
      <c r="AE3471">
        <f t="shared" si="164"/>
        <v>0</v>
      </c>
      <c r="AF3471" t="s">
        <v>8572</v>
      </c>
      <c r="AJ3471" t="s">
        <v>8573</v>
      </c>
    </row>
    <row r="3472" spans="1:36" x14ac:dyDescent="0.2">
      <c r="A3472" t="s">
        <v>6832</v>
      </c>
      <c r="B3472" t="s">
        <v>45</v>
      </c>
      <c r="D3472" t="s">
        <v>8574</v>
      </c>
      <c r="E3472" t="s">
        <v>349</v>
      </c>
      <c r="F3472" t="s">
        <v>6838</v>
      </c>
      <c r="G3472" t="s">
        <v>8309</v>
      </c>
      <c r="H3472" t="s">
        <v>8310</v>
      </c>
      <c r="I3472">
        <v>6</v>
      </c>
      <c r="S3472">
        <v>18624</v>
      </c>
      <c r="U3472">
        <v>18624</v>
      </c>
      <c r="AC3472" t="str">
        <f t="shared" si="162"/>
        <v>ALT</v>
      </c>
      <c r="AD3472">
        <f t="shared" si="163"/>
        <v>18624</v>
      </c>
      <c r="AE3472">
        <f t="shared" si="164"/>
        <v>0</v>
      </c>
      <c r="AF3472" t="s">
        <v>8575</v>
      </c>
      <c r="AJ3472" t="s">
        <v>8576</v>
      </c>
    </row>
    <row r="3473" spans="1:36" x14ac:dyDescent="0.2">
      <c r="A3473" t="s">
        <v>6832</v>
      </c>
      <c r="B3473" t="s">
        <v>45</v>
      </c>
      <c r="D3473" t="s">
        <v>8577</v>
      </c>
      <c r="E3473" t="s">
        <v>349</v>
      </c>
      <c r="F3473" t="s">
        <v>6838</v>
      </c>
      <c r="G3473" t="s">
        <v>8309</v>
      </c>
      <c r="H3473" t="s">
        <v>8310</v>
      </c>
      <c r="I3473">
        <v>6</v>
      </c>
      <c r="S3473">
        <v>64766</v>
      </c>
      <c r="U3473">
        <v>64766</v>
      </c>
      <c r="AC3473" t="str">
        <f t="shared" si="162"/>
        <v>ALT</v>
      </c>
      <c r="AD3473">
        <f t="shared" si="163"/>
        <v>64766</v>
      </c>
      <c r="AE3473">
        <f t="shared" si="164"/>
        <v>0</v>
      </c>
      <c r="AF3473" t="s">
        <v>8578</v>
      </c>
      <c r="AJ3473" t="s">
        <v>6850</v>
      </c>
    </row>
    <row r="3474" spans="1:36" x14ac:dyDescent="0.2">
      <c r="A3474" t="s">
        <v>6832</v>
      </c>
      <c r="B3474" t="s">
        <v>45</v>
      </c>
      <c r="D3474" t="s">
        <v>8579</v>
      </c>
      <c r="E3474" t="s">
        <v>349</v>
      </c>
      <c r="F3474" t="s">
        <v>6838</v>
      </c>
      <c r="G3474" t="s">
        <v>8309</v>
      </c>
      <c r="H3474" t="s">
        <v>8329</v>
      </c>
      <c r="I3474">
        <v>6</v>
      </c>
      <c r="S3474">
        <v>3474</v>
      </c>
      <c r="U3474">
        <v>3474</v>
      </c>
      <c r="AC3474" t="str">
        <f t="shared" si="162"/>
        <v>ALT</v>
      </c>
      <c r="AD3474">
        <f t="shared" si="163"/>
        <v>3474</v>
      </c>
      <c r="AE3474">
        <f t="shared" si="164"/>
        <v>0</v>
      </c>
      <c r="AF3474" t="s">
        <v>8580</v>
      </c>
      <c r="AJ3474" t="s">
        <v>8581</v>
      </c>
    </row>
    <row r="3475" spans="1:36" x14ac:dyDescent="0.2">
      <c r="A3475" t="s">
        <v>6832</v>
      </c>
      <c r="B3475" t="s">
        <v>45</v>
      </c>
      <c r="D3475" t="s">
        <v>8582</v>
      </c>
      <c r="E3475" t="s">
        <v>349</v>
      </c>
      <c r="F3475" t="s">
        <v>6838</v>
      </c>
      <c r="G3475" t="s">
        <v>8309</v>
      </c>
      <c r="H3475" t="s">
        <v>8329</v>
      </c>
      <c r="I3475">
        <v>6</v>
      </c>
      <c r="S3475">
        <v>4041</v>
      </c>
      <c r="U3475">
        <v>4041</v>
      </c>
      <c r="AC3475" t="str">
        <f t="shared" si="162"/>
        <v>ALT</v>
      </c>
      <c r="AD3475">
        <f t="shared" si="163"/>
        <v>4041</v>
      </c>
      <c r="AE3475">
        <f t="shared" si="164"/>
        <v>0</v>
      </c>
      <c r="AF3475" t="s">
        <v>8583</v>
      </c>
      <c r="AJ3475" t="s">
        <v>8584</v>
      </c>
    </row>
    <row r="3476" spans="1:36" x14ac:dyDescent="0.2">
      <c r="A3476" t="s">
        <v>6832</v>
      </c>
      <c r="B3476" t="s">
        <v>45</v>
      </c>
      <c r="D3476" t="s">
        <v>8585</v>
      </c>
      <c r="E3476" t="s">
        <v>349</v>
      </c>
      <c r="F3476" t="s">
        <v>6838</v>
      </c>
      <c r="G3476" t="s">
        <v>8309</v>
      </c>
      <c r="H3476" t="s">
        <v>8329</v>
      </c>
      <c r="I3476">
        <v>6</v>
      </c>
      <c r="S3476">
        <v>2626</v>
      </c>
      <c r="U3476">
        <v>2626</v>
      </c>
      <c r="AC3476" t="str">
        <f t="shared" si="162"/>
        <v>ALT</v>
      </c>
      <c r="AD3476">
        <f t="shared" si="163"/>
        <v>2626</v>
      </c>
      <c r="AE3476">
        <f t="shared" si="164"/>
        <v>0</v>
      </c>
      <c r="AF3476" t="s">
        <v>8586</v>
      </c>
      <c r="AJ3476" t="s">
        <v>8587</v>
      </c>
    </row>
    <row r="3477" spans="1:36" x14ac:dyDescent="0.2">
      <c r="A3477" t="s">
        <v>6832</v>
      </c>
      <c r="B3477" t="s">
        <v>45</v>
      </c>
      <c r="D3477" t="s">
        <v>8588</v>
      </c>
      <c r="E3477" t="s">
        <v>349</v>
      </c>
      <c r="F3477" t="s">
        <v>6838</v>
      </c>
      <c r="G3477" t="s">
        <v>8309</v>
      </c>
      <c r="H3477" t="s">
        <v>8329</v>
      </c>
      <c r="I3477">
        <v>6</v>
      </c>
      <c r="S3477">
        <v>2638</v>
      </c>
      <c r="U3477">
        <v>2638</v>
      </c>
      <c r="AC3477" t="str">
        <f t="shared" si="162"/>
        <v>ALT</v>
      </c>
      <c r="AD3477">
        <f t="shared" si="163"/>
        <v>2638</v>
      </c>
      <c r="AE3477">
        <f t="shared" si="164"/>
        <v>0</v>
      </c>
      <c r="AF3477" t="s">
        <v>8589</v>
      </c>
      <c r="AJ3477" t="s">
        <v>8590</v>
      </c>
    </row>
    <row r="3478" spans="1:36" x14ac:dyDescent="0.2">
      <c r="A3478" t="s">
        <v>6457</v>
      </c>
      <c r="B3478" t="s">
        <v>45</v>
      </c>
      <c r="D3478" t="s">
        <v>8591</v>
      </c>
      <c r="E3478" t="s">
        <v>349</v>
      </c>
      <c r="F3478" t="s">
        <v>8592</v>
      </c>
      <c r="G3478" t="s">
        <v>8544</v>
      </c>
      <c r="H3478" t="s">
        <v>8310</v>
      </c>
      <c r="I3478">
        <v>4</v>
      </c>
      <c r="S3478">
        <v>29319</v>
      </c>
      <c r="U3478">
        <v>29319</v>
      </c>
      <c r="AC3478" t="str">
        <f t="shared" si="162"/>
        <v>ALT</v>
      </c>
      <c r="AD3478">
        <f t="shared" si="163"/>
        <v>29319</v>
      </c>
      <c r="AE3478">
        <f t="shared" si="164"/>
        <v>0</v>
      </c>
      <c r="AF3478" t="s">
        <v>8593</v>
      </c>
      <c r="AJ3478" t="s">
        <v>8594</v>
      </c>
    </row>
    <row r="3479" spans="1:36" x14ac:dyDescent="0.2">
      <c r="A3479" t="s">
        <v>6457</v>
      </c>
      <c r="B3479" t="s">
        <v>45</v>
      </c>
      <c r="D3479" t="s">
        <v>8595</v>
      </c>
      <c r="E3479" t="s">
        <v>349</v>
      </c>
      <c r="F3479" t="s">
        <v>8592</v>
      </c>
      <c r="G3479" t="s">
        <v>8544</v>
      </c>
      <c r="H3479" t="s">
        <v>8310</v>
      </c>
      <c r="I3479">
        <v>4</v>
      </c>
      <c r="S3479">
        <v>103568</v>
      </c>
      <c r="U3479">
        <v>103568</v>
      </c>
      <c r="AC3479" t="str">
        <f t="shared" si="162"/>
        <v>ALT</v>
      </c>
      <c r="AD3479">
        <f t="shared" si="163"/>
        <v>103568</v>
      </c>
      <c r="AE3479">
        <f t="shared" si="164"/>
        <v>0</v>
      </c>
      <c r="AF3479" t="s">
        <v>8596</v>
      </c>
      <c r="AJ3479" t="s">
        <v>8597</v>
      </c>
    </row>
    <row r="3480" spans="1:36" x14ac:dyDescent="0.2">
      <c r="A3480" t="s">
        <v>6457</v>
      </c>
      <c r="B3480" t="s">
        <v>45</v>
      </c>
      <c r="D3480" t="s">
        <v>8598</v>
      </c>
      <c r="E3480" t="s">
        <v>349</v>
      </c>
      <c r="F3480" t="s">
        <v>8592</v>
      </c>
      <c r="G3480" t="s">
        <v>8544</v>
      </c>
      <c r="H3480" t="s">
        <v>8310</v>
      </c>
      <c r="I3480">
        <v>4</v>
      </c>
      <c r="S3480">
        <v>162831</v>
      </c>
      <c r="U3480">
        <v>162831</v>
      </c>
      <c r="AC3480" t="str">
        <f t="shared" si="162"/>
        <v>ALT</v>
      </c>
      <c r="AD3480">
        <f t="shared" si="163"/>
        <v>162831</v>
      </c>
      <c r="AE3480">
        <f t="shared" si="164"/>
        <v>0</v>
      </c>
      <c r="AF3480" t="s">
        <v>8599</v>
      </c>
      <c r="AJ3480" t="s">
        <v>8600</v>
      </c>
    </row>
    <row r="3481" spans="1:36" x14ac:dyDescent="0.2">
      <c r="A3481" t="s">
        <v>6457</v>
      </c>
      <c r="B3481" t="s">
        <v>45</v>
      </c>
      <c r="D3481" t="s">
        <v>8601</v>
      </c>
      <c r="E3481" t="s">
        <v>349</v>
      </c>
      <c r="F3481" t="s">
        <v>8592</v>
      </c>
      <c r="G3481" t="s">
        <v>8544</v>
      </c>
      <c r="H3481" t="s">
        <v>8329</v>
      </c>
      <c r="I3481">
        <v>4</v>
      </c>
      <c r="S3481">
        <v>22264</v>
      </c>
      <c r="U3481">
        <v>22264</v>
      </c>
      <c r="AC3481" t="str">
        <f t="shared" si="162"/>
        <v>ALT</v>
      </c>
      <c r="AD3481">
        <f t="shared" si="163"/>
        <v>22264</v>
      </c>
      <c r="AE3481">
        <f t="shared" si="164"/>
        <v>0</v>
      </c>
      <c r="AF3481" t="s">
        <v>8602</v>
      </c>
      <c r="AJ3481" t="s">
        <v>8603</v>
      </c>
    </row>
    <row r="3482" spans="1:36" x14ac:dyDescent="0.2">
      <c r="A3482" t="s">
        <v>6457</v>
      </c>
      <c r="B3482" t="s">
        <v>45</v>
      </c>
      <c r="D3482" t="s">
        <v>8604</v>
      </c>
      <c r="E3482" t="s">
        <v>349</v>
      </c>
      <c r="F3482" t="s">
        <v>8592</v>
      </c>
      <c r="G3482" t="s">
        <v>8544</v>
      </c>
      <c r="H3482" t="s">
        <v>8538</v>
      </c>
      <c r="I3482">
        <v>4</v>
      </c>
      <c r="S3482">
        <v>212426</v>
      </c>
      <c r="U3482">
        <v>212426</v>
      </c>
      <c r="AC3482" t="str">
        <f t="shared" si="162"/>
        <v>ALT</v>
      </c>
      <c r="AD3482">
        <f t="shared" si="163"/>
        <v>212426</v>
      </c>
      <c r="AE3482">
        <f t="shared" si="164"/>
        <v>0</v>
      </c>
      <c r="AF3482" t="s">
        <v>8605</v>
      </c>
      <c r="AJ3482" t="s">
        <v>8538</v>
      </c>
    </row>
    <row r="3483" spans="1:36" x14ac:dyDescent="0.2">
      <c r="A3483" t="s">
        <v>6457</v>
      </c>
      <c r="B3483" t="s">
        <v>45</v>
      </c>
      <c r="D3483" t="s">
        <v>8606</v>
      </c>
      <c r="E3483" t="s">
        <v>349</v>
      </c>
      <c r="F3483" t="s">
        <v>8592</v>
      </c>
      <c r="G3483" t="s">
        <v>8544</v>
      </c>
      <c r="H3483" t="s">
        <v>8310</v>
      </c>
      <c r="I3483">
        <v>4</v>
      </c>
      <c r="S3483">
        <v>3677</v>
      </c>
      <c r="U3483">
        <v>3677</v>
      </c>
      <c r="AC3483" t="str">
        <f t="shared" si="162"/>
        <v>ALT</v>
      </c>
      <c r="AD3483">
        <f t="shared" si="163"/>
        <v>3677</v>
      </c>
      <c r="AE3483">
        <f t="shared" si="164"/>
        <v>0</v>
      </c>
      <c r="AF3483" t="s">
        <v>8607</v>
      </c>
      <c r="AJ3483" t="s">
        <v>8608</v>
      </c>
    </row>
    <row r="3484" spans="1:36" x14ac:dyDescent="0.2">
      <c r="A3484" t="s">
        <v>6457</v>
      </c>
      <c r="B3484" t="s">
        <v>45</v>
      </c>
      <c r="D3484" t="s">
        <v>8609</v>
      </c>
      <c r="E3484" t="s">
        <v>349</v>
      </c>
      <c r="F3484" t="s">
        <v>8592</v>
      </c>
      <c r="G3484" t="s">
        <v>8544</v>
      </c>
      <c r="H3484" t="s">
        <v>8329</v>
      </c>
      <c r="I3484">
        <v>4</v>
      </c>
      <c r="S3484">
        <v>239</v>
      </c>
      <c r="U3484">
        <v>239</v>
      </c>
      <c r="AC3484" t="str">
        <f t="shared" si="162"/>
        <v>ALT</v>
      </c>
      <c r="AD3484">
        <f t="shared" si="163"/>
        <v>239</v>
      </c>
      <c r="AE3484">
        <f t="shared" si="164"/>
        <v>0</v>
      </c>
      <c r="AF3484" t="s">
        <v>8610</v>
      </c>
      <c r="AJ3484" t="s">
        <v>8611</v>
      </c>
    </row>
    <row r="3485" spans="1:36" x14ac:dyDescent="0.2">
      <c r="A3485" t="s">
        <v>6457</v>
      </c>
      <c r="B3485" t="s">
        <v>45</v>
      </c>
      <c r="D3485" t="s">
        <v>8612</v>
      </c>
      <c r="E3485" t="s">
        <v>349</v>
      </c>
      <c r="F3485" t="s">
        <v>8613</v>
      </c>
      <c r="G3485" t="s">
        <v>8614</v>
      </c>
      <c r="H3485" t="s">
        <v>8310</v>
      </c>
      <c r="I3485">
        <v>4</v>
      </c>
      <c r="K3485" t="s">
        <v>50</v>
      </c>
      <c r="L3485" t="s">
        <v>51</v>
      </c>
      <c r="M3485" t="s">
        <v>52</v>
      </c>
      <c r="S3485">
        <v>70011</v>
      </c>
      <c r="U3485">
        <v>70011</v>
      </c>
      <c r="AC3485" t="str">
        <f t="shared" si="162"/>
        <v>ALT</v>
      </c>
      <c r="AD3485">
        <f t="shared" si="163"/>
        <v>70011</v>
      </c>
      <c r="AE3485">
        <f t="shared" si="164"/>
        <v>0</v>
      </c>
      <c r="AF3485" t="s">
        <v>8615</v>
      </c>
      <c r="AJ3485" t="s">
        <v>8616</v>
      </c>
    </row>
    <row r="3486" spans="1:36" x14ac:dyDescent="0.2">
      <c r="A3486" t="s">
        <v>6457</v>
      </c>
      <c r="B3486" t="s">
        <v>45</v>
      </c>
      <c r="D3486" t="s">
        <v>8617</v>
      </c>
      <c r="E3486" t="s">
        <v>349</v>
      </c>
      <c r="F3486" t="s">
        <v>8613</v>
      </c>
      <c r="G3486" t="s">
        <v>8614</v>
      </c>
      <c r="H3486" t="s">
        <v>8310</v>
      </c>
      <c r="I3486">
        <v>4</v>
      </c>
      <c r="K3486" t="s">
        <v>50</v>
      </c>
      <c r="L3486" t="s">
        <v>51</v>
      </c>
      <c r="M3486" t="s">
        <v>52</v>
      </c>
      <c r="S3486">
        <v>7461</v>
      </c>
      <c r="U3486">
        <v>7461</v>
      </c>
      <c r="AC3486" t="str">
        <f t="shared" si="162"/>
        <v>ALT</v>
      </c>
      <c r="AD3486">
        <f t="shared" si="163"/>
        <v>7461</v>
      </c>
      <c r="AE3486">
        <f t="shared" si="164"/>
        <v>0</v>
      </c>
      <c r="AF3486" t="s">
        <v>8618</v>
      </c>
      <c r="AJ3486" t="s">
        <v>8619</v>
      </c>
    </row>
    <row r="3487" spans="1:36" x14ac:dyDescent="0.2">
      <c r="A3487" t="s">
        <v>6457</v>
      </c>
      <c r="B3487" t="s">
        <v>45</v>
      </c>
      <c r="D3487" t="s">
        <v>8620</v>
      </c>
      <c r="E3487" t="s">
        <v>349</v>
      </c>
      <c r="F3487" t="s">
        <v>8613</v>
      </c>
      <c r="G3487" t="s">
        <v>8614</v>
      </c>
      <c r="H3487" t="s">
        <v>8310</v>
      </c>
      <c r="I3487">
        <v>4</v>
      </c>
      <c r="K3487" t="s">
        <v>50</v>
      </c>
      <c r="L3487" t="s">
        <v>51</v>
      </c>
      <c r="M3487" t="s">
        <v>52</v>
      </c>
      <c r="S3487">
        <v>20078</v>
      </c>
      <c r="U3487">
        <v>20078</v>
      </c>
      <c r="AC3487" t="str">
        <f t="shared" si="162"/>
        <v>ALT</v>
      </c>
      <c r="AD3487">
        <f t="shared" si="163"/>
        <v>20078</v>
      </c>
      <c r="AE3487">
        <f t="shared" si="164"/>
        <v>0</v>
      </c>
      <c r="AF3487" t="s">
        <v>8621</v>
      </c>
      <c r="AJ3487" t="s">
        <v>8622</v>
      </c>
    </row>
    <row r="3488" spans="1:36" x14ac:dyDescent="0.2">
      <c r="A3488" t="s">
        <v>6457</v>
      </c>
      <c r="B3488" t="s">
        <v>45</v>
      </c>
      <c r="D3488" t="s">
        <v>8623</v>
      </c>
      <c r="E3488" t="s">
        <v>349</v>
      </c>
      <c r="F3488" t="s">
        <v>8613</v>
      </c>
      <c r="G3488" t="s">
        <v>8614</v>
      </c>
      <c r="H3488" t="s">
        <v>8310</v>
      </c>
      <c r="I3488">
        <v>4</v>
      </c>
      <c r="K3488" t="s">
        <v>50</v>
      </c>
      <c r="L3488" t="s">
        <v>51</v>
      </c>
      <c r="M3488" t="s">
        <v>52</v>
      </c>
      <c r="S3488">
        <v>33618</v>
      </c>
      <c r="U3488">
        <v>33618</v>
      </c>
      <c r="AC3488" t="str">
        <f t="shared" si="162"/>
        <v>ALT</v>
      </c>
      <c r="AD3488">
        <f t="shared" si="163"/>
        <v>33618</v>
      </c>
      <c r="AE3488">
        <f t="shared" si="164"/>
        <v>0</v>
      </c>
      <c r="AF3488" t="s">
        <v>8624</v>
      </c>
      <c r="AJ3488" t="s">
        <v>8625</v>
      </c>
    </row>
    <row r="3489" spans="1:36" x14ac:dyDescent="0.2">
      <c r="A3489" t="s">
        <v>6457</v>
      </c>
      <c r="B3489" t="s">
        <v>45</v>
      </c>
      <c r="D3489" t="s">
        <v>8626</v>
      </c>
      <c r="E3489" t="s">
        <v>349</v>
      </c>
      <c r="F3489" t="s">
        <v>8613</v>
      </c>
      <c r="G3489" t="s">
        <v>8614</v>
      </c>
      <c r="H3489" t="s">
        <v>8310</v>
      </c>
      <c r="I3489">
        <v>4</v>
      </c>
      <c r="K3489" t="s">
        <v>50</v>
      </c>
      <c r="L3489" t="s">
        <v>51</v>
      </c>
      <c r="M3489" t="s">
        <v>52</v>
      </c>
      <c r="S3489">
        <v>8854</v>
      </c>
      <c r="U3489">
        <v>8854</v>
      </c>
      <c r="AC3489" t="str">
        <f t="shared" si="162"/>
        <v>ALT</v>
      </c>
      <c r="AD3489">
        <f t="shared" si="163"/>
        <v>8854</v>
      </c>
      <c r="AE3489">
        <f t="shared" si="164"/>
        <v>0</v>
      </c>
      <c r="AF3489" t="s">
        <v>8627</v>
      </c>
      <c r="AJ3489" t="s">
        <v>8628</v>
      </c>
    </row>
    <row r="3490" spans="1:36" x14ac:dyDescent="0.2">
      <c r="A3490" t="s">
        <v>6457</v>
      </c>
      <c r="B3490" t="s">
        <v>45</v>
      </c>
      <c r="D3490" t="s">
        <v>8629</v>
      </c>
      <c r="E3490" t="s">
        <v>349</v>
      </c>
      <c r="F3490" t="s">
        <v>8613</v>
      </c>
      <c r="G3490" t="s">
        <v>8614</v>
      </c>
      <c r="H3490" t="s">
        <v>8310</v>
      </c>
      <c r="I3490">
        <v>4</v>
      </c>
      <c r="K3490" t="s">
        <v>50</v>
      </c>
      <c r="L3490" t="s">
        <v>51</v>
      </c>
      <c r="M3490" t="s">
        <v>52</v>
      </c>
      <c r="S3490">
        <v>14593</v>
      </c>
      <c r="U3490">
        <v>14593</v>
      </c>
      <c r="AC3490" t="str">
        <f t="shared" si="162"/>
        <v>ALT</v>
      </c>
      <c r="AD3490">
        <f t="shared" si="163"/>
        <v>14593</v>
      </c>
      <c r="AE3490">
        <f t="shared" si="164"/>
        <v>0</v>
      </c>
      <c r="AF3490" t="s">
        <v>8630</v>
      </c>
      <c r="AJ3490" t="s">
        <v>8631</v>
      </c>
    </row>
    <row r="3491" spans="1:36" x14ac:dyDescent="0.2">
      <c r="A3491" t="s">
        <v>6457</v>
      </c>
      <c r="B3491" t="s">
        <v>45</v>
      </c>
      <c r="D3491" t="s">
        <v>8632</v>
      </c>
      <c r="E3491" t="s">
        <v>349</v>
      </c>
      <c r="F3491" t="s">
        <v>8613</v>
      </c>
      <c r="G3491" t="s">
        <v>8614</v>
      </c>
      <c r="H3491" t="s">
        <v>8310</v>
      </c>
      <c r="I3491">
        <v>4</v>
      </c>
      <c r="K3491" t="s">
        <v>50</v>
      </c>
      <c r="L3491" t="s">
        <v>51</v>
      </c>
      <c r="M3491" t="s">
        <v>52</v>
      </c>
      <c r="S3491">
        <v>5645</v>
      </c>
      <c r="U3491">
        <v>5645</v>
      </c>
      <c r="AC3491" t="str">
        <f t="shared" si="162"/>
        <v>ALT</v>
      </c>
      <c r="AD3491">
        <f t="shared" si="163"/>
        <v>5645</v>
      </c>
      <c r="AE3491">
        <f t="shared" si="164"/>
        <v>0</v>
      </c>
      <c r="AF3491" t="s">
        <v>8633</v>
      </c>
      <c r="AJ3491" t="s">
        <v>8634</v>
      </c>
    </row>
    <row r="3492" spans="1:36" x14ac:dyDescent="0.2">
      <c r="A3492" t="s">
        <v>6457</v>
      </c>
      <c r="B3492" t="s">
        <v>45</v>
      </c>
      <c r="D3492" t="s">
        <v>8635</v>
      </c>
      <c r="E3492" t="s">
        <v>349</v>
      </c>
      <c r="F3492" t="s">
        <v>8613</v>
      </c>
      <c r="G3492" t="s">
        <v>8614</v>
      </c>
      <c r="H3492" t="s">
        <v>8329</v>
      </c>
      <c r="I3492">
        <v>4</v>
      </c>
      <c r="K3492" t="s">
        <v>50</v>
      </c>
      <c r="L3492" t="s">
        <v>51</v>
      </c>
      <c r="M3492" t="s">
        <v>52</v>
      </c>
      <c r="S3492">
        <v>42374</v>
      </c>
      <c r="U3492">
        <v>42374</v>
      </c>
      <c r="AC3492" t="str">
        <f t="shared" si="162"/>
        <v>ALT</v>
      </c>
      <c r="AD3492">
        <f t="shared" si="163"/>
        <v>42374</v>
      </c>
      <c r="AE3492">
        <f t="shared" si="164"/>
        <v>0</v>
      </c>
      <c r="AF3492" t="s">
        <v>8636</v>
      </c>
      <c r="AJ3492" t="s">
        <v>8637</v>
      </c>
    </row>
    <row r="3493" spans="1:36" x14ac:dyDescent="0.2">
      <c r="A3493" t="s">
        <v>6457</v>
      </c>
      <c r="B3493" t="s">
        <v>45</v>
      </c>
      <c r="D3493" t="s">
        <v>8638</v>
      </c>
      <c r="E3493" t="s">
        <v>349</v>
      </c>
      <c r="F3493" t="s">
        <v>8613</v>
      </c>
      <c r="G3493" t="s">
        <v>8614</v>
      </c>
      <c r="H3493" t="s">
        <v>8310</v>
      </c>
      <c r="I3493">
        <v>4</v>
      </c>
      <c r="K3493" t="s">
        <v>50</v>
      </c>
      <c r="L3493" t="s">
        <v>51</v>
      </c>
      <c r="M3493" t="s">
        <v>52</v>
      </c>
      <c r="S3493">
        <v>74582</v>
      </c>
      <c r="U3493">
        <v>74582</v>
      </c>
      <c r="AC3493" t="str">
        <f t="shared" si="162"/>
        <v>ALT</v>
      </c>
      <c r="AD3493">
        <f t="shared" si="163"/>
        <v>74582</v>
      </c>
      <c r="AE3493">
        <f t="shared" si="164"/>
        <v>0</v>
      </c>
      <c r="AF3493" t="s">
        <v>8639</v>
      </c>
      <c r="AJ3493" t="s">
        <v>8640</v>
      </c>
    </row>
    <row r="3494" spans="1:36" x14ac:dyDescent="0.2">
      <c r="A3494" t="s">
        <v>6457</v>
      </c>
      <c r="B3494" t="s">
        <v>45</v>
      </c>
      <c r="D3494" t="s">
        <v>8641</v>
      </c>
      <c r="E3494" t="s">
        <v>349</v>
      </c>
      <c r="F3494" t="s">
        <v>8613</v>
      </c>
      <c r="G3494" t="s">
        <v>8614</v>
      </c>
      <c r="H3494" t="s">
        <v>8329</v>
      </c>
      <c r="I3494">
        <v>4</v>
      </c>
      <c r="K3494" t="s">
        <v>50</v>
      </c>
      <c r="L3494" t="s">
        <v>51</v>
      </c>
      <c r="M3494" t="s">
        <v>52</v>
      </c>
      <c r="S3494">
        <v>2920</v>
      </c>
      <c r="U3494">
        <v>2920</v>
      </c>
      <c r="AC3494" t="str">
        <f t="shared" si="162"/>
        <v>ALT</v>
      </c>
      <c r="AD3494">
        <f t="shared" si="163"/>
        <v>2920</v>
      </c>
      <c r="AE3494">
        <f t="shared" si="164"/>
        <v>0</v>
      </c>
      <c r="AF3494" t="s">
        <v>8642</v>
      </c>
      <c r="AJ3494" t="s">
        <v>8643</v>
      </c>
    </row>
    <row r="3495" spans="1:36" x14ac:dyDescent="0.2">
      <c r="A3495" t="s">
        <v>6457</v>
      </c>
      <c r="B3495" t="s">
        <v>45</v>
      </c>
      <c r="D3495" t="s">
        <v>8644</v>
      </c>
      <c r="E3495" t="s">
        <v>349</v>
      </c>
      <c r="F3495" t="s">
        <v>8645</v>
      </c>
      <c r="G3495" t="s">
        <v>8646</v>
      </c>
      <c r="H3495" t="s">
        <v>8310</v>
      </c>
      <c r="I3495">
        <v>4</v>
      </c>
      <c r="S3495">
        <v>1271</v>
      </c>
      <c r="U3495">
        <v>1271</v>
      </c>
      <c r="AC3495" t="str">
        <f t="shared" si="162"/>
        <v>ALT</v>
      </c>
      <c r="AD3495">
        <f t="shared" si="163"/>
        <v>1271</v>
      </c>
      <c r="AE3495">
        <f t="shared" si="164"/>
        <v>0</v>
      </c>
      <c r="AF3495" t="s">
        <v>8647</v>
      </c>
      <c r="AJ3495" t="s">
        <v>8648</v>
      </c>
    </row>
    <row r="3496" spans="1:36" x14ac:dyDescent="0.2">
      <c r="A3496" t="s">
        <v>6457</v>
      </c>
      <c r="B3496" t="s">
        <v>45</v>
      </c>
      <c r="D3496" t="s">
        <v>8649</v>
      </c>
      <c r="E3496" t="s">
        <v>349</v>
      </c>
      <c r="F3496" t="s">
        <v>8645</v>
      </c>
      <c r="G3496" t="s">
        <v>8646</v>
      </c>
      <c r="H3496" t="s">
        <v>8310</v>
      </c>
      <c r="I3496">
        <v>4</v>
      </c>
      <c r="S3496">
        <v>15630</v>
      </c>
      <c r="U3496">
        <v>15630</v>
      </c>
      <c r="AC3496" t="str">
        <f t="shared" si="162"/>
        <v>ALT</v>
      </c>
      <c r="AD3496">
        <f t="shared" si="163"/>
        <v>15630</v>
      </c>
      <c r="AE3496">
        <f t="shared" si="164"/>
        <v>0</v>
      </c>
      <c r="AF3496" t="s">
        <v>8650</v>
      </c>
      <c r="AJ3496" t="s">
        <v>8651</v>
      </c>
    </row>
    <row r="3497" spans="1:36" x14ac:dyDescent="0.2">
      <c r="A3497" t="s">
        <v>6457</v>
      </c>
      <c r="B3497" t="s">
        <v>45</v>
      </c>
      <c r="D3497" t="s">
        <v>8652</v>
      </c>
      <c r="E3497" t="s">
        <v>349</v>
      </c>
      <c r="F3497" t="s">
        <v>8645</v>
      </c>
      <c r="G3497" t="s">
        <v>8646</v>
      </c>
      <c r="H3497" t="s">
        <v>8310</v>
      </c>
      <c r="I3497">
        <v>4</v>
      </c>
      <c r="S3497">
        <v>1545</v>
      </c>
      <c r="U3497">
        <v>1545</v>
      </c>
      <c r="AC3497" t="str">
        <f t="shared" si="162"/>
        <v>ALT</v>
      </c>
      <c r="AD3497">
        <f t="shared" si="163"/>
        <v>1545</v>
      </c>
      <c r="AE3497">
        <f t="shared" si="164"/>
        <v>0</v>
      </c>
      <c r="AF3497" t="s">
        <v>8653</v>
      </c>
      <c r="AJ3497" t="s">
        <v>8654</v>
      </c>
    </row>
    <row r="3498" spans="1:36" x14ac:dyDescent="0.2">
      <c r="A3498" t="s">
        <v>6457</v>
      </c>
      <c r="B3498" t="s">
        <v>45</v>
      </c>
      <c r="D3498" t="s">
        <v>8655</v>
      </c>
      <c r="E3498" t="s">
        <v>349</v>
      </c>
      <c r="F3498" t="s">
        <v>8645</v>
      </c>
      <c r="G3498" t="s">
        <v>8646</v>
      </c>
      <c r="H3498" t="s">
        <v>8329</v>
      </c>
      <c r="I3498">
        <v>4</v>
      </c>
      <c r="S3498">
        <v>2934</v>
      </c>
      <c r="U3498">
        <v>2934</v>
      </c>
      <c r="AC3498" t="str">
        <f t="shared" si="162"/>
        <v>ALT</v>
      </c>
      <c r="AD3498">
        <f t="shared" si="163"/>
        <v>2934</v>
      </c>
      <c r="AE3498">
        <f t="shared" si="164"/>
        <v>0</v>
      </c>
      <c r="AF3498" t="s">
        <v>8656</v>
      </c>
      <c r="AJ3498" t="s">
        <v>8657</v>
      </c>
    </row>
    <row r="3499" spans="1:36" x14ac:dyDescent="0.2">
      <c r="A3499" t="s">
        <v>6457</v>
      </c>
      <c r="B3499" t="s">
        <v>45</v>
      </c>
      <c r="D3499" t="s">
        <v>8658</v>
      </c>
      <c r="E3499" t="s">
        <v>349</v>
      </c>
      <c r="F3499" t="s">
        <v>8645</v>
      </c>
      <c r="G3499" t="s">
        <v>8646</v>
      </c>
      <c r="H3499" t="s">
        <v>8310</v>
      </c>
      <c r="I3499">
        <v>4</v>
      </c>
      <c r="S3499">
        <v>875</v>
      </c>
      <c r="U3499">
        <v>875</v>
      </c>
      <c r="AC3499" t="str">
        <f t="shared" si="162"/>
        <v>ALT</v>
      </c>
      <c r="AD3499">
        <f t="shared" si="163"/>
        <v>875</v>
      </c>
      <c r="AE3499">
        <f t="shared" si="164"/>
        <v>0</v>
      </c>
      <c r="AF3499" t="s">
        <v>8659</v>
      </c>
      <c r="AJ3499" t="s">
        <v>8660</v>
      </c>
    </row>
    <row r="3500" spans="1:36" x14ac:dyDescent="0.2">
      <c r="A3500" t="s">
        <v>6457</v>
      </c>
      <c r="B3500" t="s">
        <v>45</v>
      </c>
      <c r="D3500" t="s">
        <v>8661</v>
      </c>
      <c r="E3500" t="s">
        <v>349</v>
      </c>
      <c r="F3500" t="s">
        <v>8645</v>
      </c>
      <c r="G3500" t="s">
        <v>8646</v>
      </c>
      <c r="H3500" t="s">
        <v>8329</v>
      </c>
      <c r="I3500">
        <v>4</v>
      </c>
      <c r="S3500">
        <v>1284</v>
      </c>
      <c r="U3500">
        <v>1284</v>
      </c>
      <c r="AC3500" t="str">
        <f t="shared" si="162"/>
        <v>ALT</v>
      </c>
      <c r="AD3500">
        <f t="shared" si="163"/>
        <v>1284</v>
      </c>
      <c r="AE3500">
        <f t="shared" si="164"/>
        <v>0</v>
      </c>
      <c r="AF3500" t="s">
        <v>8662</v>
      </c>
      <c r="AJ3500" t="s">
        <v>8663</v>
      </c>
    </row>
    <row r="3501" spans="1:36" x14ac:dyDescent="0.2">
      <c r="A3501" t="s">
        <v>6457</v>
      </c>
      <c r="B3501" t="s">
        <v>45</v>
      </c>
      <c r="D3501" t="s">
        <v>8664</v>
      </c>
      <c r="E3501" t="s">
        <v>349</v>
      </c>
      <c r="F3501" t="s">
        <v>8645</v>
      </c>
      <c r="G3501" t="s">
        <v>8646</v>
      </c>
      <c r="H3501" t="s">
        <v>8310</v>
      </c>
      <c r="I3501">
        <v>4</v>
      </c>
      <c r="S3501">
        <v>5160</v>
      </c>
      <c r="U3501">
        <v>5160</v>
      </c>
      <c r="AC3501" t="str">
        <f t="shared" si="162"/>
        <v>ALT</v>
      </c>
      <c r="AD3501">
        <f t="shared" si="163"/>
        <v>5160</v>
      </c>
      <c r="AE3501">
        <f t="shared" si="164"/>
        <v>0</v>
      </c>
      <c r="AF3501" t="s">
        <v>8665</v>
      </c>
      <c r="AJ3501" t="s">
        <v>8666</v>
      </c>
    </row>
    <row r="3502" spans="1:36" x14ac:dyDescent="0.2">
      <c r="A3502" t="s">
        <v>6457</v>
      </c>
      <c r="B3502" t="s">
        <v>45</v>
      </c>
      <c r="D3502" t="s">
        <v>8667</v>
      </c>
      <c r="E3502" t="s">
        <v>349</v>
      </c>
      <c r="F3502" t="s">
        <v>8645</v>
      </c>
      <c r="G3502" t="s">
        <v>8646</v>
      </c>
      <c r="H3502" t="s">
        <v>8310</v>
      </c>
      <c r="I3502">
        <v>4</v>
      </c>
      <c r="S3502">
        <v>849</v>
      </c>
      <c r="U3502">
        <v>849</v>
      </c>
      <c r="AC3502" t="str">
        <f t="shared" si="162"/>
        <v>ALT</v>
      </c>
      <c r="AD3502">
        <f t="shared" si="163"/>
        <v>849</v>
      </c>
      <c r="AE3502">
        <f t="shared" si="164"/>
        <v>0</v>
      </c>
      <c r="AF3502" t="s">
        <v>8668</v>
      </c>
      <c r="AJ3502" t="s">
        <v>8669</v>
      </c>
    </row>
    <row r="3503" spans="1:36" x14ac:dyDescent="0.2">
      <c r="A3503" t="s">
        <v>6457</v>
      </c>
      <c r="B3503" t="s">
        <v>45</v>
      </c>
      <c r="D3503" t="s">
        <v>8670</v>
      </c>
      <c r="E3503" t="s">
        <v>349</v>
      </c>
      <c r="F3503" t="s">
        <v>8645</v>
      </c>
      <c r="G3503" t="s">
        <v>8646</v>
      </c>
      <c r="H3503" t="s">
        <v>8310</v>
      </c>
      <c r="I3503">
        <v>4</v>
      </c>
      <c r="S3503">
        <v>8240</v>
      </c>
      <c r="U3503">
        <v>8240</v>
      </c>
      <c r="AC3503" t="str">
        <f t="shared" si="162"/>
        <v>ALT</v>
      </c>
      <c r="AD3503">
        <f t="shared" si="163"/>
        <v>8240</v>
      </c>
      <c r="AE3503">
        <f t="shared" si="164"/>
        <v>0</v>
      </c>
      <c r="AF3503" t="s">
        <v>8671</v>
      </c>
      <c r="AJ3503" t="s">
        <v>8672</v>
      </c>
    </row>
    <row r="3504" spans="1:36" x14ac:dyDescent="0.2">
      <c r="A3504" t="s">
        <v>6457</v>
      </c>
      <c r="B3504" t="s">
        <v>45</v>
      </c>
      <c r="D3504" t="s">
        <v>8673</v>
      </c>
      <c r="E3504" t="s">
        <v>349</v>
      </c>
      <c r="F3504" t="s">
        <v>8645</v>
      </c>
      <c r="G3504" t="s">
        <v>8646</v>
      </c>
      <c r="H3504" t="s">
        <v>8310</v>
      </c>
      <c r="I3504">
        <v>4</v>
      </c>
      <c r="S3504">
        <v>38676</v>
      </c>
      <c r="U3504">
        <v>38676</v>
      </c>
      <c r="AC3504" t="str">
        <f t="shared" si="162"/>
        <v>ALT</v>
      </c>
      <c r="AD3504">
        <f t="shared" si="163"/>
        <v>38676</v>
      </c>
      <c r="AE3504">
        <f t="shared" si="164"/>
        <v>0</v>
      </c>
      <c r="AF3504" t="s">
        <v>8674</v>
      </c>
      <c r="AJ3504" t="s">
        <v>8675</v>
      </c>
    </row>
    <row r="3505" spans="1:36" x14ac:dyDescent="0.2">
      <c r="A3505" t="s">
        <v>6457</v>
      </c>
      <c r="B3505" t="s">
        <v>45</v>
      </c>
      <c r="D3505" t="s">
        <v>8676</v>
      </c>
      <c r="E3505" t="s">
        <v>349</v>
      </c>
      <c r="F3505" t="s">
        <v>8645</v>
      </c>
      <c r="G3505" t="s">
        <v>8646</v>
      </c>
      <c r="H3505" t="s">
        <v>8310</v>
      </c>
      <c r="I3505">
        <v>4</v>
      </c>
      <c r="S3505">
        <v>6899</v>
      </c>
      <c r="U3505">
        <v>6899</v>
      </c>
      <c r="AC3505" t="str">
        <f t="shared" si="162"/>
        <v>ALT</v>
      </c>
      <c r="AD3505">
        <f t="shared" si="163"/>
        <v>6899</v>
      </c>
      <c r="AE3505">
        <f t="shared" si="164"/>
        <v>0</v>
      </c>
      <c r="AF3505" t="s">
        <v>8677</v>
      </c>
      <c r="AJ3505" t="s">
        <v>8678</v>
      </c>
    </row>
    <row r="3506" spans="1:36" x14ac:dyDescent="0.2">
      <c r="A3506" t="s">
        <v>6457</v>
      </c>
      <c r="B3506" t="s">
        <v>45</v>
      </c>
      <c r="D3506" t="s">
        <v>8679</v>
      </c>
      <c r="E3506" t="s">
        <v>349</v>
      </c>
      <c r="F3506" t="s">
        <v>8645</v>
      </c>
      <c r="G3506" t="s">
        <v>8646</v>
      </c>
      <c r="H3506" t="s">
        <v>8310</v>
      </c>
      <c r="I3506">
        <v>4</v>
      </c>
      <c r="S3506">
        <v>7058</v>
      </c>
      <c r="U3506">
        <v>7058</v>
      </c>
      <c r="AC3506" t="str">
        <f t="shared" si="162"/>
        <v>ALT</v>
      </c>
      <c r="AD3506">
        <f t="shared" si="163"/>
        <v>7058</v>
      </c>
      <c r="AE3506">
        <f t="shared" si="164"/>
        <v>0</v>
      </c>
      <c r="AF3506" t="s">
        <v>8680</v>
      </c>
      <c r="AJ3506" t="s">
        <v>8681</v>
      </c>
    </row>
    <row r="3507" spans="1:36" x14ac:dyDescent="0.2">
      <c r="A3507" t="s">
        <v>6457</v>
      </c>
      <c r="B3507" t="s">
        <v>45</v>
      </c>
      <c r="D3507" t="s">
        <v>8682</v>
      </c>
      <c r="E3507" t="s">
        <v>349</v>
      </c>
      <c r="F3507" t="s">
        <v>8645</v>
      </c>
      <c r="G3507" t="s">
        <v>8646</v>
      </c>
      <c r="H3507" t="s">
        <v>8310</v>
      </c>
      <c r="I3507">
        <v>4</v>
      </c>
      <c r="S3507">
        <v>12012</v>
      </c>
      <c r="U3507">
        <v>12012</v>
      </c>
      <c r="AC3507" t="str">
        <f t="shared" si="162"/>
        <v>ALT</v>
      </c>
      <c r="AD3507">
        <f t="shared" si="163"/>
        <v>12012</v>
      </c>
      <c r="AE3507">
        <f t="shared" si="164"/>
        <v>0</v>
      </c>
      <c r="AF3507" t="s">
        <v>8683</v>
      </c>
      <c r="AJ3507" t="s">
        <v>8684</v>
      </c>
    </row>
    <row r="3508" spans="1:36" x14ac:dyDescent="0.2">
      <c r="A3508" t="s">
        <v>6457</v>
      </c>
      <c r="B3508" t="s">
        <v>45</v>
      </c>
      <c r="D3508" t="s">
        <v>8685</v>
      </c>
      <c r="E3508" t="s">
        <v>349</v>
      </c>
      <c r="F3508" t="s">
        <v>8645</v>
      </c>
      <c r="G3508" t="s">
        <v>8646</v>
      </c>
      <c r="H3508" t="s">
        <v>8477</v>
      </c>
      <c r="I3508">
        <v>4</v>
      </c>
      <c r="S3508">
        <v>7767</v>
      </c>
      <c r="U3508">
        <v>7767</v>
      </c>
      <c r="AC3508" t="str">
        <f t="shared" si="162"/>
        <v>ALT</v>
      </c>
      <c r="AD3508">
        <f t="shared" si="163"/>
        <v>7767</v>
      </c>
      <c r="AE3508">
        <f t="shared" si="164"/>
        <v>0</v>
      </c>
      <c r="AF3508" t="s">
        <v>8686</v>
      </c>
      <c r="AJ3508" t="s">
        <v>8687</v>
      </c>
    </row>
    <row r="3509" spans="1:36" x14ac:dyDescent="0.2">
      <c r="A3509" t="s">
        <v>6457</v>
      </c>
      <c r="B3509" t="s">
        <v>45</v>
      </c>
      <c r="D3509" t="s">
        <v>8688</v>
      </c>
      <c r="E3509" t="s">
        <v>349</v>
      </c>
      <c r="F3509" t="s">
        <v>8689</v>
      </c>
      <c r="G3509" t="s">
        <v>8309</v>
      </c>
      <c r="H3509" t="s">
        <v>8310</v>
      </c>
      <c r="I3509">
        <v>4</v>
      </c>
      <c r="Q3509">
        <v>3421</v>
      </c>
      <c r="S3509">
        <v>3492</v>
      </c>
      <c r="U3509">
        <v>3492</v>
      </c>
      <c r="AC3509" t="str">
        <f t="shared" si="162"/>
        <v>ALT</v>
      </c>
      <c r="AD3509">
        <f t="shared" si="163"/>
        <v>3492</v>
      </c>
      <c r="AE3509">
        <f t="shared" si="164"/>
        <v>0</v>
      </c>
      <c r="AF3509" t="s">
        <v>8690</v>
      </c>
      <c r="AJ3509" t="s">
        <v>8691</v>
      </c>
    </row>
    <row r="3510" spans="1:36" x14ac:dyDescent="0.2">
      <c r="A3510" t="s">
        <v>6457</v>
      </c>
      <c r="B3510" t="s">
        <v>45</v>
      </c>
      <c r="D3510" t="s">
        <v>8692</v>
      </c>
      <c r="E3510" t="s">
        <v>349</v>
      </c>
      <c r="F3510" t="s">
        <v>8689</v>
      </c>
      <c r="G3510" t="s">
        <v>8309</v>
      </c>
      <c r="H3510" t="s">
        <v>8310</v>
      </c>
      <c r="I3510">
        <v>4</v>
      </c>
      <c r="S3510">
        <v>7144</v>
      </c>
      <c r="U3510">
        <v>7144</v>
      </c>
      <c r="AC3510" t="str">
        <f t="shared" si="162"/>
        <v>ALT</v>
      </c>
      <c r="AD3510">
        <f t="shared" si="163"/>
        <v>7144</v>
      </c>
      <c r="AE3510">
        <f t="shared" si="164"/>
        <v>0</v>
      </c>
      <c r="AF3510" t="s">
        <v>8693</v>
      </c>
      <c r="AJ3510" t="s">
        <v>8694</v>
      </c>
    </row>
    <row r="3511" spans="1:36" x14ac:dyDescent="0.2">
      <c r="A3511" t="s">
        <v>6457</v>
      </c>
      <c r="B3511" t="s">
        <v>45</v>
      </c>
      <c r="D3511" t="s">
        <v>8695</v>
      </c>
      <c r="E3511" t="s">
        <v>349</v>
      </c>
      <c r="F3511" t="s">
        <v>8689</v>
      </c>
      <c r="G3511" t="s">
        <v>8309</v>
      </c>
      <c r="H3511" t="s">
        <v>8329</v>
      </c>
      <c r="I3511">
        <v>4</v>
      </c>
      <c r="S3511">
        <v>638</v>
      </c>
      <c r="U3511">
        <v>638</v>
      </c>
      <c r="AC3511" t="str">
        <f t="shared" si="162"/>
        <v>ALT</v>
      </c>
      <c r="AD3511">
        <f t="shared" si="163"/>
        <v>638</v>
      </c>
      <c r="AE3511">
        <f t="shared" si="164"/>
        <v>0</v>
      </c>
      <c r="AF3511" t="s">
        <v>8696</v>
      </c>
      <c r="AJ3511" t="s">
        <v>8611</v>
      </c>
    </row>
    <row r="3512" spans="1:36" x14ac:dyDescent="0.2">
      <c r="A3512" t="s">
        <v>7148</v>
      </c>
      <c r="B3512" t="s">
        <v>45</v>
      </c>
      <c r="D3512" t="s">
        <v>8697</v>
      </c>
      <c r="E3512" t="s">
        <v>349</v>
      </c>
      <c r="F3512" t="s">
        <v>7363</v>
      </c>
      <c r="G3512" t="s">
        <v>8646</v>
      </c>
      <c r="H3512" t="s">
        <v>8310</v>
      </c>
      <c r="I3512">
        <v>4</v>
      </c>
      <c r="K3512" t="s">
        <v>50</v>
      </c>
      <c r="L3512" t="s">
        <v>51</v>
      </c>
      <c r="M3512" t="s">
        <v>52</v>
      </c>
      <c r="S3512">
        <v>127209</v>
      </c>
      <c r="U3512">
        <v>127209</v>
      </c>
      <c r="AC3512" t="str">
        <f t="shared" si="162"/>
        <v>ALT</v>
      </c>
      <c r="AD3512">
        <f t="shared" si="163"/>
        <v>127209</v>
      </c>
      <c r="AE3512">
        <f t="shared" si="164"/>
        <v>0</v>
      </c>
      <c r="AF3512" t="s">
        <v>8698</v>
      </c>
      <c r="AJ3512" t="s">
        <v>7439</v>
      </c>
    </row>
    <row r="3513" spans="1:36" x14ac:dyDescent="0.2">
      <c r="A3513" t="s">
        <v>7148</v>
      </c>
      <c r="B3513" t="s">
        <v>45</v>
      </c>
      <c r="D3513" t="s">
        <v>8699</v>
      </c>
      <c r="E3513" t="s">
        <v>349</v>
      </c>
      <c r="F3513" t="s">
        <v>7363</v>
      </c>
      <c r="G3513" t="s">
        <v>8646</v>
      </c>
      <c r="H3513" t="s">
        <v>8310</v>
      </c>
      <c r="I3513">
        <v>4</v>
      </c>
      <c r="K3513" t="s">
        <v>50</v>
      </c>
      <c r="L3513" t="s">
        <v>51</v>
      </c>
      <c r="M3513" t="s">
        <v>52</v>
      </c>
      <c r="S3513">
        <v>200317</v>
      </c>
      <c r="U3513">
        <v>200317</v>
      </c>
      <c r="AC3513" t="str">
        <f t="shared" si="162"/>
        <v>ALT</v>
      </c>
      <c r="AD3513">
        <f t="shared" si="163"/>
        <v>200317</v>
      </c>
      <c r="AE3513">
        <f t="shared" si="164"/>
        <v>0</v>
      </c>
      <c r="AF3513" t="s">
        <v>8700</v>
      </c>
      <c r="AJ3513" t="s">
        <v>7453</v>
      </c>
    </row>
    <row r="3514" spans="1:36" x14ac:dyDescent="0.2">
      <c r="A3514" t="s">
        <v>7148</v>
      </c>
      <c r="B3514" t="s">
        <v>45</v>
      </c>
      <c r="D3514" t="s">
        <v>8701</v>
      </c>
      <c r="E3514" t="s">
        <v>349</v>
      </c>
      <c r="F3514" t="s">
        <v>7363</v>
      </c>
      <c r="G3514" t="s">
        <v>8646</v>
      </c>
      <c r="H3514" t="s">
        <v>8310</v>
      </c>
      <c r="I3514">
        <v>4</v>
      </c>
      <c r="K3514" t="s">
        <v>50</v>
      </c>
      <c r="L3514" t="s">
        <v>51</v>
      </c>
      <c r="M3514" t="s">
        <v>52</v>
      </c>
      <c r="S3514">
        <v>32100</v>
      </c>
      <c r="U3514">
        <v>32100</v>
      </c>
      <c r="AC3514" t="str">
        <f t="shared" si="162"/>
        <v>ALT</v>
      </c>
      <c r="AD3514">
        <f t="shared" si="163"/>
        <v>32100</v>
      </c>
      <c r="AE3514">
        <f t="shared" si="164"/>
        <v>0</v>
      </c>
      <c r="AF3514" t="s">
        <v>8702</v>
      </c>
      <c r="AJ3514" t="s">
        <v>7371</v>
      </c>
    </row>
    <row r="3515" spans="1:36" x14ac:dyDescent="0.2">
      <c r="A3515" t="s">
        <v>7148</v>
      </c>
      <c r="B3515" t="s">
        <v>45</v>
      </c>
      <c r="D3515" t="s">
        <v>8703</v>
      </c>
      <c r="E3515" t="s">
        <v>349</v>
      </c>
      <c r="F3515" t="s">
        <v>7363</v>
      </c>
      <c r="G3515" t="s">
        <v>8646</v>
      </c>
      <c r="H3515" t="s">
        <v>8310</v>
      </c>
      <c r="I3515">
        <v>4</v>
      </c>
      <c r="K3515" t="s">
        <v>50</v>
      </c>
      <c r="L3515" t="s">
        <v>51</v>
      </c>
      <c r="M3515" t="s">
        <v>52</v>
      </c>
      <c r="S3515">
        <v>29356</v>
      </c>
      <c r="U3515">
        <v>29356</v>
      </c>
      <c r="AC3515" t="str">
        <f t="shared" si="162"/>
        <v>ALT</v>
      </c>
      <c r="AD3515">
        <f t="shared" si="163"/>
        <v>29356</v>
      </c>
      <c r="AE3515">
        <f t="shared" si="164"/>
        <v>0</v>
      </c>
      <c r="AF3515" t="s">
        <v>8704</v>
      </c>
      <c r="AJ3515" t="s">
        <v>7389</v>
      </c>
    </row>
    <row r="3516" spans="1:36" x14ac:dyDescent="0.2">
      <c r="A3516" t="s">
        <v>7148</v>
      </c>
      <c r="B3516" t="s">
        <v>45</v>
      </c>
      <c r="D3516" t="s">
        <v>8705</v>
      </c>
      <c r="E3516" t="s">
        <v>349</v>
      </c>
      <c r="F3516" t="s">
        <v>7363</v>
      </c>
      <c r="G3516" t="s">
        <v>8646</v>
      </c>
      <c r="H3516" t="s">
        <v>8329</v>
      </c>
      <c r="I3516">
        <v>4</v>
      </c>
      <c r="K3516" t="s">
        <v>50</v>
      </c>
      <c r="L3516" t="s">
        <v>51</v>
      </c>
      <c r="M3516" t="s">
        <v>52</v>
      </c>
      <c r="S3516">
        <v>12514</v>
      </c>
      <c r="U3516">
        <v>12514</v>
      </c>
      <c r="AC3516" t="str">
        <f t="shared" si="162"/>
        <v>ALT</v>
      </c>
      <c r="AD3516">
        <f t="shared" si="163"/>
        <v>12514</v>
      </c>
      <c r="AE3516">
        <f t="shared" si="164"/>
        <v>0</v>
      </c>
      <c r="AF3516" t="s">
        <v>8706</v>
      </c>
      <c r="AJ3516" t="s">
        <v>7370</v>
      </c>
    </row>
    <row r="3517" spans="1:36" x14ac:dyDescent="0.2">
      <c r="A3517" t="s">
        <v>7148</v>
      </c>
      <c r="B3517" t="s">
        <v>45</v>
      </c>
      <c r="D3517" t="s">
        <v>8707</v>
      </c>
      <c r="E3517" t="s">
        <v>349</v>
      </c>
      <c r="F3517" t="s">
        <v>7363</v>
      </c>
      <c r="G3517" t="s">
        <v>8646</v>
      </c>
      <c r="H3517" t="s">
        <v>8310</v>
      </c>
      <c r="I3517">
        <v>4</v>
      </c>
      <c r="K3517" t="s">
        <v>50</v>
      </c>
      <c r="L3517" t="s">
        <v>51</v>
      </c>
      <c r="M3517" t="s">
        <v>52</v>
      </c>
      <c r="S3517">
        <v>13851</v>
      </c>
      <c r="U3517">
        <v>13851</v>
      </c>
      <c r="AC3517" t="str">
        <f t="shared" si="162"/>
        <v>ALT</v>
      </c>
      <c r="AD3517">
        <f t="shared" si="163"/>
        <v>13851</v>
      </c>
      <c r="AE3517">
        <f t="shared" si="164"/>
        <v>0</v>
      </c>
      <c r="AF3517" t="s">
        <v>8708</v>
      </c>
      <c r="AJ3517" t="s">
        <v>8709</v>
      </c>
    </row>
    <row r="3518" spans="1:36" x14ac:dyDescent="0.2">
      <c r="A3518" t="s">
        <v>7148</v>
      </c>
      <c r="B3518" t="s">
        <v>45</v>
      </c>
      <c r="D3518" t="s">
        <v>8710</v>
      </c>
      <c r="E3518" t="s">
        <v>349</v>
      </c>
      <c r="F3518" t="s">
        <v>7363</v>
      </c>
      <c r="G3518" t="s">
        <v>8646</v>
      </c>
      <c r="H3518" t="s">
        <v>8310</v>
      </c>
      <c r="I3518">
        <v>4</v>
      </c>
      <c r="K3518" t="s">
        <v>50</v>
      </c>
      <c r="L3518" t="s">
        <v>51</v>
      </c>
      <c r="M3518" t="s">
        <v>52</v>
      </c>
      <c r="S3518">
        <v>12188</v>
      </c>
      <c r="U3518">
        <v>12188</v>
      </c>
      <c r="AC3518" t="str">
        <f t="shared" si="162"/>
        <v>ALT</v>
      </c>
      <c r="AD3518">
        <f t="shared" si="163"/>
        <v>12188</v>
      </c>
      <c r="AE3518">
        <f t="shared" si="164"/>
        <v>0</v>
      </c>
      <c r="AF3518" t="s">
        <v>8711</v>
      </c>
      <c r="AJ3518" t="s">
        <v>7414</v>
      </c>
    </row>
    <row r="3519" spans="1:36" x14ac:dyDescent="0.2">
      <c r="A3519" t="s">
        <v>7148</v>
      </c>
      <c r="B3519" t="s">
        <v>45</v>
      </c>
      <c r="D3519" t="s">
        <v>8712</v>
      </c>
      <c r="E3519" t="s">
        <v>349</v>
      </c>
      <c r="F3519" t="s">
        <v>7363</v>
      </c>
      <c r="G3519" t="s">
        <v>8646</v>
      </c>
      <c r="H3519" t="s">
        <v>8310</v>
      </c>
      <c r="I3519">
        <v>4</v>
      </c>
      <c r="K3519" t="s">
        <v>50</v>
      </c>
      <c r="L3519" t="s">
        <v>51</v>
      </c>
      <c r="M3519" t="s">
        <v>52</v>
      </c>
      <c r="S3519">
        <v>21442</v>
      </c>
      <c r="U3519">
        <v>21442</v>
      </c>
      <c r="AC3519" t="str">
        <f t="shared" si="162"/>
        <v>ALT</v>
      </c>
      <c r="AD3519">
        <f t="shared" si="163"/>
        <v>21442</v>
      </c>
      <c r="AE3519">
        <f t="shared" si="164"/>
        <v>0</v>
      </c>
      <c r="AF3519" t="s">
        <v>8713</v>
      </c>
      <c r="AJ3519" t="s">
        <v>7407</v>
      </c>
    </row>
    <row r="3520" spans="1:36" x14ac:dyDescent="0.2">
      <c r="A3520" t="s">
        <v>7148</v>
      </c>
      <c r="B3520" t="s">
        <v>45</v>
      </c>
      <c r="D3520" t="s">
        <v>8714</v>
      </c>
      <c r="E3520" t="s">
        <v>349</v>
      </c>
      <c r="F3520" t="s">
        <v>7363</v>
      </c>
      <c r="G3520" t="s">
        <v>8646</v>
      </c>
      <c r="H3520" t="s">
        <v>8310</v>
      </c>
      <c r="I3520">
        <v>4</v>
      </c>
      <c r="K3520" t="s">
        <v>50</v>
      </c>
      <c r="L3520" t="s">
        <v>51</v>
      </c>
      <c r="M3520" t="s">
        <v>52</v>
      </c>
      <c r="S3520">
        <v>8598</v>
      </c>
      <c r="U3520">
        <v>8598</v>
      </c>
      <c r="AC3520" t="str">
        <f t="shared" si="162"/>
        <v>ALT</v>
      </c>
      <c r="AD3520">
        <f t="shared" si="163"/>
        <v>8598</v>
      </c>
      <c r="AE3520">
        <f t="shared" si="164"/>
        <v>0</v>
      </c>
      <c r="AF3520" t="s">
        <v>8715</v>
      </c>
      <c r="AJ3520" t="s">
        <v>7362</v>
      </c>
    </row>
    <row r="3521" spans="1:36" x14ac:dyDescent="0.2">
      <c r="A3521" t="s">
        <v>7148</v>
      </c>
      <c r="B3521" t="s">
        <v>45</v>
      </c>
      <c r="D3521" t="s">
        <v>8716</v>
      </c>
      <c r="E3521" t="s">
        <v>349</v>
      </c>
      <c r="F3521" t="s">
        <v>7363</v>
      </c>
      <c r="G3521" t="s">
        <v>8646</v>
      </c>
      <c r="H3521" t="s">
        <v>8310</v>
      </c>
      <c r="I3521">
        <v>4</v>
      </c>
      <c r="K3521" t="s">
        <v>50</v>
      </c>
      <c r="L3521" t="s">
        <v>51</v>
      </c>
      <c r="M3521" t="s">
        <v>52</v>
      </c>
      <c r="S3521">
        <v>7599</v>
      </c>
      <c r="U3521">
        <v>7599</v>
      </c>
      <c r="AC3521" t="str">
        <f t="shared" si="162"/>
        <v>ALT</v>
      </c>
      <c r="AD3521">
        <f t="shared" si="163"/>
        <v>7599</v>
      </c>
      <c r="AE3521">
        <f t="shared" si="164"/>
        <v>0</v>
      </c>
      <c r="AF3521" t="s">
        <v>8717</v>
      </c>
      <c r="AJ3521" t="s">
        <v>7384</v>
      </c>
    </row>
    <row r="3522" spans="1:36" x14ac:dyDescent="0.2">
      <c r="A3522" t="s">
        <v>7148</v>
      </c>
      <c r="B3522" t="s">
        <v>45</v>
      </c>
      <c r="D3522" t="s">
        <v>8718</v>
      </c>
      <c r="E3522" t="s">
        <v>349</v>
      </c>
      <c r="F3522" t="s">
        <v>7363</v>
      </c>
      <c r="G3522" t="s">
        <v>8646</v>
      </c>
      <c r="H3522" t="s">
        <v>8310</v>
      </c>
      <c r="I3522">
        <v>4</v>
      </c>
      <c r="K3522" t="s">
        <v>50</v>
      </c>
      <c r="L3522" t="s">
        <v>51</v>
      </c>
      <c r="M3522" t="s">
        <v>52</v>
      </c>
      <c r="S3522">
        <v>8507</v>
      </c>
      <c r="U3522">
        <v>8507</v>
      </c>
      <c r="AC3522" t="str">
        <f t="shared" si="162"/>
        <v>ALT</v>
      </c>
      <c r="AD3522">
        <f t="shared" si="163"/>
        <v>8507</v>
      </c>
      <c r="AE3522">
        <f t="shared" si="164"/>
        <v>0</v>
      </c>
      <c r="AF3522" t="s">
        <v>8719</v>
      </c>
      <c r="AJ3522" t="s">
        <v>7432</v>
      </c>
    </row>
    <row r="3523" spans="1:36" x14ac:dyDescent="0.2">
      <c r="A3523" t="s">
        <v>7148</v>
      </c>
      <c r="B3523" t="s">
        <v>45</v>
      </c>
      <c r="D3523" t="s">
        <v>8720</v>
      </c>
      <c r="E3523" t="s">
        <v>349</v>
      </c>
      <c r="F3523" t="s">
        <v>7363</v>
      </c>
      <c r="G3523" t="s">
        <v>8646</v>
      </c>
      <c r="H3523" t="s">
        <v>8310</v>
      </c>
      <c r="I3523">
        <v>4</v>
      </c>
      <c r="K3523" t="s">
        <v>50</v>
      </c>
      <c r="L3523" t="s">
        <v>51</v>
      </c>
      <c r="M3523" t="s">
        <v>52</v>
      </c>
      <c r="S3523">
        <v>7938</v>
      </c>
      <c r="U3523">
        <v>7938</v>
      </c>
      <c r="AC3523" t="str">
        <f t="shared" si="162"/>
        <v>ALT</v>
      </c>
      <c r="AD3523">
        <f t="shared" si="163"/>
        <v>7938</v>
      </c>
      <c r="AE3523">
        <f t="shared" si="164"/>
        <v>0</v>
      </c>
      <c r="AF3523" t="s">
        <v>8721</v>
      </c>
      <c r="AJ3523" t="s">
        <v>7397</v>
      </c>
    </row>
    <row r="3524" spans="1:36" x14ac:dyDescent="0.2">
      <c r="A3524" t="s">
        <v>7148</v>
      </c>
      <c r="B3524" t="s">
        <v>45</v>
      </c>
      <c r="D3524" t="s">
        <v>8722</v>
      </c>
      <c r="E3524" t="s">
        <v>349</v>
      </c>
      <c r="F3524" t="s">
        <v>7363</v>
      </c>
      <c r="G3524" t="s">
        <v>8646</v>
      </c>
      <c r="H3524" t="s">
        <v>8310</v>
      </c>
      <c r="I3524">
        <v>4</v>
      </c>
      <c r="K3524" t="s">
        <v>50</v>
      </c>
      <c r="L3524" t="s">
        <v>51</v>
      </c>
      <c r="M3524" t="s">
        <v>52</v>
      </c>
      <c r="S3524">
        <v>6377</v>
      </c>
      <c r="U3524">
        <v>6377</v>
      </c>
      <c r="AC3524" t="str">
        <f t="shared" si="162"/>
        <v>ALT</v>
      </c>
      <c r="AD3524">
        <f t="shared" si="163"/>
        <v>6377</v>
      </c>
      <c r="AE3524">
        <f t="shared" si="164"/>
        <v>0</v>
      </c>
      <c r="AF3524" t="s">
        <v>8723</v>
      </c>
      <c r="AJ3524" t="s">
        <v>7425</v>
      </c>
    </row>
    <row r="3525" spans="1:36" x14ac:dyDescent="0.2">
      <c r="A3525" t="s">
        <v>7148</v>
      </c>
      <c r="B3525" t="s">
        <v>45</v>
      </c>
      <c r="D3525" t="s">
        <v>8724</v>
      </c>
      <c r="E3525" t="s">
        <v>349</v>
      </c>
      <c r="F3525" t="s">
        <v>7363</v>
      </c>
      <c r="G3525" t="s">
        <v>8646</v>
      </c>
      <c r="H3525" t="s">
        <v>8310</v>
      </c>
      <c r="I3525">
        <v>4</v>
      </c>
      <c r="K3525" t="s">
        <v>50</v>
      </c>
      <c r="L3525" t="s">
        <v>51</v>
      </c>
      <c r="M3525" t="s">
        <v>52</v>
      </c>
      <c r="S3525">
        <v>3183</v>
      </c>
      <c r="U3525">
        <v>3183</v>
      </c>
      <c r="AC3525" t="str">
        <f t="shared" si="162"/>
        <v>ALT</v>
      </c>
      <c r="AD3525">
        <f t="shared" si="163"/>
        <v>3183</v>
      </c>
      <c r="AE3525">
        <f t="shared" si="164"/>
        <v>0</v>
      </c>
      <c r="AF3525" t="s">
        <v>8725</v>
      </c>
      <c r="AJ3525" t="s">
        <v>8726</v>
      </c>
    </row>
    <row r="3526" spans="1:36" x14ac:dyDescent="0.2">
      <c r="A3526" t="s">
        <v>7148</v>
      </c>
      <c r="B3526" t="s">
        <v>45</v>
      </c>
      <c r="D3526" t="s">
        <v>8727</v>
      </c>
      <c r="E3526" t="s">
        <v>349</v>
      </c>
      <c r="F3526" t="s">
        <v>7186</v>
      </c>
      <c r="G3526" t="s">
        <v>8614</v>
      </c>
      <c r="H3526" t="s">
        <v>8310</v>
      </c>
      <c r="I3526">
        <v>4</v>
      </c>
      <c r="S3526">
        <v>187988</v>
      </c>
      <c r="U3526">
        <v>187988</v>
      </c>
      <c r="AC3526" t="str">
        <f t="shared" ref="AC3526:AC3589" si="165">IF(OR(E3526="",E3526="[PARENT]"),"ADD",IF(E3526="[ALT_VIEW]","ALT",""))</f>
        <v>ALT</v>
      </c>
      <c r="AD3526">
        <f t="shared" ref="AD3526:AD3589" si="166">IF(Y3526&lt;&gt;"",Y3526,IF(U3526&lt;&gt;"",U3526,S3526))</f>
        <v>187988</v>
      </c>
      <c r="AE3526">
        <f t="shared" ref="AE3526:AE3589" si="167">IF(AB3526&lt;&gt;"",AB3526,Z3526)</f>
        <v>0</v>
      </c>
      <c r="AF3526" t="s">
        <v>8728</v>
      </c>
      <c r="AJ3526" t="s">
        <v>7228</v>
      </c>
    </row>
    <row r="3527" spans="1:36" x14ac:dyDescent="0.2">
      <c r="A3527" t="s">
        <v>7148</v>
      </c>
      <c r="B3527" t="s">
        <v>45</v>
      </c>
      <c r="D3527" t="s">
        <v>8729</v>
      </c>
      <c r="E3527" t="s">
        <v>349</v>
      </c>
      <c r="F3527" t="s">
        <v>7186</v>
      </c>
      <c r="G3527" t="s">
        <v>8614</v>
      </c>
      <c r="H3527" t="s">
        <v>8310</v>
      </c>
      <c r="I3527">
        <v>4</v>
      </c>
      <c r="S3527">
        <v>50282</v>
      </c>
      <c r="U3527">
        <v>50282</v>
      </c>
      <c r="AC3527" t="str">
        <f t="shared" si="165"/>
        <v>ALT</v>
      </c>
      <c r="AD3527">
        <f t="shared" si="166"/>
        <v>50282</v>
      </c>
      <c r="AE3527">
        <f t="shared" si="167"/>
        <v>0</v>
      </c>
      <c r="AF3527" t="s">
        <v>8730</v>
      </c>
      <c r="AJ3527" t="s">
        <v>7185</v>
      </c>
    </row>
    <row r="3528" spans="1:36" x14ac:dyDescent="0.2">
      <c r="A3528" t="s">
        <v>7148</v>
      </c>
      <c r="B3528" t="s">
        <v>45</v>
      </c>
      <c r="D3528" t="s">
        <v>8731</v>
      </c>
      <c r="E3528" t="s">
        <v>349</v>
      </c>
      <c r="F3528" t="s">
        <v>7186</v>
      </c>
      <c r="G3528" t="s">
        <v>8614</v>
      </c>
      <c r="H3528" t="s">
        <v>8310</v>
      </c>
      <c r="I3528">
        <v>4</v>
      </c>
      <c r="S3528">
        <v>28336</v>
      </c>
      <c r="U3528">
        <v>28336</v>
      </c>
      <c r="AC3528" t="str">
        <f t="shared" si="165"/>
        <v>ALT</v>
      </c>
      <c r="AD3528">
        <f t="shared" si="166"/>
        <v>28336</v>
      </c>
      <c r="AE3528">
        <f t="shared" si="167"/>
        <v>0</v>
      </c>
      <c r="AF3528" t="s">
        <v>8732</v>
      </c>
      <c r="AJ3528" t="s">
        <v>7208</v>
      </c>
    </row>
    <row r="3529" spans="1:36" x14ac:dyDescent="0.2">
      <c r="A3529" t="s">
        <v>7148</v>
      </c>
      <c r="B3529" t="s">
        <v>45</v>
      </c>
      <c r="D3529" t="s">
        <v>8733</v>
      </c>
      <c r="E3529" t="s">
        <v>349</v>
      </c>
      <c r="F3529" t="s">
        <v>7186</v>
      </c>
      <c r="G3529" t="s">
        <v>8614</v>
      </c>
      <c r="H3529" t="s">
        <v>8310</v>
      </c>
      <c r="I3529">
        <v>4</v>
      </c>
      <c r="S3529">
        <v>27333</v>
      </c>
      <c r="U3529">
        <v>27333</v>
      </c>
      <c r="AC3529" t="str">
        <f t="shared" si="165"/>
        <v>ALT</v>
      </c>
      <c r="AD3529">
        <f t="shared" si="166"/>
        <v>27333</v>
      </c>
      <c r="AE3529">
        <f t="shared" si="167"/>
        <v>0</v>
      </c>
      <c r="AF3529" t="s">
        <v>8734</v>
      </c>
      <c r="AJ3529" t="s">
        <v>7260</v>
      </c>
    </row>
    <row r="3530" spans="1:36" x14ac:dyDescent="0.2">
      <c r="A3530" t="s">
        <v>7148</v>
      </c>
      <c r="B3530" t="s">
        <v>45</v>
      </c>
      <c r="D3530" t="s">
        <v>8735</v>
      </c>
      <c r="E3530" t="s">
        <v>349</v>
      </c>
      <c r="F3530" t="s">
        <v>7186</v>
      </c>
      <c r="G3530" t="s">
        <v>8614</v>
      </c>
      <c r="H3530" t="s">
        <v>8310</v>
      </c>
      <c r="I3530">
        <v>4</v>
      </c>
      <c r="S3530">
        <v>22415</v>
      </c>
      <c r="U3530">
        <v>22415</v>
      </c>
      <c r="AC3530" t="str">
        <f t="shared" si="165"/>
        <v>ALT</v>
      </c>
      <c r="AD3530">
        <f t="shared" si="166"/>
        <v>22415</v>
      </c>
      <c r="AE3530">
        <f t="shared" si="167"/>
        <v>0</v>
      </c>
      <c r="AF3530" t="s">
        <v>8736</v>
      </c>
      <c r="AJ3530" t="s">
        <v>7275</v>
      </c>
    </row>
    <row r="3531" spans="1:36" x14ac:dyDescent="0.2">
      <c r="A3531" t="s">
        <v>7148</v>
      </c>
      <c r="B3531" t="s">
        <v>45</v>
      </c>
      <c r="D3531" t="s">
        <v>8737</v>
      </c>
      <c r="E3531" t="s">
        <v>349</v>
      </c>
      <c r="F3531" t="s">
        <v>7186</v>
      </c>
      <c r="G3531" t="s">
        <v>8614</v>
      </c>
      <c r="H3531" t="s">
        <v>8538</v>
      </c>
      <c r="I3531">
        <v>4</v>
      </c>
      <c r="S3531">
        <v>55986</v>
      </c>
      <c r="U3531">
        <v>55986</v>
      </c>
      <c r="AC3531" t="str">
        <f t="shared" si="165"/>
        <v>ALT</v>
      </c>
      <c r="AD3531">
        <f t="shared" si="166"/>
        <v>55986</v>
      </c>
      <c r="AE3531">
        <f t="shared" si="167"/>
        <v>0</v>
      </c>
      <c r="AF3531" t="s">
        <v>8738</v>
      </c>
      <c r="AJ3531" t="s">
        <v>8739</v>
      </c>
    </row>
    <row r="3532" spans="1:36" x14ac:dyDescent="0.2">
      <c r="A3532" t="s">
        <v>7148</v>
      </c>
      <c r="B3532" t="s">
        <v>45</v>
      </c>
      <c r="D3532" t="s">
        <v>8740</v>
      </c>
      <c r="E3532" t="s">
        <v>349</v>
      </c>
      <c r="F3532" t="s">
        <v>7186</v>
      </c>
      <c r="G3532" t="s">
        <v>8614</v>
      </c>
      <c r="H3532" t="s">
        <v>8310</v>
      </c>
      <c r="I3532">
        <v>4</v>
      </c>
      <c r="S3532">
        <v>63776</v>
      </c>
      <c r="U3532">
        <v>63776</v>
      </c>
      <c r="AC3532" t="str">
        <f t="shared" si="165"/>
        <v>ALT</v>
      </c>
      <c r="AD3532">
        <f t="shared" si="166"/>
        <v>63776</v>
      </c>
      <c r="AE3532">
        <f t="shared" si="167"/>
        <v>0</v>
      </c>
      <c r="AF3532" t="s">
        <v>8741</v>
      </c>
      <c r="AJ3532" t="s">
        <v>8742</v>
      </c>
    </row>
    <row r="3533" spans="1:36" x14ac:dyDescent="0.2">
      <c r="A3533" t="s">
        <v>6457</v>
      </c>
      <c r="B3533" t="s">
        <v>45</v>
      </c>
      <c r="D3533" t="s">
        <v>8743</v>
      </c>
      <c r="E3533" t="s">
        <v>349</v>
      </c>
      <c r="F3533" t="s">
        <v>8744</v>
      </c>
      <c r="G3533" t="s">
        <v>8646</v>
      </c>
      <c r="H3533" t="s">
        <v>8310</v>
      </c>
      <c r="I3533">
        <v>4</v>
      </c>
      <c r="S3533">
        <v>37456</v>
      </c>
      <c r="U3533">
        <v>37456</v>
      </c>
      <c r="AC3533" t="str">
        <f t="shared" si="165"/>
        <v>ALT</v>
      </c>
      <c r="AD3533">
        <f t="shared" si="166"/>
        <v>37456</v>
      </c>
      <c r="AE3533">
        <f t="shared" si="167"/>
        <v>0</v>
      </c>
      <c r="AF3533" t="s">
        <v>8745</v>
      </c>
      <c r="AJ3533" t="s">
        <v>8746</v>
      </c>
    </row>
    <row r="3534" spans="1:36" x14ac:dyDescent="0.2">
      <c r="A3534" t="s">
        <v>6457</v>
      </c>
      <c r="B3534" t="s">
        <v>45</v>
      </c>
      <c r="D3534" t="s">
        <v>8747</v>
      </c>
      <c r="E3534" t="s">
        <v>349</v>
      </c>
      <c r="F3534" t="s">
        <v>8744</v>
      </c>
      <c r="G3534" t="s">
        <v>8646</v>
      </c>
      <c r="H3534" t="s">
        <v>8310</v>
      </c>
      <c r="I3534">
        <v>4</v>
      </c>
      <c r="S3534">
        <v>5127</v>
      </c>
      <c r="U3534">
        <v>5127</v>
      </c>
      <c r="AC3534" t="str">
        <f t="shared" si="165"/>
        <v>ALT</v>
      </c>
      <c r="AD3534">
        <f t="shared" si="166"/>
        <v>5127</v>
      </c>
      <c r="AE3534">
        <f t="shared" si="167"/>
        <v>0</v>
      </c>
      <c r="AF3534" t="s">
        <v>8748</v>
      </c>
      <c r="AJ3534" t="s">
        <v>8749</v>
      </c>
    </row>
    <row r="3535" spans="1:36" x14ac:dyDescent="0.2">
      <c r="A3535" t="s">
        <v>6457</v>
      </c>
      <c r="B3535" t="s">
        <v>45</v>
      </c>
      <c r="D3535" t="s">
        <v>8750</v>
      </c>
      <c r="E3535" t="s">
        <v>349</v>
      </c>
      <c r="F3535" t="s">
        <v>8744</v>
      </c>
      <c r="G3535" t="s">
        <v>8646</v>
      </c>
      <c r="H3535" t="s">
        <v>8310</v>
      </c>
      <c r="I3535">
        <v>4</v>
      </c>
      <c r="S3535">
        <v>12732</v>
      </c>
      <c r="U3535">
        <v>12732</v>
      </c>
      <c r="AC3535" t="str">
        <f t="shared" si="165"/>
        <v>ALT</v>
      </c>
      <c r="AD3535">
        <f t="shared" si="166"/>
        <v>12732</v>
      </c>
      <c r="AE3535">
        <f t="shared" si="167"/>
        <v>0</v>
      </c>
      <c r="AF3535" t="s">
        <v>8751</v>
      </c>
      <c r="AJ3535" t="s">
        <v>911</v>
      </c>
    </row>
    <row r="3536" spans="1:36" x14ac:dyDescent="0.2">
      <c r="A3536" t="s">
        <v>6457</v>
      </c>
      <c r="B3536" t="s">
        <v>45</v>
      </c>
      <c r="D3536" t="s">
        <v>8752</v>
      </c>
      <c r="E3536" t="s">
        <v>349</v>
      </c>
      <c r="F3536" t="s">
        <v>8753</v>
      </c>
      <c r="G3536" t="s">
        <v>8646</v>
      </c>
      <c r="H3536" t="s">
        <v>8310</v>
      </c>
      <c r="I3536">
        <v>4</v>
      </c>
      <c r="S3536">
        <v>8646</v>
      </c>
      <c r="U3536">
        <v>8646</v>
      </c>
      <c r="AC3536" t="str">
        <f t="shared" si="165"/>
        <v>ALT</v>
      </c>
      <c r="AD3536">
        <f t="shared" si="166"/>
        <v>8646</v>
      </c>
      <c r="AE3536">
        <f t="shared" si="167"/>
        <v>0</v>
      </c>
      <c r="AF3536" t="s">
        <v>8754</v>
      </c>
      <c r="AJ3536" t="s">
        <v>8755</v>
      </c>
    </row>
    <row r="3537" spans="1:36" x14ac:dyDescent="0.2">
      <c r="A3537" t="s">
        <v>6457</v>
      </c>
      <c r="B3537" t="s">
        <v>45</v>
      </c>
      <c r="D3537" t="s">
        <v>8756</v>
      </c>
      <c r="E3537" t="s">
        <v>349</v>
      </c>
      <c r="F3537" t="s">
        <v>8753</v>
      </c>
      <c r="G3537" t="s">
        <v>8646</v>
      </c>
      <c r="H3537" t="s">
        <v>8310</v>
      </c>
      <c r="I3537">
        <v>4</v>
      </c>
      <c r="S3537">
        <v>5302</v>
      </c>
      <c r="U3537">
        <v>5302</v>
      </c>
      <c r="AC3537" t="str">
        <f t="shared" si="165"/>
        <v>ALT</v>
      </c>
      <c r="AD3537">
        <f t="shared" si="166"/>
        <v>5302</v>
      </c>
      <c r="AE3537">
        <f t="shared" si="167"/>
        <v>0</v>
      </c>
      <c r="AF3537" t="s">
        <v>8757</v>
      </c>
      <c r="AJ3537" t="s">
        <v>8758</v>
      </c>
    </row>
    <row r="3538" spans="1:36" x14ac:dyDescent="0.2">
      <c r="A3538" t="s">
        <v>6457</v>
      </c>
      <c r="B3538" t="s">
        <v>45</v>
      </c>
      <c r="D3538" t="s">
        <v>8759</v>
      </c>
      <c r="E3538" t="s">
        <v>349</v>
      </c>
      <c r="F3538" t="s">
        <v>8753</v>
      </c>
      <c r="G3538" t="s">
        <v>8646</v>
      </c>
      <c r="H3538" t="s">
        <v>8329</v>
      </c>
      <c r="I3538">
        <v>4</v>
      </c>
      <c r="S3538">
        <v>5300</v>
      </c>
      <c r="U3538">
        <v>5300</v>
      </c>
      <c r="AC3538" t="str">
        <f t="shared" si="165"/>
        <v>ALT</v>
      </c>
      <c r="AD3538">
        <f t="shared" si="166"/>
        <v>5300</v>
      </c>
      <c r="AE3538">
        <f t="shared" si="167"/>
        <v>0</v>
      </c>
      <c r="AF3538" t="s">
        <v>8760</v>
      </c>
      <c r="AJ3538" t="s">
        <v>6991</v>
      </c>
    </row>
    <row r="3539" spans="1:36" x14ac:dyDescent="0.2">
      <c r="A3539" t="s">
        <v>6457</v>
      </c>
      <c r="B3539" t="s">
        <v>45</v>
      </c>
      <c r="D3539" t="s">
        <v>8761</v>
      </c>
      <c r="E3539" t="s">
        <v>349</v>
      </c>
      <c r="F3539" t="s">
        <v>8753</v>
      </c>
      <c r="G3539" t="s">
        <v>8646</v>
      </c>
      <c r="H3539" t="s">
        <v>8310</v>
      </c>
      <c r="I3539">
        <v>4</v>
      </c>
      <c r="S3539">
        <v>4310</v>
      </c>
      <c r="U3539">
        <v>4310</v>
      </c>
      <c r="AC3539" t="str">
        <f t="shared" si="165"/>
        <v>ALT</v>
      </c>
      <c r="AD3539">
        <f t="shared" si="166"/>
        <v>4310</v>
      </c>
      <c r="AE3539">
        <f t="shared" si="167"/>
        <v>0</v>
      </c>
      <c r="AF3539" t="s">
        <v>8762</v>
      </c>
      <c r="AJ3539" t="s">
        <v>8763</v>
      </c>
    </row>
    <row r="3540" spans="1:36" x14ac:dyDescent="0.2">
      <c r="A3540" t="s">
        <v>6255</v>
      </c>
      <c r="B3540" t="s">
        <v>45</v>
      </c>
      <c r="D3540" t="s">
        <v>8764</v>
      </c>
      <c r="E3540" t="s">
        <v>349</v>
      </c>
      <c r="F3540" t="s">
        <v>6411</v>
      </c>
      <c r="G3540" t="s">
        <v>8646</v>
      </c>
      <c r="H3540" t="s">
        <v>8310</v>
      </c>
      <c r="I3540">
        <v>1</v>
      </c>
      <c r="S3540">
        <v>9607</v>
      </c>
      <c r="U3540">
        <v>9607</v>
      </c>
      <c r="AC3540" t="str">
        <f t="shared" si="165"/>
        <v>ALT</v>
      </c>
      <c r="AD3540">
        <f t="shared" si="166"/>
        <v>9607</v>
      </c>
      <c r="AE3540">
        <f t="shared" si="167"/>
        <v>0</v>
      </c>
      <c r="AF3540" t="s">
        <v>8765</v>
      </c>
      <c r="AJ3540" t="s">
        <v>8766</v>
      </c>
    </row>
    <row r="3541" spans="1:36" x14ac:dyDescent="0.2">
      <c r="A3541" t="s">
        <v>6255</v>
      </c>
      <c r="B3541" t="s">
        <v>45</v>
      </c>
      <c r="D3541" t="s">
        <v>8767</v>
      </c>
      <c r="E3541" t="s">
        <v>349</v>
      </c>
      <c r="F3541" t="s">
        <v>6411</v>
      </c>
      <c r="G3541" t="s">
        <v>8646</v>
      </c>
      <c r="H3541" t="s">
        <v>8310</v>
      </c>
      <c r="I3541">
        <v>1</v>
      </c>
      <c r="S3541">
        <v>3892</v>
      </c>
      <c r="U3541">
        <v>3892</v>
      </c>
      <c r="AC3541" t="str">
        <f t="shared" si="165"/>
        <v>ALT</v>
      </c>
      <c r="AD3541">
        <f t="shared" si="166"/>
        <v>3892</v>
      </c>
      <c r="AE3541">
        <f t="shared" si="167"/>
        <v>0</v>
      </c>
      <c r="AF3541" t="s">
        <v>8768</v>
      </c>
      <c r="AJ3541" t="s">
        <v>8769</v>
      </c>
    </row>
    <row r="3542" spans="1:36" x14ac:dyDescent="0.2">
      <c r="A3542" t="s">
        <v>6255</v>
      </c>
      <c r="B3542" t="s">
        <v>45</v>
      </c>
      <c r="D3542" t="s">
        <v>8770</v>
      </c>
      <c r="E3542" t="s">
        <v>349</v>
      </c>
      <c r="F3542" t="s">
        <v>6411</v>
      </c>
      <c r="G3542" t="s">
        <v>8646</v>
      </c>
      <c r="H3542" t="s">
        <v>8310</v>
      </c>
      <c r="I3542">
        <v>1</v>
      </c>
      <c r="S3542">
        <v>3588</v>
      </c>
      <c r="U3542">
        <v>3588</v>
      </c>
      <c r="AC3542" t="str">
        <f t="shared" si="165"/>
        <v>ALT</v>
      </c>
      <c r="AD3542">
        <f t="shared" si="166"/>
        <v>3588</v>
      </c>
      <c r="AE3542">
        <f t="shared" si="167"/>
        <v>0</v>
      </c>
      <c r="AF3542" t="s">
        <v>8771</v>
      </c>
      <c r="AJ3542" t="s">
        <v>8772</v>
      </c>
    </row>
    <row r="3543" spans="1:36" x14ac:dyDescent="0.2">
      <c r="A3543" t="s">
        <v>6255</v>
      </c>
      <c r="B3543" t="s">
        <v>45</v>
      </c>
      <c r="D3543" t="s">
        <v>8773</v>
      </c>
      <c r="E3543" t="s">
        <v>349</v>
      </c>
      <c r="F3543" t="s">
        <v>6411</v>
      </c>
      <c r="G3543" t="s">
        <v>8646</v>
      </c>
      <c r="H3543" t="s">
        <v>8310</v>
      </c>
      <c r="I3543">
        <v>1</v>
      </c>
      <c r="S3543">
        <v>7956</v>
      </c>
      <c r="U3543">
        <v>7956</v>
      </c>
      <c r="AC3543" t="str">
        <f t="shared" si="165"/>
        <v>ALT</v>
      </c>
      <c r="AD3543">
        <f t="shared" si="166"/>
        <v>7956</v>
      </c>
      <c r="AE3543">
        <f t="shared" si="167"/>
        <v>0</v>
      </c>
      <c r="AF3543" t="s">
        <v>8774</v>
      </c>
      <c r="AJ3543" t="s">
        <v>8775</v>
      </c>
    </row>
    <row r="3544" spans="1:36" x14ac:dyDescent="0.2">
      <c r="A3544" t="s">
        <v>6255</v>
      </c>
      <c r="B3544" t="s">
        <v>45</v>
      </c>
      <c r="D3544" t="s">
        <v>8776</v>
      </c>
      <c r="E3544" t="s">
        <v>349</v>
      </c>
      <c r="F3544" t="s">
        <v>6411</v>
      </c>
      <c r="G3544" t="s">
        <v>8646</v>
      </c>
      <c r="H3544" t="s">
        <v>8310</v>
      </c>
      <c r="I3544">
        <v>1</v>
      </c>
      <c r="S3544">
        <v>4053</v>
      </c>
      <c r="U3544">
        <v>4053</v>
      </c>
      <c r="AC3544" t="str">
        <f t="shared" si="165"/>
        <v>ALT</v>
      </c>
      <c r="AD3544">
        <f t="shared" si="166"/>
        <v>4053</v>
      </c>
      <c r="AE3544">
        <f t="shared" si="167"/>
        <v>0</v>
      </c>
      <c r="AF3544" t="s">
        <v>8777</v>
      </c>
      <c r="AJ3544" t="s">
        <v>8778</v>
      </c>
    </row>
    <row r="3545" spans="1:36" x14ac:dyDescent="0.2">
      <c r="A3545" t="s">
        <v>6255</v>
      </c>
      <c r="B3545" t="s">
        <v>45</v>
      </c>
      <c r="D3545" t="s">
        <v>8779</v>
      </c>
      <c r="E3545" t="s">
        <v>349</v>
      </c>
      <c r="F3545" t="s">
        <v>6411</v>
      </c>
      <c r="G3545" t="s">
        <v>8646</v>
      </c>
      <c r="H3545" t="s">
        <v>8310</v>
      </c>
      <c r="I3545">
        <v>1</v>
      </c>
      <c r="S3545">
        <v>3224</v>
      </c>
      <c r="U3545">
        <v>3224</v>
      </c>
      <c r="AC3545" t="str">
        <f t="shared" si="165"/>
        <v>ALT</v>
      </c>
      <c r="AD3545">
        <f t="shared" si="166"/>
        <v>3224</v>
      </c>
      <c r="AE3545">
        <f t="shared" si="167"/>
        <v>0</v>
      </c>
      <c r="AF3545" t="s">
        <v>8780</v>
      </c>
      <c r="AJ3545" t="s">
        <v>8781</v>
      </c>
    </row>
    <row r="3546" spans="1:36" x14ac:dyDescent="0.2">
      <c r="A3546" t="s">
        <v>6255</v>
      </c>
      <c r="B3546" t="s">
        <v>45</v>
      </c>
      <c r="D3546" t="s">
        <v>8782</v>
      </c>
      <c r="E3546" t="s">
        <v>349</v>
      </c>
      <c r="F3546" t="s">
        <v>6411</v>
      </c>
      <c r="G3546" t="s">
        <v>8646</v>
      </c>
      <c r="H3546" t="s">
        <v>8310</v>
      </c>
      <c r="I3546">
        <v>1</v>
      </c>
      <c r="S3546">
        <v>4500</v>
      </c>
      <c r="U3546">
        <v>4500</v>
      </c>
      <c r="AC3546" t="str">
        <f t="shared" si="165"/>
        <v>ALT</v>
      </c>
      <c r="AD3546">
        <f t="shared" si="166"/>
        <v>4500</v>
      </c>
      <c r="AE3546">
        <f t="shared" si="167"/>
        <v>0</v>
      </c>
      <c r="AF3546" t="s">
        <v>8783</v>
      </c>
      <c r="AJ3546" t="s">
        <v>8784</v>
      </c>
    </row>
    <row r="3547" spans="1:36" x14ac:dyDescent="0.2">
      <c r="A3547" t="s">
        <v>6255</v>
      </c>
      <c r="B3547" t="s">
        <v>45</v>
      </c>
      <c r="D3547" t="s">
        <v>8785</v>
      </c>
      <c r="E3547" t="s">
        <v>349</v>
      </c>
      <c r="F3547" t="s">
        <v>6411</v>
      </c>
      <c r="G3547" t="s">
        <v>8646</v>
      </c>
      <c r="H3547" t="s">
        <v>8310</v>
      </c>
      <c r="I3547">
        <v>1</v>
      </c>
      <c r="S3547">
        <v>2231</v>
      </c>
      <c r="U3547">
        <v>2231</v>
      </c>
      <c r="AC3547" t="str">
        <f t="shared" si="165"/>
        <v>ALT</v>
      </c>
      <c r="AD3547">
        <f t="shared" si="166"/>
        <v>2231</v>
      </c>
      <c r="AE3547">
        <f t="shared" si="167"/>
        <v>0</v>
      </c>
      <c r="AF3547" t="s">
        <v>8786</v>
      </c>
      <c r="AJ3547" t="s">
        <v>8787</v>
      </c>
    </row>
    <row r="3548" spans="1:36" x14ac:dyDescent="0.2">
      <c r="A3548" t="s">
        <v>6255</v>
      </c>
      <c r="B3548" t="s">
        <v>45</v>
      </c>
      <c r="D3548" t="s">
        <v>8788</v>
      </c>
      <c r="E3548" t="s">
        <v>349</v>
      </c>
      <c r="F3548" t="s">
        <v>6411</v>
      </c>
      <c r="G3548" t="s">
        <v>8646</v>
      </c>
      <c r="H3548" t="s">
        <v>8310</v>
      </c>
      <c r="I3548">
        <v>1</v>
      </c>
      <c r="S3548">
        <v>2000</v>
      </c>
      <c r="U3548">
        <v>2000</v>
      </c>
      <c r="AC3548" t="str">
        <f t="shared" si="165"/>
        <v>ALT</v>
      </c>
      <c r="AD3548">
        <f t="shared" si="166"/>
        <v>2000</v>
      </c>
      <c r="AE3548">
        <f t="shared" si="167"/>
        <v>0</v>
      </c>
      <c r="AF3548" t="s">
        <v>8789</v>
      </c>
      <c r="AJ3548" t="s">
        <v>8790</v>
      </c>
    </row>
    <row r="3549" spans="1:36" x14ac:dyDescent="0.2">
      <c r="A3549" t="s">
        <v>6255</v>
      </c>
      <c r="B3549" t="s">
        <v>45</v>
      </c>
      <c r="D3549" t="s">
        <v>8791</v>
      </c>
      <c r="E3549" t="s">
        <v>349</v>
      </c>
      <c r="F3549" t="s">
        <v>8792</v>
      </c>
      <c r="G3549" t="s">
        <v>8614</v>
      </c>
      <c r="H3549" t="s">
        <v>8310</v>
      </c>
      <c r="I3549">
        <v>4</v>
      </c>
      <c r="K3549" t="s">
        <v>50</v>
      </c>
      <c r="L3549" t="s">
        <v>51</v>
      </c>
      <c r="M3549" t="s">
        <v>52</v>
      </c>
      <c r="S3549">
        <v>5829</v>
      </c>
      <c r="U3549">
        <v>5829</v>
      </c>
      <c r="AC3549" t="str">
        <f t="shared" si="165"/>
        <v>ALT</v>
      </c>
      <c r="AD3549">
        <f t="shared" si="166"/>
        <v>5829</v>
      </c>
      <c r="AE3549">
        <f t="shared" si="167"/>
        <v>0</v>
      </c>
      <c r="AF3549" t="s">
        <v>8793</v>
      </c>
      <c r="AJ3549" t="s">
        <v>8794</v>
      </c>
    </row>
    <row r="3550" spans="1:36" x14ac:dyDescent="0.2">
      <c r="AC3550" t="str">
        <f t="shared" si="165"/>
        <v>ADD</v>
      </c>
      <c r="AD3550">
        <f t="shared" si="166"/>
        <v>0</v>
      </c>
      <c r="AE3550">
        <f t="shared" si="167"/>
        <v>0</v>
      </c>
    </row>
    <row r="3551" spans="1:36" x14ac:dyDescent="0.2">
      <c r="AC3551" t="str">
        <f t="shared" si="165"/>
        <v>ADD</v>
      </c>
      <c r="AD3551">
        <f t="shared" si="166"/>
        <v>0</v>
      </c>
      <c r="AE3551">
        <f t="shared" si="167"/>
        <v>0</v>
      </c>
    </row>
    <row r="3552" spans="1:36"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8795</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8797</v>
      </c>
    </row>
    <row r="3" spans="1:3" ht="10" customHeight="1" x14ac:dyDescent="0.2"/>
    <row r="4" spans="1:3" ht="10" customHeight="1" x14ac:dyDescent="0.2">
      <c r="A4" s="6" t="s">
        <v>8798</v>
      </c>
      <c r="B4" s="7"/>
    </row>
    <row r="5" spans="1:3" ht="10" customHeight="1" x14ac:dyDescent="0.2">
      <c r="A5" s="15" t="s">
        <v>8799</v>
      </c>
      <c r="B5" s="15" t="s">
        <v>8800</v>
      </c>
    </row>
    <row r="6" spans="1:3" ht="10" customHeight="1" x14ac:dyDescent="0.2">
      <c r="A6" s="16" t="s">
        <v>8801</v>
      </c>
      <c r="B6" s="17">
        <f>SUMIFS(JB_26BV,JB_B,1,JB_RC,"ADD")</f>
        <v>47722864</v>
      </c>
    </row>
    <row r="7" spans="1:3" ht="10" customHeight="1" x14ac:dyDescent="0.2">
      <c r="A7" s="16" t="s">
        <v>8802</v>
      </c>
      <c r="B7" s="17">
        <f>SUMIFS(JB_26BV,JB_B,2,JB_RC,"ADD")</f>
        <v>55009111</v>
      </c>
    </row>
    <row r="8" spans="1:3" ht="10" customHeight="1" x14ac:dyDescent="0.2">
      <c r="A8" s="16" t="s">
        <v>8803</v>
      </c>
      <c r="B8" s="17">
        <f>SUMIFS(JB_26BV,JB_B,3,JB_RC,"ADD")</f>
        <v>2239730</v>
      </c>
    </row>
    <row r="9" spans="1:3" ht="10" customHeight="1" x14ac:dyDescent="0.2">
      <c r="A9" s="16" t="s">
        <v>8804</v>
      </c>
      <c r="B9" s="17">
        <f>SUMIFS(JB_26BV,JB_B,4,JB_RC,"ADD")</f>
        <v>21482761</v>
      </c>
    </row>
    <row r="10" spans="1:3" ht="10" customHeight="1" x14ac:dyDescent="0.2">
      <c r="A10" s="16" t="s">
        <v>8805</v>
      </c>
      <c r="B10" s="17">
        <f>SUMIFS(JB_26BV,JB_B,5,JB_RC,"ADD")</f>
        <v>1787677</v>
      </c>
    </row>
    <row r="11" spans="1:3" ht="10" customHeight="1" x14ac:dyDescent="0.2">
      <c r="A11" s="16" t="s">
        <v>8806</v>
      </c>
      <c r="B11" s="17">
        <f>SUMIFS(JB_26BV,JB_B,6,JB_RC,"ADD")</f>
        <v>95431505</v>
      </c>
    </row>
    <row r="12" spans="1:3" ht="10" customHeight="1" x14ac:dyDescent="0.2">
      <c r="A12" s="16" t="s">
        <v>8807</v>
      </c>
      <c r="B12" s="17">
        <f>SUMIFS(JB_26BV,JB_B,7,JB_RC,"ADD")</f>
        <v>9664371</v>
      </c>
    </row>
    <row r="13" spans="1:3" ht="10" customHeight="1" x14ac:dyDescent="0.2">
      <c r="A13" s="23" t="s">
        <v>8808</v>
      </c>
      <c r="B13" s="24">
        <f>SUM(B6:B12)</f>
        <v>233338019</v>
      </c>
    </row>
    <row r="14" spans="1:3" ht="10" customHeight="1" x14ac:dyDescent="0.2"/>
    <row r="15" spans="1:3" ht="10" customHeight="1" x14ac:dyDescent="0.2"/>
    <row r="16" spans="1:3" ht="10" customHeight="1" x14ac:dyDescent="0.2">
      <c r="A16" s="6" t="s">
        <v>8809</v>
      </c>
      <c r="B16" s="7"/>
      <c r="C16" s="7"/>
    </row>
    <row r="17" spans="1:3" ht="10" customHeight="1" x14ac:dyDescent="0.2">
      <c r="A17" s="15" t="s">
        <v>8810</v>
      </c>
      <c r="B17" s="15" t="s">
        <v>8800</v>
      </c>
      <c r="C17" s="15" t="s">
        <v>8811</v>
      </c>
    </row>
    <row r="18" spans="1:3" ht="10" customHeight="1" x14ac:dyDescent="0.2">
      <c r="A18" s="16" t="s">
        <v>51</v>
      </c>
      <c r="B18" s="17">
        <f>SUMIFS(JB_26BV,JB_V,"Combatant Ships",JB_RC,"ADD")</f>
        <v>62392258</v>
      </c>
      <c r="C18" s="22" t="s">
        <v>8812</v>
      </c>
    </row>
    <row r="19" spans="1:3" ht="10" customHeight="1" x14ac:dyDescent="0.2">
      <c r="A19" s="16" t="s">
        <v>232</v>
      </c>
      <c r="B19" s="17">
        <f>SUMIFS(JB_26BV,JB_V,"Auxiliary Ships",JB_RC,"ADD")</f>
        <v>890000</v>
      </c>
      <c r="C19" s="22" t="s">
        <v>8812</v>
      </c>
    </row>
    <row r="20" spans="1:3" ht="10" customHeight="1" x14ac:dyDescent="0.2">
      <c r="A20" s="16" t="s">
        <v>6806</v>
      </c>
      <c r="B20" s="17">
        <f>SUMIFS(JB_26BV,JB_V,"Cutters",JB_RC,"ADD")</f>
        <v>1287400</v>
      </c>
      <c r="C20" s="22" t="s">
        <v>8812</v>
      </c>
    </row>
    <row r="21" spans="1:3" ht="10" customHeight="1" x14ac:dyDescent="0.2">
      <c r="A21" s="16" t="s">
        <v>4675</v>
      </c>
      <c r="B21" s="17">
        <f>SUMIFS(JB_26BV,JB_V,"Unmanned Maritime Platforms",JB_RC,"ADD")</f>
        <v>1534948</v>
      </c>
      <c r="C21" s="22" t="s">
        <v>8812</v>
      </c>
    </row>
    <row r="22" spans="1:3" ht="10" customHeight="1" x14ac:dyDescent="0.2">
      <c r="A22" s="16" t="s">
        <v>239</v>
      </c>
      <c r="B22" s="17">
        <f>SUMIFS(JB_26BV,JB_V,"Combatant Crafts",JB_RC,"ADD")</f>
        <v>921390</v>
      </c>
      <c r="C22" s="22" t="s">
        <v>8813</v>
      </c>
    </row>
    <row r="23" spans="1:3" ht="10" customHeight="1" x14ac:dyDescent="0.2">
      <c r="A23" s="16" t="s">
        <v>304</v>
      </c>
      <c r="B23" s="17">
        <f>SUMIFS(JB_26BV,JB_V,"Support Crafts",JB_RC,"ADD")</f>
        <v>79000</v>
      </c>
      <c r="C23" s="22" t="s">
        <v>8814</v>
      </c>
    </row>
    <row r="24" spans="1:3" ht="10" customHeight="1" x14ac:dyDescent="0.2">
      <c r="A24" s="16" t="s">
        <v>8192</v>
      </c>
      <c r="B24" s="17">
        <f>SUMIFS(JB_26BV,JB_V,"Boats",JB_RC,"ADD")</f>
        <v>0</v>
      </c>
      <c r="C24" s="22" t="s">
        <v>8815</v>
      </c>
    </row>
    <row r="25" spans="1:3" ht="10" customHeight="1" x14ac:dyDescent="0.2">
      <c r="A25" s="16" t="s">
        <v>8816</v>
      </c>
      <c r="B25" s="17">
        <f>SUMIFS(JB_26BV,JB_V,"",JB_RC,"ADD")</f>
        <v>166233023</v>
      </c>
      <c r="C25" s="22" t="s">
        <v>8817</v>
      </c>
    </row>
    <row r="26" spans="1:3" ht="10" customHeight="1" x14ac:dyDescent="0.2">
      <c r="A26" s="23" t="s">
        <v>8808</v>
      </c>
      <c r="B26" s="24">
        <f>SUM(B18:B25)</f>
        <v>233338019</v>
      </c>
      <c r="C26" s="25"/>
    </row>
    <row r="27" spans="1:3" ht="10" customHeight="1" x14ac:dyDescent="0.2">
      <c r="A27" s="26" t="s">
        <v>8818</v>
      </c>
      <c r="B27" s="27">
        <f>B18+B19+B20+B21</f>
        <v>66104606</v>
      </c>
    </row>
    <row r="28" spans="1:3" ht="10" customHeight="1" x14ac:dyDescent="0.2"/>
    <row r="29" spans="1:3" ht="10" customHeight="1" x14ac:dyDescent="0.2"/>
    <row r="30" spans="1:3" ht="10" customHeight="1" x14ac:dyDescent="0.2">
      <c r="A30" s="6" t="s">
        <v>8819</v>
      </c>
      <c r="B30" s="7"/>
    </row>
    <row r="31" spans="1:3" ht="10" customHeight="1" x14ac:dyDescent="0.2">
      <c r="A31" s="15" t="s">
        <v>8</v>
      </c>
      <c r="B31" s="15" t="s">
        <v>8800</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8808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U88"/>
  <sheetViews>
    <sheetView showGridLines="0" workbookViewId="0"/>
  </sheetViews>
  <sheetFormatPr baseColWidth="10" defaultColWidth="8.83203125" defaultRowHeight="15" x14ac:dyDescent="0.2"/>
  <cols>
    <col min="1" max="1" width="30" customWidth="1"/>
    <col min="2" max="20" width="12" customWidth="1"/>
  </cols>
  <sheetData>
    <row r="1" spans="1:21" ht="10" customHeight="1" x14ac:dyDescent="0.2">
      <c r="A1" s="20" t="s">
        <v>8820</v>
      </c>
      <c r="B1" s="21"/>
      <c r="C1" s="21"/>
      <c r="D1" s="21"/>
      <c r="E1" s="21"/>
      <c r="F1" s="21"/>
      <c r="G1" s="21"/>
      <c r="H1" s="21"/>
      <c r="I1" s="21"/>
      <c r="J1" s="21"/>
      <c r="K1" s="21"/>
      <c r="L1" s="21"/>
      <c r="M1" s="21"/>
      <c r="N1" s="21"/>
      <c r="O1" s="21"/>
      <c r="P1" s="21"/>
      <c r="Q1" s="21"/>
      <c r="R1" s="21"/>
      <c r="S1" s="21"/>
      <c r="T1" s="21"/>
      <c r="U1" s="21"/>
    </row>
    <row r="2" spans="1:21" ht="10" customHeight="1" x14ac:dyDescent="0.2">
      <c r="A2" s="22" t="s">
        <v>8821</v>
      </c>
    </row>
    <row r="3" spans="1:21" ht="10" customHeight="1" x14ac:dyDescent="0.2"/>
    <row r="4" spans="1:21" ht="10" customHeight="1" x14ac:dyDescent="0.2">
      <c r="A4" s="6" t="s">
        <v>8822</v>
      </c>
      <c r="B4" s="7"/>
    </row>
    <row r="5" spans="1:21" ht="10" customHeight="1" x14ac:dyDescent="0.2">
      <c r="A5" s="16" t="s">
        <v>8823</v>
      </c>
      <c r="B5" s="17">
        <f>SUMIFS(JB_26BV,JB_B,1,JB_RC,"ADD")</f>
        <v>47722864</v>
      </c>
    </row>
    <row r="6" spans="1:21" ht="10" customHeight="1" x14ac:dyDescent="0.2">
      <c r="A6" s="16" t="s">
        <v>8824</v>
      </c>
      <c r="B6" s="17">
        <f>-SUMIFS(JB_26BV,JB_B,1,JB_V,"",JB_RC,"ADD")</f>
        <v>-5306951</v>
      </c>
    </row>
    <row r="7" spans="1:21" ht="10" customHeight="1" x14ac:dyDescent="0.2">
      <c r="A7" s="16" t="s">
        <v>8825</v>
      </c>
      <c r="B7" s="17">
        <f>-SUMIFS(JB_26BV,JB_B,1,JB_V,"Combatant Crafts",JB_RC,"ADD")</f>
        <v>-854095</v>
      </c>
    </row>
    <row r="8" spans="1:21" ht="10" customHeight="1" x14ac:dyDescent="0.2">
      <c r="A8" s="16" t="s">
        <v>8826</v>
      </c>
      <c r="B8" s="17">
        <f>-SUMIFS(JB_26BV,JB_B,1,JB_V,"Support Crafts",JB_RC,"ADD")</f>
        <v>-79000</v>
      </c>
    </row>
    <row r="9" spans="1:21" ht="10" customHeight="1" x14ac:dyDescent="0.2">
      <c r="A9" s="16" t="s">
        <v>8827</v>
      </c>
      <c r="B9" s="17">
        <f>-SUMIFS(JB_26BV,JB_B,1,JB_V,"Boats",JB_RC,"ADD")</f>
        <v>0</v>
      </c>
    </row>
    <row r="10" spans="1:21" ht="10" customHeight="1" x14ac:dyDescent="0.2">
      <c r="A10" s="16" t="s">
        <v>8828</v>
      </c>
      <c r="B10" s="17">
        <f>-(SUMIFS(JB_26BV,JB_B,1,JB_V,"Auxiliary Ships",JB_W,"",JB_RC,"ADD")+SUMIFS(JB_26BV,JB_B,1,JB_V,"Combatant Ships",JB_W,"",JB_RC,"ADD")+SUMIFS(JB_26BV,JB_B,1,JB_V,"Cutters",JB_W,"",JB_RC,"ADD")+SUMIFS(JB_26BV,JB_B,1,JB_V,"Unmanned Maritime Platforms",JB_W,"",JB_RC,"ADD"))</f>
        <v>0</v>
      </c>
    </row>
    <row r="11" spans="1:21" ht="10" customHeight="1" x14ac:dyDescent="0.2">
      <c r="A11" s="23" t="s">
        <v>8829</v>
      </c>
      <c r="B11" s="24">
        <f>SUM(B5:B10)</f>
        <v>41482818</v>
      </c>
    </row>
    <row r="12" spans="1:21" ht="10" customHeight="1" x14ac:dyDescent="0.2"/>
    <row r="13" spans="1:21" ht="10" customHeight="1" x14ac:dyDescent="0.2"/>
    <row r="14" spans="1:21" ht="10" customHeight="1" x14ac:dyDescent="0.2">
      <c r="A14" s="6" t="s">
        <v>8830</v>
      </c>
      <c r="B14" s="7"/>
      <c r="C14" s="7"/>
      <c r="D14" s="7"/>
    </row>
    <row r="15" spans="1:21" ht="10" customHeight="1" x14ac:dyDescent="0.2">
      <c r="A15" s="15" t="s">
        <v>20</v>
      </c>
      <c r="B15" s="15" t="s">
        <v>8831</v>
      </c>
      <c r="C15" s="15" t="s">
        <v>8800</v>
      </c>
      <c r="D15" s="15" t="s">
        <v>8832</v>
      </c>
    </row>
    <row r="16" spans="1:21" ht="10" customHeight="1" x14ac:dyDescent="0.2">
      <c r="A16" s="16" t="s">
        <v>52</v>
      </c>
      <c r="B16" s="16" t="s">
        <v>50</v>
      </c>
      <c r="C16" s="17">
        <f>SUMIFS(JB_26BV,JB_B,1,JB_W,"Submarines",JB_RC,"ADD")</f>
        <v>19940315</v>
      </c>
      <c r="D16" s="28">
        <f t="shared" ref="D16:D43" si="0">IFERROR(C16/C$44,0)</f>
        <v>0.48068853470851475</v>
      </c>
    </row>
    <row r="17" spans="1:4" ht="10" customHeight="1" x14ac:dyDescent="0.2">
      <c r="A17" s="16" t="s">
        <v>119</v>
      </c>
      <c r="B17" s="16" t="s">
        <v>50</v>
      </c>
      <c r="C17" s="17">
        <f>SUMIFS(JB_26BV,JB_B,1,JB_W,"Surface Combatants",JB_RC,"ADD")</f>
        <v>7455131</v>
      </c>
      <c r="D17" s="28">
        <f t="shared" si="0"/>
        <v>0.17971611764658804</v>
      </c>
    </row>
    <row r="18" spans="1:4" ht="10" customHeight="1" x14ac:dyDescent="0.2">
      <c r="A18" s="16" t="s">
        <v>69</v>
      </c>
      <c r="B18" s="16" t="s">
        <v>50</v>
      </c>
      <c r="C18" s="17">
        <f>SUMIFS(JB_26BV,JB_B,1,JB_W,"Aircraft Carriers",JB_RC,"ADD")</f>
        <v>3281673</v>
      </c>
      <c r="D18" s="28">
        <f t="shared" si="0"/>
        <v>7.9109210950905021E-2</v>
      </c>
    </row>
    <row r="19" spans="1:4" ht="10" customHeight="1" x14ac:dyDescent="0.2">
      <c r="A19" s="16" t="s">
        <v>182</v>
      </c>
      <c r="B19" s="16" t="s">
        <v>50</v>
      </c>
      <c r="C19" s="17">
        <f>SUMIFS(JB_26BV,JB_B,1,JB_W,"Expeditionary &amp; Seabasing Ships",JB_RC,"ADD")</f>
        <v>2763941</v>
      </c>
      <c r="D19" s="28">
        <f t="shared" si="0"/>
        <v>6.6628573786862794E-2</v>
      </c>
    </row>
    <row r="20" spans="1:4" ht="10" customHeight="1" x14ac:dyDescent="0.2">
      <c r="A20" s="16" t="s">
        <v>202</v>
      </c>
      <c r="B20" s="16" t="s">
        <v>190</v>
      </c>
      <c r="C20" s="17">
        <f>SUMIFS(JB_26BV,JB_B,1,JB_W,"Combat Logistics Ships",JB_RC,"ADD")</f>
        <v>1861705</v>
      </c>
      <c r="D20" s="28">
        <f t="shared" si="0"/>
        <v>4.4878942409360904E-2</v>
      </c>
    </row>
    <row r="21" spans="1:4" ht="10" customHeight="1" x14ac:dyDescent="0.2">
      <c r="A21" s="16" t="s">
        <v>149</v>
      </c>
      <c r="B21" s="16" t="s">
        <v>50</v>
      </c>
      <c r="C21" s="17">
        <f>SUMIFS(JB_26BV,JB_B,1,JB_W,"Amphibious Warfare Ships",JB_RC,"ADD")</f>
        <v>1745000</v>
      </c>
      <c r="D21" s="28">
        <f t="shared" si="0"/>
        <v>4.2065608946817448E-2</v>
      </c>
    </row>
    <row r="22" spans="1:4" ht="10" customHeight="1" x14ac:dyDescent="0.2">
      <c r="A22" s="16" t="s">
        <v>5413</v>
      </c>
      <c r="B22" s="16" t="s">
        <v>50</v>
      </c>
      <c r="C22" s="17">
        <f>SUMIFS(JB_26BV,JB_B,1,JB_W,"Unmanned Surface Vehicles",JB_RC,"ADD")</f>
        <v>1325714</v>
      </c>
      <c r="D22" s="28">
        <f t="shared" si="0"/>
        <v>3.1958147105628165E-2</v>
      </c>
    </row>
    <row r="23" spans="1:4" ht="10" customHeight="1" x14ac:dyDescent="0.2">
      <c r="A23" s="16" t="s">
        <v>245</v>
      </c>
      <c r="B23" s="16" t="s">
        <v>50</v>
      </c>
      <c r="C23" s="17">
        <f>SUMIFS(JB_26BV,JB_B,1,JB_W,"Cargo &amp; Vehicle Cargo Ships",JB_RC,"ADD")</f>
        <v>890000</v>
      </c>
      <c r="D23" s="28">
        <f t="shared" si="0"/>
        <v>2.1454665881184831E-2</v>
      </c>
    </row>
    <row r="24" spans="1:4" ht="10" customHeight="1" x14ac:dyDescent="0.2">
      <c r="A24" s="16" t="s">
        <v>214</v>
      </c>
      <c r="B24" s="16" t="s">
        <v>50</v>
      </c>
      <c r="C24" s="17">
        <f>SUMIFS(JB_26BV,JB_B,1,JB_W,"Surveillance Ships",JB_RC,"ADD")</f>
        <v>612205</v>
      </c>
      <c r="D24" s="28">
        <f t="shared" si="0"/>
        <v>1.4758037894146921E-2</v>
      </c>
    </row>
    <row r="25" spans="1:4" ht="10" customHeight="1" x14ac:dyDescent="0.2">
      <c r="A25" s="16" t="s">
        <v>4676</v>
      </c>
      <c r="B25" s="16" t="s">
        <v>50</v>
      </c>
      <c r="C25" s="17">
        <f>SUMIFS(JB_26BV,JB_B,1,JB_W,"Unmanned Undersea Vehicles",JB_RC,"ADD")</f>
        <v>209234</v>
      </c>
      <c r="D25" s="28">
        <f t="shared" si="0"/>
        <v>5.0438714168357605E-3</v>
      </c>
    </row>
    <row r="26" spans="1:4" ht="10" customHeight="1" x14ac:dyDescent="0.2">
      <c r="A26" s="16" t="s">
        <v>226</v>
      </c>
      <c r="B26" s="16" t="s">
        <v>190</v>
      </c>
      <c r="C26" s="17">
        <f>SUMIFS(JB_26BV,JB_B,1,JB_W,"Salvage Ships &amp; Fleet Ocean Tugs",JB_RC,"ADD")</f>
        <v>141500</v>
      </c>
      <c r="D26" s="28">
        <f t="shared" si="0"/>
        <v>3.4110508114468018E-3</v>
      </c>
    </row>
    <row r="27" spans="1:4" ht="10" customHeight="1" x14ac:dyDescent="0.2">
      <c r="A27" s="16" t="s">
        <v>5269</v>
      </c>
      <c r="B27" s="16" t="s">
        <v>50</v>
      </c>
      <c r="C27" s="17">
        <f>SUMIFS(JB_26BV,JB_B,1,JB_W,"Aviation Logistics Support Ship",JB_RC,"ADD")</f>
        <v>0</v>
      </c>
      <c r="D27" s="28">
        <f t="shared" si="0"/>
        <v>0</v>
      </c>
    </row>
    <row r="28" spans="1:4" ht="10" customHeight="1" x14ac:dyDescent="0.2">
      <c r="A28" s="16" t="s">
        <v>4963</v>
      </c>
      <c r="B28" s="16" t="s">
        <v>50</v>
      </c>
      <c r="C28" s="17">
        <f>SUMIFS(JB_26BV,JB_B,1,JB_W,"Material Support Ships",JB_RC,"ADD")</f>
        <v>0</v>
      </c>
      <c r="D28" s="28">
        <f t="shared" si="0"/>
        <v>0</v>
      </c>
    </row>
    <row r="29" spans="1:4" ht="10" customHeight="1" x14ac:dyDescent="0.2">
      <c r="A29" s="16" t="s">
        <v>4684</v>
      </c>
      <c r="B29" s="16" t="s">
        <v>50</v>
      </c>
      <c r="C29" s="17">
        <f>SUMIFS(JB_26BV,JB_B,1,JB_W,"Mine Warfare",JB_RC,"ADD")</f>
        <v>0</v>
      </c>
      <c r="D29" s="28">
        <f t="shared" si="0"/>
        <v>0</v>
      </c>
    </row>
    <row r="30" spans="1:4" ht="10" customHeight="1" x14ac:dyDescent="0.2">
      <c r="A30" s="16" t="s">
        <v>5026</v>
      </c>
      <c r="B30" s="16" t="s">
        <v>190</v>
      </c>
      <c r="C30" s="17">
        <f>SUMIFS(JB_26BV,JB_B,1,JB_W,"Hospital Ship",JB_RC,"ADD")</f>
        <v>0</v>
      </c>
      <c r="D30" s="28">
        <f t="shared" si="0"/>
        <v>0</v>
      </c>
    </row>
    <row r="31" spans="1:4" ht="10" customHeight="1" x14ac:dyDescent="0.2">
      <c r="A31" s="16" t="s">
        <v>233</v>
      </c>
      <c r="B31" s="16" t="s">
        <v>190</v>
      </c>
      <c r="C31" s="17">
        <f>SUMIFS(JB_26BV,JB_B,1,JB_W,"Research, Survey &amp; Instrumentation Ships",JB_RC,"ADD")</f>
        <v>0</v>
      </c>
      <c r="D31" s="28">
        <f t="shared" si="0"/>
        <v>0</v>
      </c>
    </row>
    <row r="32" spans="1:4" ht="10" customHeight="1" x14ac:dyDescent="0.2">
      <c r="A32" s="16" t="s">
        <v>4856</v>
      </c>
      <c r="B32" s="16" t="s">
        <v>50</v>
      </c>
      <c r="C32" s="17">
        <f>SUMIFS(JB_26BV,JB_B,1,JB_W,"Command Ships",JB_RC,"ADD")</f>
        <v>0</v>
      </c>
      <c r="D32" s="28">
        <f t="shared" si="0"/>
        <v>0</v>
      </c>
    </row>
    <row r="33" spans="1:5" ht="10" customHeight="1" x14ac:dyDescent="0.2">
      <c r="A33" s="16" t="s">
        <v>5274</v>
      </c>
      <c r="B33" s="16" t="s">
        <v>50</v>
      </c>
      <c r="C33" s="17">
        <f>SUMIFS(JB_26BV,JB_B,1,JB_W,"Crane Ship",JB_RC,"ADD")</f>
        <v>0</v>
      </c>
      <c r="D33" s="28">
        <f t="shared" si="0"/>
        <v>0</v>
      </c>
    </row>
    <row r="34" spans="1:5" ht="10" customHeight="1" x14ac:dyDescent="0.2">
      <c r="A34" s="16" t="s">
        <v>5016</v>
      </c>
      <c r="B34" s="16" t="s">
        <v>50</v>
      </c>
      <c r="C34" s="17">
        <f>SUMIFS(JB_26BV,JB_B,1,JB_W,"Submarine Escort Ship",JB_RC,"ADD")</f>
        <v>0</v>
      </c>
      <c r="D34" s="28">
        <f t="shared" si="0"/>
        <v>0</v>
      </c>
    </row>
    <row r="35" spans="1:5" ht="10" customHeight="1" x14ac:dyDescent="0.2">
      <c r="A35" s="16" t="s">
        <v>4982</v>
      </c>
      <c r="B35" s="16" t="s">
        <v>50</v>
      </c>
      <c r="C35" s="17">
        <f>SUMIFS(JB_26BV,JB_B,1,JB_W,"High Speed Transport",JB_RC,"ADD")</f>
        <v>0</v>
      </c>
      <c r="D35" s="28">
        <f t="shared" si="0"/>
        <v>0</v>
      </c>
    </row>
    <row r="36" spans="1:5" ht="10" customHeight="1" x14ac:dyDescent="0.2">
      <c r="A36" s="16" t="s">
        <v>4643</v>
      </c>
      <c r="B36" s="16" t="s">
        <v>50</v>
      </c>
      <c r="C36" s="17">
        <f>SUMIFS(JB_26BV,JB_B,1,JB_W,"General Auxiliary",JB_RC,"ADD")</f>
        <v>0</v>
      </c>
      <c r="D36" s="28">
        <f t="shared" si="0"/>
        <v>0</v>
      </c>
    </row>
    <row r="37" spans="1:5" ht="10" customHeight="1" x14ac:dyDescent="0.2">
      <c r="A37" s="16" t="s">
        <v>8182</v>
      </c>
      <c r="B37" s="16" t="s">
        <v>6805</v>
      </c>
      <c r="C37" s="17">
        <f>SUMIFS(JB_26BV,JB_B,1,JB_W,"Offshore Patrol Cutter",JB_RC,"ADD")</f>
        <v>812400</v>
      </c>
      <c r="D37" s="28">
        <f t="shared" si="0"/>
        <v>1.9584011867274785E-2</v>
      </c>
    </row>
    <row r="38" spans="1:5" ht="10" customHeight="1" x14ac:dyDescent="0.2">
      <c r="A38" s="16" t="s">
        <v>8188</v>
      </c>
      <c r="B38" s="16" t="s">
        <v>6805</v>
      </c>
      <c r="C38" s="17">
        <f>SUMIFS(JB_26BV,JB_B,1,JB_W,"Fast Response Cutters",JB_RC,"ADD")</f>
        <v>216000</v>
      </c>
      <c r="D38" s="28">
        <f t="shared" si="0"/>
        <v>5.2069750902650827E-3</v>
      </c>
    </row>
    <row r="39" spans="1:5" ht="10" customHeight="1" x14ac:dyDescent="0.2">
      <c r="A39" s="16" t="s">
        <v>8196</v>
      </c>
      <c r="B39" s="16" t="s">
        <v>6805</v>
      </c>
      <c r="C39" s="17">
        <f>SUMIFS(JB_26BV,JB_B,1,JB_W,"Icebreakers, Oceangoing",JB_RC,"ADD")</f>
        <v>130000</v>
      </c>
      <c r="D39" s="28">
        <f t="shared" si="0"/>
        <v>3.1338276006225036E-3</v>
      </c>
    </row>
    <row r="40" spans="1:5" ht="10" customHeight="1" x14ac:dyDescent="0.2">
      <c r="A40" s="16" t="s">
        <v>8207</v>
      </c>
      <c r="B40" s="16" t="s">
        <v>6805</v>
      </c>
      <c r="C40" s="17">
        <f>SUMIFS(JB_26BV,JB_B,1,JB_W,"Waterways Commerce Cutters",JB_RC,"ADD")</f>
        <v>98000</v>
      </c>
      <c r="D40" s="28">
        <f t="shared" si="0"/>
        <v>2.3624238835461948E-3</v>
      </c>
    </row>
    <row r="41" spans="1:5" ht="10" customHeight="1" x14ac:dyDescent="0.2">
      <c r="A41" s="16" t="s">
        <v>6807</v>
      </c>
      <c r="B41" s="16" t="s">
        <v>6805</v>
      </c>
      <c r="C41" s="17">
        <f>SUMIFS(JB_26BV,JB_B,1,JB_W,"National Security Cutters",JB_RC,"ADD")</f>
        <v>0</v>
      </c>
      <c r="D41" s="28">
        <f t="shared" si="0"/>
        <v>0</v>
      </c>
    </row>
    <row r="42" spans="1:5" ht="10" customHeight="1" x14ac:dyDescent="0.2">
      <c r="A42" s="16" t="s">
        <v>8203</v>
      </c>
      <c r="B42" s="16" t="s">
        <v>6805</v>
      </c>
      <c r="C42" s="17">
        <f>SUMIFS(JB_26BV,JB_B,1,JB_W,"Icebreakers, Great Lakes",JB_RC,"ADD")</f>
        <v>0</v>
      </c>
      <c r="D42" s="28">
        <f t="shared" si="0"/>
        <v>0</v>
      </c>
    </row>
    <row r="43" spans="1:5" ht="10" customHeight="1" x14ac:dyDescent="0.2">
      <c r="A43" s="16" t="s">
        <v>8169</v>
      </c>
      <c r="B43" s="16" t="s">
        <v>6805</v>
      </c>
      <c r="C43" s="17">
        <f>SUMIFS(JB_26BV,JB_B,1,JB_W,"Coastal Buoy Tenders",JB_RC,"ADD")</f>
        <v>0</v>
      </c>
      <c r="D43" s="28">
        <f t="shared" si="0"/>
        <v>0</v>
      </c>
    </row>
    <row r="44" spans="1:5" ht="10" customHeight="1" x14ac:dyDescent="0.2">
      <c r="A44" s="23" t="s">
        <v>8829</v>
      </c>
      <c r="B44" s="23"/>
      <c r="C44" s="24">
        <f>SUM(C16:C43)</f>
        <v>41482818</v>
      </c>
      <c r="D44" s="29">
        <v>1</v>
      </c>
    </row>
    <row r="45" spans="1:5" ht="10" customHeight="1" x14ac:dyDescent="0.2"/>
    <row r="46" spans="1:5" ht="10" customHeight="1" x14ac:dyDescent="0.2"/>
    <row r="47" spans="1:5" ht="10" customHeight="1" x14ac:dyDescent="0.2">
      <c r="A47" s="6" t="s">
        <v>8833</v>
      </c>
      <c r="B47" s="7"/>
      <c r="C47" s="7"/>
      <c r="D47" s="7"/>
      <c r="E47" s="7"/>
    </row>
    <row r="48" spans="1:5" ht="10" customHeight="1" x14ac:dyDescent="0.2">
      <c r="A48" s="22" t="s">
        <v>8834</v>
      </c>
    </row>
    <row r="49" spans="1:5" ht="10" customHeight="1" x14ac:dyDescent="0.2">
      <c r="A49" s="15" t="s">
        <v>8835</v>
      </c>
      <c r="B49" s="15" t="s">
        <v>20</v>
      </c>
      <c r="C49" s="15" t="s">
        <v>8831</v>
      </c>
      <c r="D49" s="15" t="s">
        <v>8800</v>
      </c>
      <c r="E49" s="15" t="s">
        <v>8832</v>
      </c>
    </row>
    <row r="50" spans="1:5" ht="10" customHeight="1" x14ac:dyDescent="0.2">
      <c r="A50" s="16" t="s">
        <v>88</v>
      </c>
      <c r="B50" s="16" t="s">
        <v>52</v>
      </c>
      <c r="C50" s="16" t="s">
        <v>50</v>
      </c>
      <c r="D50" s="17">
        <f>SUMIFS(JB_26BV,JB_B,1,JB_H,"SSN",JB_RC,"ADD")</f>
        <v>10467121</v>
      </c>
      <c r="E50" s="28">
        <f t="shared" ref="E50:E67" si="1">IFERROR(D50/D$68,0)</f>
        <v>0.25232425145273402</v>
      </c>
    </row>
    <row r="51" spans="1:5" ht="10" customHeight="1" x14ac:dyDescent="0.2">
      <c r="A51" s="16" t="s">
        <v>53</v>
      </c>
      <c r="B51" s="16" t="s">
        <v>52</v>
      </c>
      <c r="C51" s="16" t="s">
        <v>50</v>
      </c>
      <c r="D51" s="17">
        <f>SUMIFS(JB_26BV,JB_B,1,JB_H,"SSBN",JB_RC,"ADD")</f>
        <v>9473194</v>
      </c>
      <c r="E51" s="28">
        <f t="shared" si="1"/>
        <v>0.22836428325578073</v>
      </c>
    </row>
    <row r="52" spans="1:5" ht="10" customHeight="1" x14ac:dyDescent="0.2">
      <c r="A52" s="16" t="s">
        <v>120</v>
      </c>
      <c r="B52" s="16" t="s">
        <v>119</v>
      </c>
      <c r="C52" s="16" t="s">
        <v>50</v>
      </c>
      <c r="D52" s="17">
        <f>SUMIFS(JB_26BV,JB_B,1,JB_H,"DDG",JB_RC,"ADD")</f>
        <v>7213131</v>
      </c>
      <c r="E52" s="28">
        <f t="shared" si="1"/>
        <v>0.17388237703619847</v>
      </c>
    </row>
    <row r="53" spans="1:5" ht="10" customHeight="1" x14ac:dyDescent="0.2">
      <c r="A53" s="16" t="s">
        <v>70</v>
      </c>
      <c r="B53" s="16" t="s">
        <v>69</v>
      </c>
      <c r="C53" s="16" t="s">
        <v>50</v>
      </c>
      <c r="D53" s="17">
        <f>SUMIFS(JB_26BV,JB_B,1,JB_H,"CVN",JB_RC,"ADD")</f>
        <v>3281673</v>
      </c>
      <c r="E53" s="28">
        <f t="shared" si="1"/>
        <v>7.9109210950905021E-2</v>
      </c>
    </row>
    <row r="54" spans="1:5" ht="10" customHeight="1" x14ac:dyDescent="0.2">
      <c r="A54" s="16" t="s">
        <v>183</v>
      </c>
      <c r="B54" s="16" t="s">
        <v>182</v>
      </c>
      <c r="C54" s="16" t="s">
        <v>50</v>
      </c>
      <c r="D54" s="17">
        <f>SUMIFS(JB_26BV,JB_B,1,JB_H,"LSM",JB_RC,"ADD")</f>
        <v>2763941</v>
      </c>
      <c r="E54" s="28">
        <f t="shared" si="1"/>
        <v>6.6628573786862794E-2</v>
      </c>
    </row>
    <row r="55" spans="1:5" ht="10" customHeight="1" x14ac:dyDescent="0.2">
      <c r="A55" s="16" t="s">
        <v>203</v>
      </c>
      <c r="B55" s="16" t="s">
        <v>202</v>
      </c>
      <c r="C55" s="16" t="s">
        <v>190</v>
      </c>
      <c r="D55" s="17">
        <f>SUMIFS(JB_26BV,JB_B,1,JB_H,"T-AO",JB_RC,"ADD")</f>
        <v>1861705</v>
      </c>
      <c r="E55" s="28">
        <f t="shared" si="1"/>
        <v>4.4878942409360904E-2</v>
      </c>
    </row>
    <row r="56" spans="1:5" ht="10" customHeight="1" x14ac:dyDescent="0.2">
      <c r="A56" s="16" t="s">
        <v>5414</v>
      </c>
      <c r="B56" s="16" t="s">
        <v>5413</v>
      </c>
      <c r="C56" s="16" t="s">
        <v>50</v>
      </c>
      <c r="D56" s="17">
        <f>SUMIFS(JB_26BV,JB_B,1,JB_H,"MUSV",JB_RC,"ADD")</f>
        <v>1325714</v>
      </c>
      <c r="E56" s="28">
        <f t="shared" si="1"/>
        <v>3.1958147105628165E-2</v>
      </c>
    </row>
    <row r="57" spans="1:5" ht="10" customHeight="1" x14ac:dyDescent="0.2">
      <c r="A57" s="16" t="s">
        <v>150</v>
      </c>
      <c r="B57" s="16" t="s">
        <v>149</v>
      </c>
      <c r="C57" s="16" t="s">
        <v>50</v>
      </c>
      <c r="D57" s="17">
        <f>SUMIFS(JB_26BV,JB_B,1,JB_H,"LPD",JB_RC,"ADD")</f>
        <v>1110037</v>
      </c>
      <c r="E57" s="28">
        <f t="shared" si="1"/>
        <v>2.6758958371632321E-2</v>
      </c>
    </row>
    <row r="58" spans="1:5" ht="10" customHeight="1" x14ac:dyDescent="0.2">
      <c r="A58" s="16" t="s">
        <v>246</v>
      </c>
      <c r="B58" s="16" t="s">
        <v>245</v>
      </c>
      <c r="C58" s="16" t="s">
        <v>190</v>
      </c>
      <c r="D58" s="17">
        <f>SUMIFS(JB_26BV,JB_B,1,JB_H,"T-AKR",JB_RC,"ADD")</f>
        <v>890000</v>
      </c>
      <c r="E58" s="28">
        <f t="shared" si="1"/>
        <v>2.1454665881184831E-2</v>
      </c>
    </row>
    <row r="59" spans="1:5" ht="10" customHeight="1" x14ac:dyDescent="0.2">
      <c r="A59" s="16" t="s">
        <v>168</v>
      </c>
      <c r="B59" s="16" t="s">
        <v>149</v>
      </c>
      <c r="C59" s="16" t="s">
        <v>50</v>
      </c>
      <c r="D59" s="17">
        <f>SUMIFS(JB_26BV,JB_B,1,JB_H,"LHA",JB_RC,"ADD")</f>
        <v>634963</v>
      </c>
      <c r="E59" s="28">
        <f t="shared" si="1"/>
        <v>1.5306650575185128E-2</v>
      </c>
    </row>
    <row r="60" spans="1:5" ht="10" customHeight="1" x14ac:dyDescent="0.2">
      <c r="A60" s="16" t="s">
        <v>215</v>
      </c>
      <c r="B60" s="16" t="s">
        <v>214</v>
      </c>
      <c r="C60" s="16" t="s">
        <v>190</v>
      </c>
      <c r="D60" s="17">
        <f>SUMIFS(JB_26BV,JB_B,1,JB_H,"T-AGOS",JB_RC,"ADD")</f>
        <v>612205</v>
      </c>
      <c r="E60" s="28">
        <f t="shared" si="1"/>
        <v>1.4758037894146921E-2</v>
      </c>
    </row>
    <row r="61" spans="1:5" ht="10" customHeight="1" x14ac:dyDescent="0.2">
      <c r="A61" s="16" t="s">
        <v>144</v>
      </c>
      <c r="B61" s="16" t="s">
        <v>119</v>
      </c>
      <c r="C61" s="16" t="s">
        <v>50</v>
      </c>
      <c r="D61" s="17">
        <f>SUMIFS(JB_26BV,JB_B,1,JB_H,"FFG",JB_RC,"ADD")</f>
        <v>242000</v>
      </c>
      <c r="E61" s="28">
        <f t="shared" si="1"/>
        <v>5.8337406103895831E-3</v>
      </c>
    </row>
    <row r="62" spans="1:5" ht="10" customHeight="1" x14ac:dyDescent="0.2">
      <c r="A62" s="16" t="s">
        <v>6446</v>
      </c>
      <c r="B62" s="16" t="s">
        <v>4676</v>
      </c>
      <c r="C62" s="16" t="s">
        <v>50</v>
      </c>
      <c r="D62" s="17">
        <f>SUMIFS(JB_26BV,JB_B,1,JB_H,"UUV",JB_RC,"ADD")</f>
        <v>209234</v>
      </c>
      <c r="E62" s="28">
        <f t="shared" si="1"/>
        <v>5.0438714168357605E-3</v>
      </c>
    </row>
    <row r="63" spans="1:5" ht="10" customHeight="1" x14ac:dyDescent="0.2">
      <c r="A63" s="16" t="s">
        <v>227</v>
      </c>
      <c r="B63" s="16" t="s">
        <v>226</v>
      </c>
      <c r="C63" s="16" t="s">
        <v>190</v>
      </c>
      <c r="D63" s="17">
        <f>SUMIFS(JB_26BV,JB_B,1,JB_H,"T-ATS",JB_RC,"ADD")</f>
        <v>141500</v>
      </c>
      <c r="E63" s="28">
        <f t="shared" si="1"/>
        <v>3.4110508114468018E-3</v>
      </c>
    </row>
    <row r="64" spans="1:5" ht="10" customHeight="1" x14ac:dyDescent="0.2">
      <c r="A64" s="16" t="s">
        <v>8184</v>
      </c>
      <c r="B64" s="16" t="s">
        <v>8182</v>
      </c>
      <c r="C64" s="16" t="s">
        <v>6805</v>
      </c>
      <c r="D64" s="17">
        <f>SUMIFS(JB_26BV,JB_B,1,JB_H,"WMSM",JB_RC,"ADD")</f>
        <v>812400</v>
      </c>
      <c r="E64" s="28">
        <f t="shared" si="1"/>
        <v>1.9584011867274785E-2</v>
      </c>
    </row>
    <row r="65" spans="1:17" ht="10" customHeight="1" x14ac:dyDescent="0.2">
      <c r="A65" s="16" t="s">
        <v>8189</v>
      </c>
      <c r="B65" s="16" t="s">
        <v>8188</v>
      </c>
      <c r="C65" s="16" t="s">
        <v>6805</v>
      </c>
      <c r="D65" s="17">
        <f>SUMIFS(JB_26BV,JB_B,1,JB_H,"WPC",JB_RC,"ADD")</f>
        <v>216000</v>
      </c>
      <c r="E65" s="28">
        <f t="shared" si="1"/>
        <v>5.2069750902650827E-3</v>
      </c>
    </row>
    <row r="66" spans="1:17" ht="10" customHeight="1" x14ac:dyDescent="0.2">
      <c r="A66" s="16" t="s">
        <v>8197</v>
      </c>
      <c r="B66" s="16" t="s">
        <v>8196</v>
      </c>
      <c r="C66" s="16" t="s">
        <v>6805</v>
      </c>
      <c r="D66" s="17">
        <f>SUMIFS(JB_26BV,JB_B,1,JB_H,"WAGB",JB_RC,"ADD")</f>
        <v>130000</v>
      </c>
      <c r="E66" s="28">
        <f t="shared" si="1"/>
        <v>3.1338276006225036E-3</v>
      </c>
    </row>
    <row r="67" spans="1:17" ht="10" customHeight="1" x14ac:dyDescent="0.2">
      <c r="A67" s="16" t="s">
        <v>8208</v>
      </c>
      <c r="B67" s="16" t="s">
        <v>8207</v>
      </c>
      <c r="C67" s="16" t="s">
        <v>6805</v>
      </c>
      <c r="D67" s="17">
        <f>SUMIFS(JB_26BV,JB_B,1,JB_H,"WCC",JB_RC,"ADD")</f>
        <v>98000</v>
      </c>
      <c r="E67" s="28">
        <f t="shared" si="1"/>
        <v>2.3624238835461948E-3</v>
      </c>
    </row>
    <row r="68" spans="1:17" ht="10" customHeight="1" x14ac:dyDescent="0.2">
      <c r="A68" s="23" t="s">
        <v>8829</v>
      </c>
      <c r="B68" s="23"/>
      <c r="C68" s="23"/>
      <c r="D68" s="24">
        <f>SUM(D50:D67)</f>
        <v>41482818</v>
      </c>
      <c r="E68" s="29">
        <v>1</v>
      </c>
    </row>
    <row r="69" spans="1:17" ht="10" customHeight="1" x14ac:dyDescent="0.2"/>
    <row r="70" spans="1:17" ht="10" customHeight="1" x14ac:dyDescent="0.2"/>
    <row r="71" spans="1:17" ht="10" customHeight="1" x14ac:dyDescent="0.2">
      <c r="A71" s="6" t="s">
        <v>8836</v>
      </c>
      <c r="B71" s="7"/>
      <c r="C71" s="7"/>
      <c r="D71" s="7"/>
      <c r="E71" s="7"/>
      <c r="F71" s="7"/>
      <c r="G71" s="7"/>
      <c r="H71" s="7"/>
      <c r="I71" s="7"/>
      <c r="J71" s="7"/>
      <c r="K71" s="7"/>
      <c r="L71" s="7"/>
      <c r="M71" s="7"/>
      <c r="N71" s="7"/>
      <c r="O71" s="7"/>
      <c r="P71" s="7"/>
      <c r="Q71" s="7"/>
    </row>
    <row r="72" spans="1:17" ht="10" customHeight="1" x14ac:dyDescent="0.2">
      <c r="A72" s="30"/>
      <c r="B72" s="31" t="s">
        <v>50</v>
      </c>
      <c r="C72" s="30"/>
      <c r="D72" s="30"/>
      <c r="E72" s="30"/>
      <c r="F72" s="30"/>
      <c r="G72" s="30"/>
      <c r="H72" s="30"/>
      <c r="I72" s="30"/>
      <c r="J72" s="30"/>
      <c r="K72" s="30"/>
      <c r="L72" s="30"/>
      <c r="M72" s="31" t="s">
        <v>6805</v>
      </c>
      <c r="N72" s="30"/>
      <c r="O72" s="30"/>
      <c r="P72" s="30"/>
      <c r="Q72" s="32"/>
    </row>
    <row r="73" spans="1:17" ht="10" customHeight="1" x14ac:dyDescent="0.2">
      <c r="A73" s="15" t="s">
        <v>8837</v>
      </c>
      <c r="B73" s="18" t="s">
        <v>52</v>
      </c>
      <c r="C73" s="15" t="s">
        <v>119</v>
      </c>
      <c r="D73" s="15" t="s">
        <v>69</v>
      </c>
      <c r="E73" s="15" t="s">
        <v>182</v>
      </c>
      <c r="F73" s="15" t="s">
        <v>202</v>
      </c>
      <c r="G73" s="15" t="s">
        <v>149</v>
      </c>
      <c r="H73" s="15" t="s">
        <v>5413</v>
      </c>
      <c r="I73" s="15" t="s">
        <v>245</v>
      </c>
      <c r="J73" s="15" t="s">
        <v>214</v>
      </c>
      <c r="K73" s="15" t="s">
        <v>4676</v>
      </c>
      <c r="L73" s="15" t="s">
        <v>226</v>
      </c>
      <c r="M73" s="18" t="s">
        <v>8182</v>
      </c>
      <c r="N73" s="15" t="s">
        <v>8188</v>
      </c>
      <c r="O73" s="15" t="s">
        <v>8196</v>
      </c>
      <c r="P73" s="15" t="s">
        <v>8207</v>
      </c>
      <c r="Q73" s="18" t="s">
        <v>8808</v>
      </c>
    </row>
    <row r="74" spans="1:17" ht="10" customHeight="1" x14ac:dyDescent="0.2">
      <c r="A74" s="16" t="s">
        <v>8838</v>
      </c>
      <c r="B74" s="33">
        <f>IFERROR((SUMIFS(JB_26BV,JB_B,1,JB_W,"Submarines",JB_F,"Full ship DD&amp;C",JB_RC,"ADD")+SUMIFS(JB_26BV,JB_B,1,JB_W,"Submarines",JB_F,"Full ship DD&amp;C / LLTM",JB_RC,"ADD")+SUMIFS(JB_26BV,JB_B,1,JB_W,"Submarines",JB_F,"Full vessel procurement",JB_RC,"ADD"))/B$78,0)</f>
        <v>0.56514317853052976</v>
      </c>
      <c r="C74" s="28">
        <f>IFERROR((SUMIFS(JB_26BV,JB_B,1,JB_W,"Surface Combatants",JB_F,"Full ship DD&amp;C",JB_RC,"ADD")+SUMIFS(JB_26BV,JB_B,1,JB_W,"Surface Combatants",JB_F,"Full ship DD&amp;C / LLTM",JB_RC,"ADD")+SUMIFS(JB_26BV,JB_B,1,JB_W,"Surface Combatants",JB_F,"Full vessel procurement",JB_RC,"ADD"))/C$78,0)</f>
        <v>0.7652623407958894</v>
      </c>
      <c r="D74" s="28">
        <f>IFERROR((SUMIFS(JB_26BV,JB_B,1,JB_W,"Aircraft Carriers",JB_F,"Full ship DD&amp;C",JB_RC,"ADD")+SUMIFS(JB_26BV,JB_B,1,JB_W,"Aircraft Carriers",JB_F,"Full ship DD&amp;C / LLTM",JB_RC,"ADD")+SUMIFS(JB_26BV,JB_B,1,JB_W,"Aircraft Carriers",JB_F,"Full vessel procurement",JB_RC,"ADD"))/D$78,0)</f>
        <v>0.81349817608274799</v>
      </c>
      <c r="E74" s="28">
        <f>IFERROR((SUMIFS(JB_26BV,JB_B,1,JB_W,"Expeditionary &amp; Seabasing Ships",JB_F,"Full ship DD&amp;C",JB_RC,"ADD")+SUMIFS(JB_26BV,JB_B,1,JB_W,"Expeditionary &amp; Seabasing Ships",JB_F,"Full ship DD&amp;C / LLTM",JB_RC,"ADD")+SUMIFS(JB_26BV,JB_B,1,JB_W,"Expeditionary &amp; Seabasing Ships",JB_F,"Full vessel procurement",JB_RC,"ADD"))/E$78,0)</f>
        <v>1</v>
      </c>
      <c r="F74" s="28">
        <f>IFERROR((SUMIFS(JB_26BV,JB_B,1,JB_W,"Combat Logistics Ships",JB_F,"Full ship DD&amp;C",JB_RC,"ADD")+SUMIFS(JB_26BV,JB_B,1,JB_W,"Combat Logistics Ships",JB_F,"Full ship DD&amp;C / LLTM",JB_RC,"ADD")+SUMIFS(JB_26BV,JB_B,1,JB_W,"Combat Logistics Ships",JB_F,"Full vessel procurement",JB_RC,"ADD"))/F$78,0)</f>
        <v>1</v>
      </c>
      <c r="G74" s="28">
        <f>IFERROR((SUMIFS(JB_26BV,JB_B,1,JB_W,"Amphibious Warfare Ships",JB_F,"Full ship DD&amp;C",JB_RC,"ADD")+SUMIFS(JB_26BV,JB_B,1,JB_W,"Amphibious Warfare Ships",JB_F,"Full ship DD&amp;C / LLTM",JB_RC,"ADD")+SUMIFS(JB_26BV,JB_B,1,JB_W,"Amphibious Warfare Ships",JB_F,"Full vessel procurement",JB_RC,"ADD"))/G$78,0)</f>
        <v>0.84240687679083093</v>
      </c>
      <c r="H74" s="28">
        <f>IFERROR((SUMIFS(JB_26BV,JB_B,1,JB_W,"Unmanned Surface Vehicles",JB_F,"Full ship DD&amp;C",JB_RC,"ADD")+SUMIFS(JB_26BV,JB_B,1,JB_W,"Unmanned Surface Vehicles",JB_F,"Full ship DD&amp;C / LLTM",JB_RC,"ADD")+SUMIFS(JB_26BV,JB_B,1,JB_W,"Unmanned Surface Vehicles",JB_F,"Full vessel procurement",JB_RC,"ADD"))/H$78,0)</f>
        <v>1</v>
      </c>
      <c r="I74" s="28">
        <f>IFERROR((SUMIFS(JB_26BV,JB_B,1,JB_W,"Cargo &amp; Vehicle Cargo Ships",JB_F,"Full ship DD&amp;C",JB_RC,"ADD")+SUMIFS(JB_26BV,JB_B,1,JB_W,"Cargo &amp; Vehicle Cargo Ships",JB_F,"Full ship DD&amp;C / LLTM",JB_RC,"ADD")+SUMIFS(JB_26BV,JB_B,1,JB_W,"Cargo &amp; Vehicle Cargo Ships",JB_F,"Full vessel procurement",JB_RC,"ADD"))/I$78,0)</f>
        <v>1</v>
      </c>
      <c r="J74" s="28">
        <f>IFERROR((SUMIFS(JB_26BV,JB_B,1,JB_W,"Surveillance Ships",JB_F,"Full ship DD&amp;C",JB_RC,"ADD")+SUMIFS(JB_26BV,JB_B,1,JB_W,"Surveillance Ships",JB_F,"Full ship DD&amp;C / LLTM",JB_RC,"ADD")+SUMIFS(JB_26BV,JB_B,1,JB_W,"Surveillance Ships",JB_F,"Full vessel procurement",JB_RC,"ADD"))/J$78,0)</f>
        <v>1</v>
      </c>
      <c r="K74" s="28">
        <f>IFERROR((SUMIFS(JB_26BV,JB_B,1,JB_W,"Unmanned Undersea Vehicles",JB_F,"Full ship DD&amp;C",JB_RC,"ADD")+SUMIFS(JB_26BV,JB_B,1,JB_W,"Unmanned Undersea Vehicles",JB_F,"Full ship DD&amp;C / LLTM",JB_RC,"ADD")+SUMIFS(JB_26BV,JB_B,1,JB_W,"Unmanned Undersea Vehicles",JB_F,"Full vessel procurement",JB_RC,"ADD"))/K$78,0)</f>
        <v>1</v>
      </c>
      <c r="L74" s="28">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1</v>
      </c>
      <c r="M74" s="33">
        <f>IFERROR((SUMIFS(JB_26BV,JB_B,1,JB_W,"Offshore Patrol Cutter",JB_F,"Full ship DD&amp;C",JB_RC,"ADD")+SUMIFS(JB_26BV,JB_B,1,JB_W,"Offshore Patrol Cutter",JB_F,"Full ship DD&amp;C / LLTM",JB_RC,"ADD")+SUMIFS(JB_26BV,JB_B,1,JB_W,"Offshore Patrol Cutter",JB_F,"Full vessel procurement",JB_RC,"ADD"))/M$78,0)</f>
        <v>1</v>
      </c>
      <c r="N74" s="28">
        <f>IFERROR((SUMIFS(JB_26BV,JB_B,1,JB_W,"Fast Response Cutters",JB_F,"Full ship DD&amp;C",JB_RC,"ADD")+SUMIFS(JB_26BV,JB_B,1,JB_W,"Fast Response Cutters",JB_F,"Full ship DD&amp;C / LLTM",JB_RC,"ADD")+SUMIFS(JB_26BV,JB_B,1,JB_W,"Fast Response Cutters",JB_F,"Full vessel procurement",JB_RC,"ADD"))/N$78,0)</f>
        <v>1</v>
      </c>
      <c r="O74" s="28">
        <f>IFERROR((SUMIFS(JB_26BV,JB_B,1,JB_W,"Icebreakers, Oceangoing",JB_F,"Full ship DD&amp;C",JB_RC,"ADD")+SUMIFS(JB_26BV,JB_B,1,JB_W,"Icebreakers, Oceangoing",JB_F,"Full ship DD&amp;C / LLTM",JB_RC,"ADD")+SUMIFS(JB_26BV,JB_B,1,JB_W,"Icebreakers, Oceangoing",JB_F,"Full vessel procurement",JB_RC,"ADD"))/O$78,0)</f>
        <v>1</v>
      </c>
      <c r="P74" s="28">
        <f>IFERROR((SUMIFS(JB_26BV,JB_B,1,JB_W,"Waterways Commerce Cutters",JB_F,"Full ship DD&amp;C",JB_RC,"ADD")+SUMIFS(JB_26BV,JB_B,1,JB_W,"Waterways Commerce Cutters",JB_F,"Full ship DD&amp;C / LLTM",JB_RC,"ADD")+SUMIFS(JB_26BV,JB_B,1,JB_W,"Waterways Commerce Cutters",JB_F,"Full vessel procurement",JB_RC,"ADD"))/P$78,0)</f>
        <v>1</v>
      </c>
      <c r="Q74" s="33">
        <f>IFERROR(SUMPRODUCT(B74:P74,B$78:P$78)/Q$78,0)</f>
        <v>0.72739990807760457</v>
      </c>
    </row>
    <row r="75" spans="1:17" ht="10" customHeight="1" x14ac:dyDescent="0.2">
      <c r="A75" s="16" t="s">
        <v>8839</v>
      </c>
      <c r="B75" s="33">
        <f>IFERROR((SUMIFS(JB_26BV,JB_B,1,JB_W,"Submarines",JB_F,"Advance procurement / LLTM",JB_RC,"ADD"))/B$78,0)</f>
        <v>0.4251478474637938</v>
      </c>
      <c r="C75" s="28">
        <f>IFERROR((SUMIFS(JB_26BV,JB_B,1,JB_W,"Surface Combatants",JB_F,"Advance procurement / LLTM",JB_RC,"ADD"))/C$78,0)</f>
        <v>0.23473765920411058</v>
      </c>
      <c r="D75" s="28">
        <f>IFERROR((SUMIFS(JB_26BV,JB_B,1,JB_W,"Aircraft Carriers",JB_F,"Advance procurement / LLTM",JB_RC,"ADD"))/D$78,0)</f>
        <v>0.18650182391725195</v>
      </c>
      <c r="E75" s="28">
        <f>IFERROR((SUMIFS(JB_26BV,JB_B,1,JB_W,"Expeditionary &amp; Seabasing Ships",JB_F,"Advance procurement / LLTM",JB_RC,"ADD"))/E$78,0)</f>
        <v>0</v>
      </c>
      <c r="F75" s="28">
        <f>IFERROR((SUMIFS(JB_26BV,JB_B,1,JB_W,"Combat Logistics Ships",JB_F,"Advance procurement / LLTM",JB_RC,"ADD"))/F$78,0)</f>
        <v>0</v>
      </c>
      <c r="G75" s="28">
        <f>IFERROR((SUMIFS(JB_26BV,JB_B,1,JB_W,"Amphibious Warfare Ships",JB_F,"Advance procurement / LLTM",JB_RC,"ADD"))/G$78,0)</f>
        <v>0.15759312320916904</v>
      </c>
      <c r="H75" s="28">
        <f>IFERROR((SUMIFS(JB_26BV,JB_B,1,JB_W,"Unmanned Surface Vehicles",JB_F,"Advance procurement / LLTM",JB_RC,"ADD"))/H$78,0)</f>
        <v>0</v>
      </c>
      <c r="I75" s="28">
        <f>IFERROR((SUMIFS(JB_26BV,JB_B,1,JB_W,"Cargo &amp; Vehicle Cargo Ships",JB_F,"Advance procurement / LLTM",JB_RC,"ADD"))/I$78,0)</f>
        <v>0</v>
      </c>
      <c r="J75" s="28">
        <f>IFERROR((SUMIFS(JB_26BV,JB_B,1,JB_W,"Surveillance Ships",JB_F,"Advance procurement / LLTM",JB_RC,"ADD"))/J$78,0)</f>
        <v>0</v>
      </c>
      <c r="K75" s="28">
        <f>IFERROR((SUMIFS(JB_26BV,JB_B,1,JB_W,"Unmanned Undersea Vehicles",JB_F,"Advance procurement / LLTM",JB_RC,"ADD"))/K$78,0)</f>
        <v>0</v>
      </c>
      <c r="L75" s="28">
        <f>IFERROR((SUMIFS(JB_26BV,JB_B,1,JB_W,"Salvage Ships &amp; Fleet Ocean Tugs",JB_F,"Advance procurement / LLTM",JB_RC,"ADD"))/L$78,0)</f>
        <v>0</v>
      </c>
      <c r="M75" s="33">
        <f>IFERROR((SUMIFS(JB_26BV,JB_B,1,JB_W,"Offshore Patrol Cutter",JB_F,"Advance procurement / LLTM",JB_RC,"ADD"))/M$78,0)</f>
        <v>0</v>
      </c>
      <c r="N75" s="28">
        <f>IFERROR((SUMIFS(JB_26BV,JB_B,1,JB_W,"Fast Response Cutters",JB_F,"Advance procurement / LLTM",JB_RC,"ADD"))/N$78,0)</f>
        <v>0</v>
      </c>
      <c r="O75" s="28">
        <f>IFERROR((SUMIFS(JB_26BV,JB_B,1,JB_W,"Icebreakers, Oceangoing",JB_F,"Advance procurement / LLTM",JB_RC,"ADD"))/O$78,0)</f>
        <v>0</v>
      </c>
      <c r="P75" s="28">
        <f>IFERROR((SUMIFS(JB_26BV,JB_B,1,JB_W,"Waterways Commerce Cutters",JB_F,"Advance procurement / LLTM",JB_RC,"ADD"))/P$78,0)</f>
        <v>0</v>
      </c>
      <c r="Q75" s="33">
        <f>IFERROR(SUMPRODUCT(B75:P75,B$78:P$78)/Q$78,0)</f>
        <v>0.26793309943408378</v>
      </c>
    </row>
    <row r="76" spans="1:17" ht="10" customHeight="1" x14ac:dyDescent="0.2">
      <c r="A76" s="16" t="s">
        <v>104</v>
      </c>
      <c r="B76" s="33">
        <f>IFERROR((SUMIFS(JB_26BV,JB_B,1,JB_W,"Submarines",JB_F,"RCOH",JB_RC,"ADD"))/B$78,0)</f>
        <v>0</v>
      </c>
      <c r="C76" s="28">
        <f>IFERROR((SUMIFS(JB_26BV,JB_B,1,JB_W,"Surface Combatants",JB_F,"RCOH",JB_RC,"ADD"))/C$78,0)</f>
        <v>0</v>
      </c>
      <c r="D76" s="28">
        <f>IFERROR((SUMIFS(JB_26BV,JB_B,1,JB_W,"Aircraft Carriers",JB_F,"RCOH",JB_RC,"ADD"))/D$78,0)</f>
        <v>0</v>
      </c>
      <c r="E76" s="28">
        <f>IFERROR((SUMIFS(JB_26BV,JB_B,1,JB_W,"Expeditionary &amp; Seabasing Ships",JB_F,"RCOH",JB_RC,"ADD"))/E$78,0)</f>
        <v>0</v>
      </c>
      <c r="F76" s="28">
        <f>IFERROR((SUMIFS(JB_26BV,JB_B,1,JB_W,"Combat Logistics Ships",JB_F,"RCOH",JB_RC,"ADD"))/F$78,0)</f>
        <v>0</v>
      </c>
      <c r="G76" s="28">
        <f>IFERROR((SUMIFS(JB_26BV,JB_B,1,JB_W,"Amphibious Warfare Ships",JB_F,"RCOH",JB_RC,"ADD"))/G$78,0)</f>
        <v>0</v>
      </c>
      <c r="H76" s="28">
        <f>IFERROR((SUMIFS(JB_26BV,JB_B,1,JB_W,"Unmanned Surface Vehicles",JB_F,"RCOH",JB_RC,"ADD"))/H$78,0)</f>
        <v>0</v>
      </c>
      <c r="I76" s="28">
        <f>IFERROR((SUMIFS(JB_26BV,JB_B,1,JB_W,"Cargo &amp; Vehicle Cargo Ships",JB_F,"RCOH",JB_RC,"ADD"))/I$78,0)</f>
        <v>0</v>
      </c>
      <c r="J76" s="28">
        <f>IFERROR((SUMIFS(JB_26BV,JB_B,1,JB_W,"Surveillance Ships",JB_F,"RCOH",JB_RC,"ADD"))/J$78,0)</f>
        <v>0</v>
      </c>
      <c r="K76" s="28">
        <f>IFERROR((SUMIFS(JB_26BV,JB_B,1,JB_W,"Unmanned Undersea Vehicles",JB_F,"RCOH",JB_RC,"ADD"))/K$78,0)</f>
        <v>0</v>
      </c>
      <c r="L76" s="28">
        <f>IFERROR((SUMIFS(JB_26BV,JB_B,1,JB_W,"Salvage Ships &amp; Fleet Ocean Tugs",JB_F,"RCOH",JB_RC,"ADD"))/L$78,0)</f>
        <v>0</v>
      </c>
      <c r="M76" s="33">
        <f>IFERROR((SUMIFS(JB_26BV,JB_B,1,JB_W,"Offshore Patrol Cutter",JB_F,"RCOH",JB_RC,"ADD"))/M$78,0)</f>
        <v>0</v>
      </c>
      <c r="N76" s="28">
        <f>IFERROR((SUMIFS(JB_26BV,JB_B,1,JB_W,"Fast Response Cutters",JB_F,"RCOH",JB_RC,"ADD"))/N$78,0)</f>
        <v>0</v>
      </c>
      <c r="O76" s="28">
        <f>IFERROR((SUMIFS(JB_26BV,JB_B,1,JB_W,"Icebreakers, Oceangoing",JB_F,"RCOH",JB_RC,"ADD"))/O$78,0)</f>
        <v>0</v>
      </c>
      <c r="P76" s="28">
        <f>IFERROR((SUMIFS(JB_26BV,JB_B,1,JB_W,"Waterways Commerce Cutters",JB_F,"RCOH",JB_RC,"ADD"))/P$78,0)</f>
        <v>0</v>
      </c>
      <c r="Q76" s="33">
        <f>IFERROR(SUMPRODUCT(B76:P76,B$78:P$78)/Q$78,0)</f>
        <v>0</v>
      </c>
    </row>
    <row r="77" spans="1:17" ht="10" customHeight="1" x14ac:dyDescent="0.2">
      <c r="A77" s="16" t="s">
        <v>290</v>
      </c>
      <c r="B77" s="33">
        <f>IFERROR((SUMIFS(JB_26BV,JB_B,1,JB_W,"Submarines",JB_F,"SLEP",JB_RC,"ADD"))/B$78,0)</f>
        <v>0</v>
      </c>
      <c r="C77" s="28">
        <f>IFERROR((SUMIFS(JB_26BV,JB_B,1,JB_W,"Surface Combatants",JB_F,"SLEP",JB_RC,"ADD"))/C$78,0)</f>
        <v>0</v>
      </c>
      <c r="D77" s="28">
        <f>IFERROR((SUMIFS(JB_26BV,JB_B,1,JB_W,"Aircraft Carriers",JB_F,"SLEP",JB_RC,"ADD"))/D$78,0)</f>
        <v>0</v>
      </c>
      <c r="E77" s="28">
        <f>IFERROR((SUMIFS(JB_26BV,JB_B,1,JB_W,"Expeditionary &amp; Seabasing Ships",JB_F,"SLEP",JB_RC,"ADD"))/E$78,0)</f>
        <v>0</v>
      </c>
      <c r="F77" s="28">
        <f>IFERROR((SUMIFS(JB_26BV,JB_B,1,JB_W,"Combat Logistics Ships",JB_F,"SLEP",JB_RC,"ADD"))/F$78,0)</f>
        <v>0</v>
      </c>
      <c r="G77" s="28">
        <f>IFERROR((SUMIFS(JB_26BV,JB_B,1,JB_W,"Amphibious Warfare Ships",JB_F,"SLEP",JB_RC,"ADD"))/G$78,0)</f>
        <v>0</v>
      </c>
      <c r="H77" s="28">
        <f>IFERROR((SUMIFS(JB_26BV,JB_B,1,JB_W,"Unmanned Surface Vehicles",JB_F,"SLEP",JB_RC,"ADD"))/H$78,0)</f>
        <v>0</v>
      </c>
      <c r="I77" s="28">
        <f>IFERROR((SUMIFS(JB_26BV,JB_B,1,JB_W,"Cargo &amp; Vehicle Cargo Ships",JB_F,"SLEP",JB_RC,"ADD"))/I$78,0)</f>
        <v>0</v>
      </c>
      <c r="J77" s="28">
        <f>IFERROR((SUMIFS(JB_26BV,JB_B,1,JB_W,"Surveillance Ships",JB_F,"SLEP",JB_RC,"ADD"))/J$78,0)</f>
        <v>0</v>
      </c>
      <c r="K77" s="28">
        <f>IFERROR((SUMIFS(JB_26BV,JB_B,1,JB_W,"Unmanned Undersea Vehicles",JB_F,"SLEP",JB_RC,"ADD"))/K$78,0)</f>
        <v>0</v>
      </c>
      <c r="L77" s="28">
        <f>IFERROR((SUMIFS(JB_26BV,JB_B,1,JB_W,"Salvage Ships &amp; Fleet Ocean Tugs",JB_F,"SLEP",JB_RC,"ADD"))/L$78,0)</f>
        <v>0</v>
      </c>
      <c r="M77" s="33">
        <f>IFERROR((SUMIFS(JB_26BV,JB_B,1,JB_W,"Offshore Patrol Cutter",JB_F,"SLEP",JB_RC,"ADD"))/M$78,0)</f>
        <v>0</v>
      </c>
      <c r="N77" s="28">
        <f>IFERROR((SUMIFS(JB_26BV,JB_B,1,JB_W,"Fast Response Cutters",JB_F,"SLEP",JB_RC,"ADD"))/N$78,0)</f>
        <v>0</v>
      </c>
      <c r="O77" s="28">
        <f>IFERROR((SUMIFS(JB_26BV,JB_B,1,JB_W,"Icebreakers, Oceangoing",JB_F,"SLEP",JB_RC,"ADD"))/O$78,0)</f>
        <v>0</v>
      </c>
      <c r="P77" s="28">
        <f>IFERROR((SUMIFS(JB_26BV,JB_B,1,JB_W,"Waterways Commerce Cutters",JB_F,"SLEP",JB_RC,"ADD"))/P$78,0)</f>
        <v>0</v>
      </c>
      <c r="Q77" s="33">
        <f>IFERROR(SUMPRODUCT(B77:P77,B$78:P$78)/Q$78,0)</f>
        <v>0</v>
      </c>
    </row>
    <row r="78" spans="1:17" ht="10" customHeight="1" x14ac:dyDescent="0.2">
      <c r="A78" s="23" t="s">
        <v>8840</v>
      </c>
      <c r="B78" s="34">
        <f>SUMIFS(JB_26BV,JB_B,1,JB_W,"Submarines",JB_RC,"ADD")</f>
        <v>19940315</v>
      </c>
      <c r="C78" s="24">
        <f>SUMIFS(JB_26BV,JB_B,1,JB_W,"Surface Combatants",JB_RC,"ADD")</f>
        <v>7455131</v>
      </c>
      <c r="D78" s="24">
        <f>SUMIFS(JB_26BV,JB_B,1,JB_W,"Aircraft Carriers",JB_RC,"ADD")</f>
        <v>3281673</v>
      </c>
      <c r="E78" s="24">
        <f>SUMIFS(JB_26BV,JB_B,1,JB_W,"Expeditionary &amp; Seabasing Ships",JB_RC,"ADD")</f>
        <v>2763941</v>
      </c>
      <c r="F78" s="24">
        <f>SUMIFS(JB_26BV,JB_B,1,JB_W,"Combat Logistics Ships",JB_RC,"ADD")</f>
        <v>1861705</v>
      </c>
      <c r="G78" s="24">
        <f>SUMIFS(JB_26BV,JB_B,1,JB_W,"Amphibious Warfare Ships",JB_RC,"ADD")</f>
        <v>1745000</v>
      </c>
      <c r="H78" s="24">
        <f>SUMIFS(JB_26BV,JB_B,1,JB_W,"Unmanned Surface Vehicles",JB_RC,"ADD")</f>
        <v>1325714</v>
      </c>
      <c r="I78" s="24">
        <f>SUMIFS(JB_26BV,JB_B,1,JB_W,"Cargo &amp; Vehicle Cargo Ships",JB_RC,"ADD")</f>
        <v>890000</v>
      </c>
      <c r="J78" s="24">
        <f>SUMIFS(JB_26BV,JB_B,1,JB_W,"Surveillance Ships",JB_RC,"ADD")</f>
        <v>612205</v>
      </c>
      <c r="K78" s="24">
        <f>SUMIFS(JB_26BV,JB_B,1,JB_W,"Unmanned Undersea Vehicles",JB_RC,"ADD")</f>
        <v>209234</v>
      </c>
      <c r="L78" s="24">
        <f>SUMIFS(JB_26BV,JB_B,1,JB_W,"Salvage Ships &amp; Fleet Ocean Tugs",JB_RC,"ADD")</f>
        <v>141500</v>
      </c>
      <c r="M78" s="34">
        <f>SUMIFS(JB_26BV,JB_B,1,JB_W,"Offshore Patrol Cutter",JB_RC,"ADD")</f>
        <v>812400</v>
      </c>
      <c r="N78" s="24">
        <f>SUMIFS(JB_26BV,JB_B,1,JB_W,"Fast Response Cutters",JB_RC,"ADD")</f>
        <v>216000</v>
      </c>
      <c r="O78" s="24">
        <f>SUMIFS(JB_26BV,JB_B,1,JB_W,"Icebreakers, Oceangoing",JB_RC,"ADD")</f>
        <v>130000</v>
      </c>
      <c r="P78" s="24">
        <f>SUMIFS(JB_26BV,JB_B,1,JB_W,"Waterways Commerce Cutters",JB_RC,"ADD")</f>
        <v>98000</v>
      </c>
      <c r="Q78" s="34">
        <f>SUM(B78:P78)</f>
        <v>41482818</v>
      </c>
    </row>
    <row r="79" spans="1:17" ht="10" customHeight="1" x14ac:dyDescent="0.2"/>
    <row r="80" spans="1:17" ht="10" customHeight="1" x14ac:dyDescent="0.2"/>
    <row r="81" spans="1:20" ht="10" customHeight="1" x14ac:dyDescent="0.2">
      <c r="A81" s="6" t="s">
        <v>8841</v>
      </c>
      <c r="B81" s="7"/>
      <c r="C81" s="7"/>
      <c r="D81" s="7"/>
      <c r="E81" s="7"/>
      <c r="F81" s="7"/>
      <c r="G81" s="7"/>
      <c r="H81" s="7"/>
      <c r="I81" s="7"/>
      <c r="J81" s="7"/>
      <c r="K81" s="7"/>
      <c r="L81" s="7"/>
      <c r="M81" s="7"/>
      <c r="N81" s="7"/>
      <c r="O81" s="7"/>
      <c r="P81" s="7"/>
      <c r="Q81" s="7"/>
      <c r="R81" s="7"/>
      <c r="S81" s="7"/>
      <c r="T81" s="7"/>
    </row>
    <row r="82" spans="1:20" ht="10" customHeight="1" x14ac:dyDescent="0.2">
      <c r="A82" s="30"/>
      <c r="B82" s="31" t="s">
        <v>50</v>
      </c>
      <c r="C82" s="30"/>
      <c r="D82" s="30"/>
      <c r="E82" s="30"/>
      <c r="F82" s="30"/>
      <c r="G82" s="30"/>
      <c r="H82" s="30"/>
      <c r="I82" s="30"/>
      <c r="J82" s="30"/>
      <c r="K82" s="30"/>
      <c r="L82" s="30"/>
      <c r="M82" s="30"/>
      <c r="N82" s="30"/>
      <c r="O82" s="30"/>
      <c r="P82" s="31" t="s">
        <v>6805</v>
      </c>
      <c r="Q82" s="30"/>
      <c r="R82" s="30"/>
      <c r="S82" s="30"/>
      <c r="T82" s="32"/>
    </row>
    <row r="83" spans="1:20" ht="10" customHeight="1" x14ac:dyDescent="0.2">
      <c r="A83" s="15" t="s">
        <v>8837</v>
      </c>
      <c r="B83" s="18" t="s">
        <v>88</v>
      </c>
      <c r="C83" s="15" t="s">
        <v>53</v>
      </c>
      <c r="D83" s="15" t="s">
        <v>120</v>
      </c>
      <c r="E83" s="15" t="s">
        <v>70</v>
      </c>
      <c r="F83" s="15" t="s">
        <v>183</v>
      </c>
      <c r="G83" s="15" t="s">
        <v>203</v>
      </c>
      <c r="H83" s="15" t="s">
        <v>5414</v>
      </c>
      <c r="I83" s="15" t="s">
        <v>150</v>
      </c>
      <c r="J83" s="15" t="s">
        <v>246</v>
      </c>
      <c r="K83" s="15" t="s">
        <v>168</v>
      </c>
      <c r="L83" s="15" t="s">
        <v>215</v>
      </c>
      <c r="M83" s="15" t="s">
        <v>144</v>
      </c>
      <c r="N83" s="15" t="s">
        <v>6446</v>
      </c>
      <c r="O83" s="15" t="s">
        <v>227</v>
      </c>
      <c r="P83" s="18" t="s">
        <v>8184</v>
      </c>
      <c r="Q83" s="15" t="s">
        <v>8189</v>
      </c>
      <c r="R83" s="15" t="s">
        <v>8197</v>
      </c>
      <c r="S83" s="15" t="s">
        <v>8208</v>
      </c>
      <c r="T83" s="18" t="s">
        <v>8808</v>
      </c>
    </row>
    <row r="84" spans="1:20" ht="10" customHeight="1" x14ac:dyDescent="0.2">
      <c r="A84" s="16" t="s">
        <v>8838</v>
      </c>
      <c r="B84" s="33">
        <f>IFERROR((SUMIFS(JB_26BV,JB_B,1,JB_H,"SSN",JB_F,"Full ship DD&amp;C",JB_RC,"ADD")+SUMIFS(JB_26BV,JB_B,1,JB_H,"SSN",JB_F,"Full ship DD&amp;C / LLTM",JB_RC,"ADD")+SUMIFS(JB_26BV,JB_B,1,JB_H,"SSN",JB_F,"Full vessel procurement",JB_RC,"ADD"))/B$88,0)</f>
        <v>0.70127258488747768</v>
      </c>
      <c r="C84" s="28">
        <f>IFERROR((SUMIFS(JB_26BV,JB_B,1,JB_H,"SSBN",JB_F,"Full ship DD&amp;C",JB_RC,"ADD")+SUMIFS(JB_26BV,JB_B,1,JB_H,"SSBN",JB_F,"Full ship DD&amp;C / LLTM",JB_RC,"ADD")+SUMIFS(JB_26BV,JB_B,1,JB_H,"SSBN",JB_F,"Full vessel procurement",JB_RC,"ADD"))/C$88,0)</f>
        <v>0.41473108225166716</v>
      </c>
      <c r="D84" s="28">
        <f>IFERROR((SUMIFS(JB_26BV,JB_B,1,JB_H,"DDG",JB_F,"Full ship DD&amp;C",JB_RC,"ADD")+SUMIFS(JB_26BV,JB_B,1,JB_H,"DDG",JB_F,"Full ship DD&amp;C / LLTM",JB_RC,"ADD")+SUMIFS(JB_26BV,JB_B,1,JB_H,"DDG",JB_F,"Full vessel procurement",JB_RC,"ADD"))/D$88,0)</f>
        <v>0.75738691006720937</v>
      </c>
      <c r="E84" s="28">
        <f>IFERROR((SUMIFS(JB_26BV,JB_B,1,JB_H,"CVN",JB_F,"Full ship DD&amp;C",JB_RC,"ADD")+SUMIFS(JB_26BV,JB_B,1,JB_H,"CVN",JB_F,"Full ship DD&amp;C / LLTM",JB_RC,"ADD")+SUMIFS(JB_26BV,JB_B,1,JB_H,"CVN",JB_F,"Full vessel procurement",JB_RC,"ADD"))/E$88,0)</f>
        <v>0.81349817608274799</v>
      </c>
      <c r="F84" s="28">
        <f>IFERROR((SUMIFS(JB_26BV,JB_B,1,JB_H,"LSM",JB_F,"Full ship DD&amp;C",JB_RC,"ADD")+SUMIFS(JB_26BV,JB_B,1,JB_H,"LSM",JB_F,"Full ship DD&amp;C / LLTM",JB_RC,"ADD")+SUMIFS(JB_26BV,JB_B,1,JB_H,"LSM",JB_F,"Full vessel procurement",JB_RC,"ADD"))/F$88,0)</f>
        <v>1</v>
      </c>
      <c r="G84" s="28">
        <f>IFERROR((SUMIFS(JB_26BV,JB_B,1,JB_H,"T-AO",JB_F,"Full ship DD&amp;C",JB_RC,"ADD")+SUMIFS(JB_26BV,JB_B,1,JB_H,"T-AO",JB_F,"Full ship DD&amp;C / LLTM",JB_RC,"ADD")+SUMIFS(JB_26BV,JB_B,1,JB_H,"T-AO",JB_F,"Full vessel procurement",JB_RC,"ADD"))/G$88,0)</f>
        <v>1</v>
      </c>
      <c r="H84" s="28">
        <f>IFERROR((SUMIFS(JB_26BV,JB_B,1,JB_H,"MUSV",JB_F,"Full ship DD&amp;C",JB_RC,"ADD")+SUMIFS(JB_26BV,JB_B,1,JB_H,"MUSV",JB_F,"Full ship DD&amp;C / LLTM",JB_RC,"ADD")+SUMIFS(JB_26BV,JB_B,1,JB_H,"MUSV",JB_F,"Full vessel procurement",JB_RC,"ADD"))/H$88,0)</f>
        <v>1</v>
      </c>
      <c r="I84" s="28">
        <f>IFERROR((SUMIFS(JB_26BV,JB_B,1,JB_H,"LPD",JB_F,"Full ship DD&amp;C",JB_RC,"ADD")+SUMIFS(JB_26BV,JB_B,1,JB_H,"LPD",JB_F,"Full ship DD&amp;C / LLTM",JB_RC,"ADD")+SUMIFS(JB_26BV,JB_B,1,JB_H,"LPD",JB_F,"Full vessel procurement",JB_RC,"ADD"))/I$88,0)</f>
        <v>0.75226051023524443</v>
      </c>
      <c r="J84" s="28">
        <f>IFERROR((SUMIFS(JB_26BV,JB_B,1,JB_H,"T-AKR",JB_F,"Full ship DD&amp;C",JB_RC,"ADD")+SUMIFS(JB_26BV,JB_B,1,JB_H,"T-AKR",JB_F,"Full ship DD&amp;C / LLTM",JB_RC,"ADD")+SUMIFS(JB_26BV,JB_B,1,JB_H,"T-AKR",JB_F,"Full vessel procurement",JB_RC,"ADD"))/J$88,0)</f>
        <v>1</v>
      </c>
      <c r="K84" s="28">
        <f>IFERROR((SUMIFS(JB_26BV,JB_B,1,JB_H,"LHA",JB_F,"Full ship DD&amp;C",JB_RC,"ADD")+SUMIFS(JB_26BV,JB_B,1,JB_H,"LHA",JB_F,"Full ship DD&amp;C / LLTM",JB_RC,"ADD")+SUMIFS(JB_26BV,JB_B,1,JB_H,"LHA",JB_F,"Full vessel procurement",JB_RC,"ADD"))/K$88,0)</f>
        <v>1</v>
      </c>
      <c r="L84" s="28">
        <f>IFERROR((SUMIFS(JB_26BV,JB_B,1,JB_H,"T-AGOS",JB_F,"Full ship DD&amp;C",JB_RC,"ADD")+SUMIFS(JB_26BV,JB_B,1,JB_H,"T-AGOS",JB_F,"Full ship DD&amp;C / LLTM",JB_RC,"ADD")+SUMIFS(JB_26BV,JB_B,1,JB_H,"T-AGOS",JB_F,"Full vessel procurement",JB_RC,"ADD"))/L$88,0)</f>
        <v>1</v>
      </c>
      <c r="M84" s="28">
        <f>IFERROR((SUMIFS(JB_26BV,JB_B,1,JB_H,"FFG",JB_F,"Full ship DD&amp;C",JB_RC,"ADD")+SUMIFS(JB_26BV,JB_B,1,JB_H,"FFG",JB_F,"Full ship DD&amp;C / LLTM",JB_RC,"ADD")+SUMIFS(JB_26BV,JB_B,1,JB_H,"FFG",JB_F,"Full vessel procurement",JB_RC,"ADD"))/M$88,0)</f>
        <v>1</v>
      </c>
      <c r="N84" s="28">
        <f>IFERROR((SUMIFS(JB_26BV,JB_B,1,JB_H,"UUV",JB_F,"Full ship DD&amp;C",JB_RC,"ADD")+SUMIFS(JB_26BV,JB_B,1,JB_H,"UUV",JB_F,"Full ship DD&amp;C / LLTM",JB_RC,"ADD")+SUMIFS(JB_26BV,JB_B,1,JB_H,"UUV",JB_F,"Full vessel procurement",JB_RC,"ADD"))/N$88,0)</f>
        <v>1</v>
      </c>
      <c r="O84" s="28">
        <f>IFERROR((SUMIFS(JB_26BV,JB_B,1,JB_H,"T-ATS",JB_F,"Full ship DD&amp;C",JB_RC,"ADD")+SUMIFS(JB_26BV,JB_B,1,JB_H,"T-ATS",JB_F,"Full ship DD&amp;C / LLTM",JB_RC,"ADD")+SUMIFS(JB_26BV,JB_B,1,JB_H,"T-ATS",JB_F,"Full vessel procurement",JB_RC,"ADD"))/O$88,0)</f>
        <v>1</v>
      </c>
      <c r="P84" s="33">
        <f>IFERROR((SUMIFS(JB_26BV,JB_B,1,JB_H,"WMSM",JB_F,"Full ship DD&amp;C",JB_RC,"ADD")+SUMIFS(JB_26BV,JB_B,1,JB_H,"WMSM",JB_F,"Full ship DD&amp;C / LLTM",JB_RC,"ADD")+SUMIFS(JB_26BV,JB_B,1,JB_H,"WMSM",JB_F,"Full vessel procurement",JB_RC,"ADD"))/P$88,0)</f>
        <v>1</v>
      </c>
      <c r="Q84" s="28">
        <f>IFERROR((SUMIFS(JB_26BV,JB_B,1,JB_H,"WPC",JB_F,"Full ship DD&amp;C",JB_RC,"ADD")+SUMIFS(JB_26BV,JB_B,1,JB_H,"WPC",JB_F,"Full ship DD&amp;C / LLTM",JB_RC,"ADD")+SUMIFS(JB_26BV,JB_B,1,JB_H,"WPC",JB_F,"Full vessel procurement",JB_RC,"ADD"))/Q$88,0)</f>
        <v>1</v>
      </c>
      <c r="R84" s="28">
        <f>IFERROR((SUMIFS(JB_26BV,JB_B,1,JB_H,"WAGB",JB_F,"Full ship DD&amp;C",JB_RC,"ADD")+SUMIFS(JB_26BV,JB_B,1,JB_H,"WAGB",JB_F,"Full ship DD&amp;C / LLTM",JB_RC,"ADD")+SUMIFS(JB_26BV,JB_B,1,JB_H,"WAGB",JB_F,"Full vessel procurement",JB_RC,"ADD"))/R$88,0)</f>
        <v>1</v>
      </c>
      <c r="S84" s="28">
        <f>IFERROR((SUMIFS(JB_26BV,JB_B,1,JB_H,"WCC",JB_F,"Full ship DD&amp;C",JB_RC,"ADD")+SUMIFS(JB_26BV,JB_B,1,JB_H,"WCC",JB_F,"Full ship DD&amp;C / LLTM",JB_RC,"ADD")+SUMIFS(JB_26BV,JB_B,1,JB_H,"WCC",JB_F,"Full vessel procurement",JB_RC,"ADD"))/S$88,0)</f>
        <v>1</v>
      </c>
      <c r="T8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0.72739990807760457</v>
      </c>
    </row>
    <row r="85" spans="1:20" ht="10" customHeight="1" x14ac:dyDescent="0.2">
      <c r="A85" s="16" t="s">
        <v>8839</v>
      </c>
      <c r="B85" s="33">
        <f>IFERROR((SUMIFS(JB_26BV,JB_B,1,JB_H,"SSN",JB_F,"Advance procurement / LLTM",JB_RC,"ADD"))/B$88,0)</f>
        <v>0.29872741511252232</v>
      </c>
      <c r="C85" s="28">
        <f>IFERROR((SUMIFS(JB_26BV,JB_B,1,JB_H,"SSBN",JB_F,"Advance procurement / LLTM",JB_RC,"ADD"))/C$88,0)</f>
        <v>0.56483230471158941</v>
      </c>
      <c r="D85" s="28">
        <f>IFERROR((SUMIFS(JB_26BV,JB_B,1,JB_H,"DDG",JB_F,"Advance procurement / LLTM",JB_RC,"ADD"))/D$88,0)</f>
        <v>0.24261308993279063</v>
      </c>
      <c r="E85" s="28">
        <f>IFERROR((SUMIFS(JB_26BV,JB_B,1,JB_H,"CVN",JB_F,"Advance procurement / LLTM",JB_RC,"ADD"))/E$88,0)</f>
        <v>0.18650182391725195</v>
      </c>
      <c r="F85" s="28">
        <f>IFERROR((SUMIFS(JB_26BV,JB_B,1,JB_H,"LSM",JB_F,"Advance procurement / LLTM",JB_RC,"ADD"))/F$88,0)</f>
        <v>0</v>
      </c>
      <c r="G85" s="28">
        <f>IFERROR((SUMIFS(JB_26BV,JB_B,1,JB_H,"T-AO",JB_F,"Advance procurement / LLTM",JB_RC,"ADD"))/G$88,0)</f>
        <v>0</v>
      </c>
      <c r="H85" s="28">
        <f>IFERROR((SUMIFS(JB_26BV,JB_B,1,JB_H,"MUSV",JB_F,"Advance procurement / LLTM",JB_RC,"ADD"))/H$88,0)</f>
        <v>0</v>
      </c>
      <c r="I85" s="28">
        <f>IFERROR((SUMIFS(JB_26BV,JB_B,1,JB_H,"LPD",JB_F,"Advance procurement / LLTM",JB_RC,"ADD"))/I$88,0)</f>
        <v>0.2477394897647556</v>
      </c>
      <c r="J85" s="28">
        <f>IFERROR((SUMIFS(JB_26BV,JB_B,1,JB_H,"T-AKR",JB_F,"Advance procurement / LLTM",JB_RC,"ADD"))/J$88,0)</f>
        <v>0</v>
      </c>
      <c r="K85" s="28">
        <f>IFERROR((SUMIFS(JB_26BV,JB_B,1,JB_H,"LHA",JB_F,"Advance procurement / LLTM",JB_RC,"ADD"))/K$88,0)</f>
        <v>0</v>
      </c>
      <c r="L85" s="28">
        <f>IFERROR((SUMIFS(JB_26BV,JB_B,1,JB_H,"T-AGOS",JB_F,"Advance procurement / LLTM",JB_RC,"ADD"))/L$88,0)</f>
        <v>0</v>
      </c>
      <c r="M85" s="28">
        <f>IFERROR((SUMIFS(JB_26BV,JB_B,1,JB_H,"FFG",JB_F,"Advance procurement / LLTM",JB_RC,"ADD"))/M$88,0)</f>
        <v>0</v>
      </c>
      <c r="N85" s="28">
        <f>IFERROR((SUMIFS(JB_26BV,JB_B,1,JB_H,"UUV",JB_F,"Advance procurement / LLTM",JB_RC,"ADD"))/N$88,0)</f>
        <v>0</v>
      </c>
      <c r="O85" s="28">
        <f>IFERROR((SUMIFS(JB_26BV,JB_B,1,JB_H,"T-ATS",JB_F,"Advance procurement / LLTM",JB_RC,"ADD"))/O$88,0)</f>
        <v>0</v>
      </c>
      <c r="P85" s="33">
        <f>IFERROR((SUMIFS(JB_26BV,JB_B,1,JB_H,"WMSM",JB_F,"Advance procurement / LLTM",JB_RC,"ADD"))/P$88,0)</f>
        <v>0</v>
      </c>
      <c r="Q85" s="28">
        <f>IFERROR((SUMIFS(JB_26BV,JB_B,1,JB_H,"WPC",JB_F,"Advance procurement / LLTM",JB_RC,"ADD"))/Q$88,0)</f>
        <v>0</v>
      </c>
      <c r="R85" s="28">
        <f>IFERROR((SUMIFS(JB_26BV,JB_B,1,JB_H,"WAGB",JB_F,"Advance procurement / LLTM",JB_RC,"ADD"))/R$88,0)</f>
        <v>0</v>
      </c>
      <c r="S85" s="28">
        <f>IFERROR((SUMIFS(JB_26BV,JB_B,1,JB_H,"WCC",JB_F,"Advance procurement / LLTM",JB_RC,"ADD"))/S$88,0)</f>
        <v>0</v>
      </c>
      <c r="T8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0.26793309943408378</v>
      </c>
    </row>
    <row r="86" spans="1:20" ht="10" customHeight="1" x14ac:dyDescent="0.2">
      <c r="A86" s="16" t="s">
        <v>104</v>
      </c>
      <c r="B86" s="33">
        <f>IFERROR((SUMIFS(JB_26BV,JB_B,1,JB_H,"SSN",JB_F,"RCOH",JB_RC,"ADD"))/B$88,0)</f>
        <v>0</v>
      </c>
      <c r="C86" s="28">
        <f>IFERROR((SUMIFS(JB_26BV,JB_B,1,JB_H,"SSBN",JB_F,"RCOH",JB_RC,"ADD"))/C$88,0)</f>
        <v>0</v>
      </c>
      <c r="D86" s="28">
        <f>IFERROR((SUMIFS(JB_26BV,JB_B,1,JB_H,"DDG",JB_F,"RCOH",JB_RC,"ADD"))/D$88,0)</f>
        <v>0</v>
      </c>
      <c r="E86" s="28">
        <f>IFERROR((SUMIFS(JB_26BV,JB_B,1,JB_H,"CVN",JB_F,"RCOH",JB_RC,"ADD"))/E$88,0)</f>
        <v>0</v>
      </c>
      <c r="F86" s="28">
        <f>IFERROR((SUMIFS(JB_26BV,JB_B,1,JB_H,"LSM",JB_F,"RCOH",JB_RC,"ADD"))/F$88,0)</f>
        <v>0</v>
      </c>
      <c r="G86" s="28">
        <f>IFERROR((SUMIFS(JB_26BV,JB_B,1,JB_H,"T-AO",JB_F,"RCOH",JB_RC,"ADD"))/G$88,0)</f>
        <v>0</v>
      </c>
      <c r="H86" s="28">
        <f>IFERROR((SUMIFS(JB_26BV,JB_B,1,JB_H,"MUSV",JB_F,"RCOH",JB_RC,"ADD"))/H$88,0)</f>
        <v>0</v>
      </c>
      <c r="I86" s="28">
        <f>IFERROR((SUMIFS(JB_26BV,JB_B,1,JB_H,"LPD",JB_F,"RCOH",JB_RC,"ADD"))/I$88,0)</f>
        <v>0</v>
      </c>
      <c r="J86" s="28">
        <f>IFERROR((SUMIFS(JB_26BV,JB_B,1,JB_H,"T-AKR",JB_F,"RCOH",JB_RC,"ADD"))/J$88,0)</f>
        <v>0</v>
      </c>
      <c r="K86" s="28">
        <f>IFERROR((SUMIFS(JB_26BV,JB_B,1,JB_H,"LHA",JB_F,"RCOH",JB_RC,"ADD"))/K$88,0)</f>
        <v>0</v>
      </c>
      <c r="L86" s="28">
        <f>IFERROR((SUMIFS(JB_26BV,JB_B,1,JB_H,"T-AGOS",JB_F,"RCOH",JB_RC,"ADD"))/L$88,0)</f>
        <v>0</v>
      </c>
      <c r="M86" s="28">
        <f>IFERROR((SUMIFS(JB_26BV,JB_B,1,JB_H,"FFG",JB_F,"RCOH",JB_RC,"ADD"))/M$88,0)</f>
        <v>0</v>
      </c>
      <c r="N86" s="28">
        <f>IFERROR((SUMIFS(JB_26BV,JB_B,1,JB_H,"UUV",JB_F,"RCOH",JB_RC,"ADD"))/N$88,0)</f>
        <v>0</v>
      </c>
      <c r="O86" s="28">
        <f>IFERROR((SUMIFS(JB_26BV,JB_B,1,JB_H,"T-ATS",JB_F,"RCOH",JB_RC,"ADD"))/O$88,0)</f>
        <v>0</v>
      </c>
      <c r="P86" s="33">
        <f>IFERROR((SUMIFS(JB_26BV,JB_B,1,JB_H,"WMSM",JB_F,"RCOH",JB_RC,"ADD"))/P$88,0)</f>
        <v>0</v>
      </c>
      <c r="Q86" s="28">
        <f>IFERROR((SUMIFS(JB_26BV,JB_B,1,JB_H,"WPC",JB_F,"RCOH",JB_RC,"ADD"))/Q$88,0)</f>
        <v>0</v>
      </c>
      <c r="R86" s="28">
        <f>IFERROR((SUMIFS(JB_26BV,JB_B,1,JB_H,"WAGB",JB_F,"RCOH",JB_RC,"ADD"))/R$88,0)</f>
        <v>0</v>
      </c>
      <c r="S86" s="28">
        <f>IFERROR((SUMIFS(JB_26BV,JB_B,1,JB_H,"WCC",JB_F,"RCOH",JB_RC,"ADD"))/S$88,0)</f>
        <v>0</v>
      </c>
      <c r="T86" s="33">
        <f>IFERROR((SUMIFS(JB_26BV,JB_B,1,JB_V,"Auxiliary Ships",JB_F,"RCOH",JB_RC,"ADD")+SUMIFS(JB_26BV,JB_B,1,JB_V,"Combatant Ships",JB_F,"RCOH",JB_RC,"ADD")+SUMIFS(JB_26BV,JB_B,1,JB_V,"Cutters",JB_F,"RCOH",JB_RC,"ADD")+SUMIFS(JB_26BV,JB_B,1,JB_V,"Unmanned Maritime Platforms",JB_F,"RCOH",JB_RC,"ADD"))/T$88,0)</f>
        <v>0</v>
      </c>
    </row>
    <row r="87" spans="1:20" ht="10" customHeight="1" x14ac:dyDescent="0.2">
      <c r="A87" s="16" t="s">
        <v>290</v>
      </c>
      <c r="B87" s="33">
        <f>IFERROR((SUMIFS(JB_26BV,JB_B,1,JB_H,"SSN",JB_F,"SLEP",JB_RC,"ADD"))/B$88,0)</f>
        <v>0</v>
      </c>
      <c r="C87" s="28">
        <f>IFERROR((SUMIFS(JB_26BV,JB_B,1,JB_H,"SSBN",JB_F,"SLEP",JB_RC,"ADD"))/C$88,0)</f>
        <v>0</v>
      </c>
      <c r="D87" s="28">
        <f>IFERROR((SUMIFS(JB_26BV,JB_B,1,JB_H,"DDG",JB_F,"SLEP",JB_RC,"ADD"))/D$88,0)</f>
        <v>0</v>
      </c>
      <c r="E87" s="28">
        <f>IFERROR((SUMIFS(JB_26BV,JB_B,1,JB_H,"CVN",JB_F,"SLEP",JB_RC,"ADD"))/E$88,0)</f>
        <v>0</v>
      </c>
      <c r="F87" s="28">
        <f>IFERROR((SUMIFS(JB_26BV,JB_B,1,JB_H,"LSM",JB_F,"SLEP",JB_RC,"ADD"))/F$88,0)</f>
        <v>0</v>
      </c>
      <c r="G87" s="28">
        <f>IFERROR((SUMIFS(JB_26BV,JB_B,1,JB_H,"T-AO",JB_F,"SLEP",JB_RC,"ADD"))/G$88,0)</f>
        <v>0</v>
      </c>
      <c r="H87" s="28">
        <f>IFERROR((SUMIFS(JB_26BV,JB_B,1,JB_H,"MUSV",JB_F,"SLEP",JB_RC,"ADD"))/H$88,0)</f>
        <v>0</v>
      </c>
      <c r="I87" s="28">
        <f>IFERROR((SUMIFS(JB_26BV,JB_B,1,JB_H,"LPD",JB_F,"SLEP",JB_RC,"ADD"))/I$88,0)</f>
        <v>0</v>
      </c>
      <c r="J87" s="28">
        <f>IFERROR((SUMIFS(JB_26BV,JB_B,1,JB_H,"T-AKR",JB_F,"SLEP",JB_RC,"ADD"))/J$88,0)</f>
        <v>0</v>
      </c>
      <c r="K87" s="28">
        <f>IFERROR((SUMIFS(JB_26BV,JB_B,1,JB_H,"LHA",JB_F,"SLEP",JB_RC,"ADD"))/K$88,0)</f>
        <v>0</v>
      </c>
      <c r="L87" s="28">
        <f>IFERROR((SUMIFS(JB_26BV,JB_B,1,JB_H,"T-AGOS",JB_F,"SLEP",JB_RC,"ADD"))/L$88,0)</f>
        <v>0</v>
      </c>
      <c r="M87" s="28">
        <f>IFERROR((SUMIFS(JB_26BV,JB_B,1,JB_H,"FFG",JB_F,"SLEP",JB_RC,"ADD"))/M$88,0)</f>
        <v>0</v>
      </c>
      <c r="N87" s="28">
        <f>IFERROR((SUMIFS(JB_26BV,JB_B,1,JB_H,"UUV",JB_F,"SLEP",JB_RC,"ADD"))/N$88,0)</f>
        <v>0</v>
      </c>
      <c r="O87" s="28">
        <f>IFERROR((SUMIFS(JB_26BV,JB_B,1,JB_H,"T-ATS",JB_F,"SLEP",JB_RC,"ADD"))/O$88,0)</f>
        <v>0</v>
      </c>
      <c r="P87" s="33">
        <f>IFERROR((SUMIFS(JB_26BV,JB_B,1,JB_H,"WMSM",JB_F,"SLEP",JB_RC,"ADD"))/P$88,0)</f>
        <v>0</v>
      </c>
      <c r="Q87" s="28">
        <f>IFERROR((SUMIFS(JB_26BV,JB_B,1,JB_H,"WPC",JB_F,"SLEP",JB_RC,"ADD"))/Q$88,0)</f>
        <v>0</v>
      </c>
      <c r="R87" s="28">
        <f>IFERROR((SUMIFS(JB_26BV,JB_B,1,JB_H,"WAGB",JB_F,"SLEP",JB_RC,"ADD"))/R$88,0)</f>
        <v>0</v>
      </c>
      <c r="S87" s="28">
        <f>IFERROR((SUMIFS(JB_26BV,JB_B,1,JB_H,"WCC",JB_F,"SLEP",JB_RC,"ADD"))/S$88,0)</f>
        <v>0</v>
      </c>
      <c r="T87" s="33">
        <f>IFERROR((SUMIFS(JB_26BV,JB_B,1,JB_V,"Auxiliary Ships",JB_F,"SLEP",JB_RC,"ADD")+SUMIFS(JB_26BV,JB_B,1,JB_V,"Combatant Ships",JB_F,"SLEP",JB_RC,"ADD")+SUMIFS(JB_26BV,JB_B,1,JB_V,"Cutters",JB_F,"SLEP",JB_RC,"ADD")+SUMIFS(JB_26BV,JB_B,1,JB_V,"Unmanned Maritime Platforms",JB_F,"SLEP",JB_RC,"ADD"))/T$88,0)</f>
        <v>0</v>
      </c>
    </row>
    <row r="88" spans="1:20" ht="10" customHeight="1" x14ac:dyDescent="0.2">
      <c r="A88" s="23" t="s">
        <v>8840</v>
      </c>
      <c r="B88" s="34">
        <f>SUMIFS(JB_26BV,JB_B,1,JB_H,"SSN",JB_RC,"ADD")</f>
        <v>10467121</v>
      </c>
      <c r="C88" s="24">
        <f>SUMIFS(JB_26BV,JB_B,1,JB_H,"SSBN",JB_RC,"ADD")</f>
        <v>9473194</v>
      </c>
      <c r="D88" s="24">
        <f>SUMIFS(JB_26BV,JB_B,1,JB_H,"DDG",JB_RC,"ADD")</f>
        <v>7213131</v>
      </c>
      <c r="E88" s="24">
        <f>SUMIFS(JB_26BV,JB_B,1,JB_H,"CVN",JB_RC,"ADD")</f>
        <v>3281673</v>
      </c>
      <c r="F88" s="24">
        <f>SUMIFS(JB_26BV,JB_B,1,JB_H,"LSM",JB_RC,"ADD")</f>
        <v>2763941</v>
      </c>
      <c r="G88" s="24">
        <f>SUMIFS(JB_26BV,JB_B,1,JB_H,"T-AO",JB_RC,"ADD")</f>
        <v>1861705</v>
      </c>
      <c r="H88" s="24">
        <f>SUMIFS(JB_26BV,JB_B,1,JB_H,"MUSV",JB_RC,"ADD")</f>
        <v>1325714</v>
      </c>
      <c r="I88" s="24">
        <f>SUMIFS(JB_26BV,JB_B,1,JB_H,"LPD",JB_RC,"ADD")</f>
        <v>1110037</v>
      </c>
      <c r="J88" s="24">
        <f>SUMIFS(JB_26BV,JB_B,1,JB_H,"T-AKR",JB_RC,"ADD")</f>
        <v>890000</v>
      </c>
      <c r="K88" s="24">
        <f>SUMIFS(JB_26BV,JB_B,1,JB_H,"LHA",JB_RC,"ADD")</f>
        <v>634963</v>
      </c>
      <c r="L88" s="24">
        <f>SUMIFS(JB_26BV,JB_B,1,JB_H,"T-AGOS",JB_RC,"ADD")</f>
        <v>612205</v>
      </c>
      <c r="M88" s="24">
        <f>SUMIFS(JB_26BV,JB_B,1,JB_H,"FFG",JB_RC,"ADD")</f>
        <v>242000</v>
      </c>
      <c r="N88" s="24">
        <f>SUMIFS(JB_26BV,JB_B,1,JB_H,"UUV",JB_RC,"ADD")</f>
        <v>209234</v>
      </c>
      <c r="O88" s="24">
        <f>SUMIFS(JB_26BV,JB_B,1,JB_H,"T-ATS",JB_RC,"ADD")</f>
        <v>141500</v>
      </c>
      <c r="P88" s="34">
        <f>SUMIFS(JB_26BV,JB_B,1,JB_H,"WMSM",JB_RC,"ADD")</f>
        <v>812400</v>
      </c>
      <c r="Q88" s="24">
        <f>SUMIFS(JB_26BV,JB_B,1,JB_H,"WPC",JB_RC,"ADD")</f>
        <v>216000</v>
      </c>
      <c r="R88" s="24">
        <f>SUMIFS(JB_26BV,JB_B,1,JB_H,"WAGB",JB_RC,"ADD")</f>
        <v>130000</v>
      </c>
      <c r="S88" s="24">
        <f>SUMIFS(JB_26BV,JB_B,1,JB_H,"WCC",JB_RC,"ADD")</f>
        <v>98000</v>
      </c>
      <c r="T88" s="34">
        <f>SUM(B88:S88)</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J270"/>
  <sheetViews>
    <sheetView showGridLines="0" workbookViewId="0"/>
  </sheetViews>
  <sheetFormatPr baseColWidth="10" defaultColWidth="8.83203125" defaultRowHeight="15" x14ac:dyDescent="0.2"/>
  <cols>
    <col min="1" max="1" width="30" customWidth="1"/>
    <col min="2" max="9" width="14" customWidth="1"/>
  </cols>
  <sheetData>
    <row r="1" spans="1:10" ht="10" customHeight="1" x14ac:dyDescent="0.2">
      <c r="A1" s="20" t="s">
        <v>8842</v>
      </c>
      <c r="B1" s="21"/>
      <c r="C1" s="21"/>
      <c r="D1" s="21"/>
      <c r="E1" s="21"/>
      <c r="F1" s="21"/>
      <c r="G1" s="21"/>
      <c r="H1" s="21"/>
      <c r="I1" s="21"/>
      <c r="J1" s="21"/>
    </row>
    <row r="2" spans="1:10" ht="10" customHeight="1" x14ac:dyDescent="0.2">
      <c r="A2" s="22" t="s">
        <v>8843</v>
      </c>
    </row>
    <row r="3" spans="1:10" ht="10" customHeight="1" x14ac:dyDescent="0.2"/>
    <row r="4" spans="1:10" ht="10" customHeight="1" x14ac:dyDescent="0.2">
      <c r="A4" s="6" t="s">
        <v>8844</v>
      </c>
      <c r="B4" s="7"/>
    </row>
    <row r="5" spans="1:10" ht="10" customHeight="1" x14ac:dyDescent="0.2">
      <c r="A5" s="16" t="s">
        <v>8829</v>
      </c>
      <c r="B5" s="17">
        <f>SUMIFS(JB_26BV,JB_B,1,JB_V,"Auxiliary Ships",JB_RC,"ADD")+SUMIFS(JB_26BV,JB_B,1,JB_V,"Combatant Ships",JB_RC,"ADD")+SUMIFS(JB_26BV,JB_B,1,JB_V,"Cutters",JB_RC,"ADD")+SUMIFS(JB_26BV,JB_B,1,JB_V,"Unmanned Maritime Platforms",JB_RC,"ADD")</f>
        <v>41482818</v>
      </c>
    </row>
    <row r="6" spans="1:10" ht="10" customHeight="1" x14ac:dyDescent="0.2">
      <c r="A6" s="16" t="s">
        <v>8845</v>
      </c>
      <c r="B6" s="17">
        <f>-SUMIFS(JB_26BV,JB_B,1,JB_W,"Submarines",JB_RC,"ADD")</f>
        <v>-19940315</v>
      </c>
    </row>
    <row r="7" spans="1:10" ht="10" customHeight="1" x14ac:dyDescent="0.2">
      <c r="A7" s="16" t="s">
        <v>8846</v>
      </c>
      <c r="B7" s="17">
        <f>-SUMIFS(JB_26BV,JB_B,1,JB_W,"Aircraft Carriers",JB_RC,"ADD")</f>
        <v>-3281673</v>
      </c>
    </row>
    <row r="8" spans="1:10" ht="10" customHeight="1" x14ac:dyDescent="0.2">
      <c r="A8" s="16" t="s">
        <v>8847</v>
      </c>
      <c r="B8" s="17">
        <f>-SUMIFS(JB_26BV,JB_B,1,JB_W,"Unmanned Undersea Vehicles",JB_RC,"ADD")</f>
        <v>-209234</v>
      </c>
    </row>
    <row r="9" spans="1:10" ht="10" customHeight="1" x14ac:dyDescent="0.2">
      <c r="A9" s="23" t="s">
        <v>8848</v>
      </c>
      <c r="B9" s="24">
        <f>SUM(B5:B8)</f>
        <v>18051596</v>
      </c>
    </row>
    <row r="10" spans="1:10" ht="10" customHeight="1" x14ac:dyDescent="0.2"/>
    <row r="11" spans="1:10" ht="10" customHeight="1" x14ac:dyDescent="0.2"/>
    <row r="12" spans="1:10" ht="10" customHeight="1" x14ac:dyDescent="0.2">
      <c r="A12" s="6" t="s">
        <v>8849</v>
      </c>
      <c r="B12" s="7"/>
      <c r="C12" s="7"/>
      <c r="D12" s="7"/>
      <c r="E12" s="7"/>
      <c r="F12" s="7"/>
      <c r="G12" s="7"/>
      <c r="H12" s="7"/>
    </row>
    <row r="13" spans="1:10" ht="10" customHeight="1" x14ac:dyDescent="0.2">
      <c r="A13" s="15" t="s">
        <v>20</v>
      </c>
      <c r="B13" s="15" t="s">
        <v>8831</v>
      </c>
      <c r="C13" s="15" t="s">
        <v>8850</v>
      </c>
      <c r="D13" s="15" t="s">
        <v>8851</v>
      </c>
      <c r="E13" s="15" t="s">
        <v>104</v>
      </c>
      <c r="F13" s="15" t="s">
        <v>290</v>
      </c>
      <c r="G13" s="15" t="s">
        <v>8808</v>
      </c>
      <c r="H13" s="15" t="s">
        <v>8852</v>
      </c>
    </row>
    <row r="14" spans="1:10" ht="10" customHeight="1" x14ac:dyDescent="0.2">
      <c r="A14" s="16" t="s">
        <v>119</v>
      </c>
      <c r="B14" s="16" t="s">
        <v>50</v>
      </c>
      <c r="C14" s="17">
        <f>SUMIFS(JB_26BV,JB_B,1,JB_W,"Surface Combatants",JB_F,"Full ship DD&amp;C",JB_RC,"ADD")+SUMIFS(JB_26BV,JB_B,1,JB_W,"Surface Combatants",JB_F,"Full ship DD&amp;C / LLTM",JB_RC,"ADD")+SUMIFS(JB_26BV,JB_B,1,JB_W,"Surface Combatants",JB_F,"Full vessel procurement",JB_RC,"ADD")</f>
        <v>5705131</v>
      </c>
      <c r="D14" s="17">
        <f>SUMIFS(JB_26BV,JB_B,1,JB_W,"Surface Combatants",JB_F,"Advance procurement / LLTM",JB_RC,"ADD")</f>
        <v>1750000</v>
      </c>
      <c r="E14" s="17">
        <f>SUMIFS(JB_26BV,JB_B,1,JB_W,"Surface Combatants",JB_F,"RCOH",JB_RC,"ADD")</f>
        <v>0</v>
      </c>
      <c r="F14" s="17">
        <f>SUMIFS(JB_26BV,JB_B,1,JB_W,"Surface Combatants",JB_F,"SLEP",JB_RC,"ADD")</f>
        <v>0</v>
      </c>
      <c r="G14" s="17">
        <f>SUMIFS(JB_26BV,JB_B,1,JB_W,"Surface Combatants",JB_RC,"ADD")</f>
        <v>7455131</v>
      </c>
      <c r="H14" s="28">
        <f t="shared" ref="H14:H25" si="0">IFERROR(G14/G$26,0)</f>
        <v>0.41299013117732081</v>
      </c>
    </row>
    <row r="15" spans="1:10" ht="10" customHeight="1" x14ac:dyDescent="0.2">
      <c r="A15" s="16" t="s">
        <v>182</v>
      </c>
      <c r="B15" s="16" t="s">
        <v>50</v>
      </c>
      <c r="C15" s="17">
        <f>SUMIFS(JB_26BV,JB_B,1,JB_W,"Expeditionary &amp; Seabasing Ships",JB_F,"Full ship DD&amp;C",JB_RC,"ADD")+SUMIFS(JB_26BV,JB_B,1,JB_W,"Expeditionary &amp; Seabasing Ships",JB_F,"Full ship DD&amp;C / LLTM",JB_RC,"ADD")+SUMIFS(JB_26BV,JB_B,1,JB_W,"Expeditionary &amp; Seabasing Ships",JB_F,"Full vessel procurement",JB_RC,"ADD")</f>
        <v>2763941</v>
      </c>
      <c r="D15" s="17">
        <f>SUMIFS(JB_26BV,JB_B,1,JB_W,"Expeditionary &amp; Seabasing Ships",JB_F,"Advance procurement / LLTM",JB_RC,"ADD")</f>
        <v>0</v>
      </c>
      <c r="E15" s="17">
        <f>SUMIFS(JB_26BV,JB_B,1,JB_W,"Expeditionary &amp; Seabasing Ships",JB_F,"RCOH",JB_RC,"ADD")</f>
        <v>0</v>
      </c>
      <c r="F15" s="17">
        <f>SUMIFS(JB_26BV,JB_B,1,JB_W,"Expeditionary &amp; Seabasing Ships",JB_F,"SLEP",JB_RC,"ADD")</f>
        <v>0</v>
      </c>
      <c r="G15" s="17">
        <f>SUMIFS(JB_26BV,JB_B,1,JB_W,"Expeditionary &amp; Seabasing Ships",JB_RC,"ADD")</f>
        <v>2763941</v>
      </c>
      <c r="H15" s="28">
        <f t="shared" si="0"/>
        <v>0.15311338676092684</v>
      </c>
    </row>
    <row r="16" spans="1:10" ht="10" customHeight="1" x14ac:dyDescent="0.2">
      <c r="A16" s="16" t="s">
        <v>202</v>
      </c>
      <c r="B16" s="16" t="s">
        <v>190</v>
      </c>
      <c r="C16" s="17">
        <f>SUMIFS(JB_26BV,JB_B,1,JB_W,"Combat Logistics Ships",JB_F,"Full ship DD&amp;C",JB_RC,"ADD")+SUMIFS(JB_26BV,JB_B,1,JB_W,"Combat Logistics Ships",JB_F,"Full ship DD&amp;C / LLTM",JB_RC,"ADD")+SUMIFS(JB_26BV,JB_B,1,JB_W,"Combat Logistics Ships",JB_F,"Full vessel procurement",JB_RC,"ADD")</f>
        <v>1861705</v>
      </c>
      <c r="D16" s="17">
        <f>SUMIFS(JB_26BV,JB_B,1,JB_W,"Combat Logistics Ships",JB_F,"Advance procurement / LLTM",JB_RC,"ADD")</f>
        <v>0</v>
      </c>
      <c r="E16" s="17">
        <f>SUMIFS(JB_26BV,JB_B,1,JB_W,"Combat Logistics Ships",JB_F,"RCOH",JB_RC,"ADD")</f>
        <v>0</v>
      </c>
      <c r="F16" s="17">
        <f>SUMIFS(JB_26BV,JB_B,1,JB_W,"Combat Logistics Ships",JB_F,"SLEP",JB_RC,"ADD")</f>
        <v>0</v>
      </c>
      <c r="G16" s="17">
        <f>SUMIFS(JB_26BV,JB_B,1,JB_W,"Combat Logistics Ships",JB_RC,"ADD")</f>
        <v>1861705</v>
      </c>
      <c r="H16" s="28">
        <f t="shared" si="0"/>
        <v>0.10313243216832461</v>
      </c>
    </row>
    <row r="17" spans="1:9" ht="10" customHeight="1" x14ac:dyDescent="0.2">
      <c r="A17" s="16" t="s">
        <v>149</v>
      </c>
      <c r="B17" s="16" t="s">
        <v>50</v>
      </c>
      <c r="C17" s="17">
        <f>SUMIFS(JB_26BV,JB_B,1,JB_W,"Amphibious Warfare Ships",JB_F,"Full ship DD&amp;C",JB_RC,"ADD")+SUMIFS(JB_26BV,JB_B,1,JB_W,"Amphibious Warfare Ships",JB_F,"Full ship DD&amp;C / LLTM",JB_RC,"ADD")+SUMIFS(JB_26BV,JB_B,1,JB_W,"Amphibious Warfare Ships",JB_F,"Full vessel procurement",JB_RC,"ADD")</f>
        <v>1470000</v>
      </c>
      <c r="D17" s="17">
        <f>SUMIFS(JB_26BV,JB_B,1,JB_W,"Amphibious Warfare Ships",JB_F,"Advance procurement / LLTM",JB_RC,"ADD")</f>
        <v>275000</v>
      </c>
      <c r="E17" s="17">
        <f>SUMIFS(JB_26BV,JB_B,1,JB_W,"Amphibious Warfare Ships",JB_F,"RCOH",JB_RC,"ADD")</f>
        <v>0</v>
      </c>
      <c r="F17" s="17">
        <f>SUMIFS(JB_26BV,JB_B,1,JB_W,"Amphibious Warfare Ships",JB_F,"SLEP",JB_RC,"ADD")</f>
        <v>0</v>
      </c>
      <c r="G17" s="17">
        <f>SUMIFS(JB_26BV,JB_B,1,JB_W,"Amphibious Warfare Ships",JB_RC,"ADD")</f>
        <v>1745000</v>
      </c>
      <c r="H17" s="28">
        <f t="shared" si="0"/>
        <v>9.666735284791439E-2</v>
      </c>
    </row>
    <row r="18" spans="1:9" ht="10" customHeight="1" x14ac:dyDescent="0.2">
      <c r="A18" s="16" t="s">
        <v>5413</v>
      </c>
      <c r="B18" s="16" t="s">
        <v>50</v>
      </c>
      <c r="C18" s="17">
        <f>SUMIFS(JB_26BV,JB_B,1,JB_W,"Unmanned Surface Vehicles",JB_F,"Full ship DD&amp;C",JB_RC,"ADD")+SUMIFS(JB_26BV,JB_B,1,JB_W,"Unmanned Surface Vehicles",JB_F,"Full ship DD&amp;C / LLTM",JB_RC,"ADD")+SUMIFS(JB_26BV,JB_B,1,JB_W,"Unmanned Surface Vehicles",JB_F,"Full vessel procurement",JB_RC,"ADD")</f>
        <v>1325714</v>
      </c>
      <c r="D18" s="17">
        <f>SUMIFS(JB_26BV,JB_B,1,JB_W,"Unmanned Surface Vehicles",JB_F,"Advance procurement / LLTM",JB_RC,"ADD")</f>
        <v>0</v>
      </c>
      <c r="E18" s="17">
        <f>SUMIFS(JB_26BV,JB_B,1,JB_W,"Unmanned Surface Vehicles",JB_F,"RCOH",JB_RC,"ADD")</f>
        <v>0</v>
      </c>
      <c r="F18" s="17">
        <f>SUMIFS(JB_26BV,JB_B,1,JB_W,"Unmanned Surface Vehicles",JB_F,"SLEP",JB_RC,"ADD")</f>
        <v>0</v>
      </c>
      <c r="G18" s="17">
        <f>SUMIFS(JB_26BV,JB_B,1,JB_W,"Unmanned Surface Vehicles",JB_RC,"ADD")</f>
        <v>1325714</v>
      </c>
      <c r="H18" s="28">
        <f t="shared" si="0"/>
        <v>7.3440265337203423E-2</v>
      </c>
    </row>
    <row r="19" spans="1:9" ht="10" customHeight="1" x14ac:dyDescent="0.2">
      <c r="A19" s="16" t="s">
        <v>245</v>
      </c>
      <c r="B19" s="16" t="s">
        <v>50</v>
      </c>
      <c r="C19" s="17">
        <f>SUMIFS(JB_26BV,JB_B,1,JB_W,"Cargo &amp; Vehicle Cargo Ships",JB_F,"Full ship DD&amp;C",JB_RC,"ADD")+SUMIFS(JB_26BV,JB_B,1,JB_W,"Cargo &amp; Vehicle Cargo Ships",JB_F,"Full ship DD&amp;C / LLTM",JB_RC,"ADD")+SUMIFS(JB_26BV,JB_B,1,JB_W,"Cargo &amp; Vehicle Cargo Ships",JB_F,"Full vessel procurement",JB_RC,"ADD")</f>
        <v>890000</v>
      </c>
      <c r="D19" s="17">
        <f>SUMIFS(JB_26BV,JB_B,1,JB_W,"Cargo &amp; Vehicle Cargo Ships",JB_F,"Advance procurement / LLTM",JB_RC,"ADD")</f>
        <v>0</v>
      </c>
      <c r="E19" s="17">
        <f>SUMIFS(JB_26BV,JB_B,1,JB_W,"Cargo &amp; Vehicle Cargo Ships",JB_F,"RCOH",JB_RC,"ADD")</f>
        <v>0</v>
      </c>
      <c r="F19" s="17">
        <f>SUMIFS(JB_26BV,JB_B,1,JB_W,"Cargo &amp; Vehicle Cargo Ships",JB_F,"SLEP",JB_RC,"ADD")</f>
        <v>0</v>
      </c>
      <c r="G19" s="17">
        <f>SUMIFS(JB_26BV,JB_B,1,JB_W,"Cargo &amp; Vehicle Cargo Ships",JB_RC,"ADD")</f>
        <v>890000</v>
      </c>
      <c r="H19" s="28">
        <f t="shared" si="0"/>
        <v>4.930311979062682E-2</v>
      </c>
    </row>
    <row r="20" spans="1:9" ht="10" customHeight="1" x14ac:dyDescent="0.2">
      <c r="A20" s="16" t="s">
        <v>214</v>
      </c>
      <c r="B20" s="16" t="s">
        <v>50</v>
      </c>
      <c r="C20" s="17">
        <f>SUMIFS(JB_26BV,JB_B,1,JB_W,"Surveillance Ships",JB_F,"Full ship DD&amp;C",JB_RC,"ADD")+SUMIFS(JB_26BV,JB_B,1,JB_W,"Surveillance Ships",JB_F,"Full ship DD&amp;C / LLTM",JB_RC,"ADD")+SUMIFS(JB_26BV,JB_B,1,JB_W,"Surveillance Ships",JB_F,"Full vessel procurement",JB_RC,"ADD")</f>
        <v>612205</v>
      </c>
      <c r="D20" s="17">
        <f>SUMIFS(JB_26BV,JB_B,1,JB_W,"Surveillance Ships",JB_F,"Advance procurement / LLTM",JB_RC,"ADD")</f>
        <v>0</v>
      </c>
      <c r="E20" s="17">
        <f>SUMIFS(JB_26BV,JB_B,1,JB_W,"Surveillance Ships",JB_F,"RCOH",JB_RC,"ADD")</f>
        <v>0</v>
      </c>
      <c r="F20" s="17">
        <f>SUMIFS(JB_26BV,JB_B,1,JB_W,"Surveillance Ships",JB_F,"SLEP",JB_RC,"ADD")</f>
        <v>0</v>
      </c>
      <c r="G20" s="17">
        <f>SUMIFS(JB_26BV,JB_B,1,JB_W,"Surveillance Ships",JB_RC,"ADD")</f>
        <v>612205</v>
      </c>
      <c r="H20" s="28">
        <f t="shared" si="0"/>
        <v>3.3914175788113142E-2</v>
      </c>
    </row>
    <row r="21" spans="1:9" ht="10" customHeight="1" x14ac:dyDescent="0.2">
      <c r="A21" s="16" t="s">
        <v>226</v>
      </c>
      <c r="B21" s="16" t="s">
        <v>190</v>
      </c>
      <c r="C21" s="17">
        <f>SUMIFS(JB_26BV,JB_B,1,JB_W,"Salvage Ships &amp; Fleet Ocean Tugs",JB_F,"Full ship DD&amp;C",JB_RC,"ADD")+SUMIFS(JB_26BV,JB_B,1,JB_W,"Salvage Ships &amp; Fleet Ocean Tugs",JB_F,"Full ship DD&amp;C / LLTM",JB_RC,"ADD")+SUMIFS(JB_26BV,JB_B,1,JB_W,"Salvage Ships &amp; Fleet Ocean Tugs",JB_F,"Full vessel procurement",JB_RC,"ADD")</f>
        <v>141500</v>
      </c>
      <c r="D21" s="17">
        <f>SUMIFS(JB_26BV,JB_B,1,JB_W,"Salvage Ships &amp; Fleet Ocean Tugs",JB_F,"Advance procurement / LLTM",JB_RC,"ADD")</f>
        <v>0</v>
      </c>
      <c r="E21" s="17">
        <f>SUMIFS(JB_26BV,JB_B,1,JB_W,"Salvage Ships &amp; Fleet Ocean Tugs",JB_F,"RCOH",JB_RC,"ADD")</f>
        <v>0</v>
      </c>
      <c r="F21" s="17">
        <f>SUMIFS(JB_26BV,JB_B,1,JB_W,"Salvage Ships &amp; Fleet Ocean Tugs",JB_F,"SLEP",JB_RC,"ADD")</f>
        <v>0</v>
      </c>
      <c r="G21" s="17">
        <f>SUMIFS(JB_26BV,JB_B,1,JB_W,"Salvage Ships &amp; Fleet Ocean Tugs",JB_RC,"ADD")</f>
        <v>141500</v>
      </c>
      <c r="H21" s="28">
        <f t="shared" si="0"/>
        <v>7.8386420790715686E-3</v>
      </c>
    </row>
    <row r="22" spans="1:9" ht="10" customHeight="1" x14ac:dyDescent="0.2">
      <c r="A22" s="16" t="s">
        <v>8182</v>
      </c>
      <c r="B22" s="16" t="s">
        <v>6805</v>
      </c>
      <c r="C22" s="17">
        <f>SUMIFS(JB_26BV,JB_B,1,JB_W,"Offshore Patrol Cutter",JB_F,"Full ship DD&amp;C",JB_RC,"ADD")+SUMIFS(JB_26BV,JB_B,1,JB_W,"Offshore Patrol Cutter",JB_F,"Full ship DD&amp;C / LLTM",JB_RC,"ADD")+SUMIFS(JB_26BV,JB_B,1,JB_W,"Offshore Patrol Cutter",JB_F,"Full vessel procurement",JB_RC,"ADD")</f>
        <v>812400</v>
      </c>
      <c r="D22" s="17">
        <f>SUMIFS(JB_26BV,JB_B,1,JB_W,"Offshore Patrol Cutter",JB_F,"Advance procurement / LLTM",JB_RC,"ADD")</f>
        <v>0</v>
      </c>
      <c r="E22" s="17">
        <f>SUMIFS(JB_26BV,JB_B,1,JB_W,"Offshore Patrol Cutter",JB_F,"RCOH",JB_RC,"ADD")</f>
        <v>0</v>
      </c>
      <c r="F22" s="17">
        <f>SUMIFS(JB_26BV,JB_B,1,JB_W,"Offshore Patrol Cutter",JB_F,"SLEP",JB_RC,"ADD")</f>
        <v>0</v>
      </c>
      <c r="G22" s="17">
        <f>SUMIFS(JB_26BV,JB_B,1,JB_W,"Offshore Patrol Cutter",JB_RC,"ADD")</f>
        <v>812400</v>
      </c>
      <c r="H22" s="28">
        <f t="shared" si="0"/>
        <v>4.5004330918994639E-2</v>
      </c>
    </row>
    <row r="23" spans="1:9" ht="10" customHeight="1" x14ac:dyDescent="0.2">
      <c r="A23" s="16" t="s">
        <v>8188</v>
      </c>
      <c r="B23" s="16" t="s">
        <v>6805</v>
      </c>
      <c r="C23" s="17">
        <f>SUMIFS(JB_26BV,JB_B,1,JB_W,"Fast Response Cutters",JB_F,"Full ship DD&amp;C",JB_RC,"ADD")+SUMIFS(JB_26BV,JB_B,1,JB_W,"Fast Response Cutters",JB_F,"Full ship DD&amp;C / LLTM",JB_RC,"ADD")+SUMIFS(JB_26BV,JB_B,1,JB_W,"Fast Response Cutters",JB_F,"Full vessel procurement",JB_RC,"ADD")</f>
        <v>216000</v>
      </c>
      <c r="D23" s="17">
        <f>SUMIFS(JB_26BV,JB_B,1,JB_W,"Fast Response Cutters",JB_F,"Advance procurement / LLTM",JB_RC,"ADD")</f>
        <v>0</v>
      </c>
      <c r="E23" s="17">
        <f>SUMIFS(JB_26BV,JB_B,1,JB_W,"Fast Response Cutters",JB_F,"RCOH",JB_RC,"ADD")</f>
        <v>0</v>
      </c>
      <c r="F23" s="17">
        <f>SUMIFS(JB_26BV,JB_B,1,JB_W,"Fast Response Cutters",JB_F,"SLEP",JB_RC,"ADD")</f>
        <v>0</v>
      </c>
      <c r="G23" s="17">
        <f>SUMIFS(JB_26BV,JB_B,1,JB_W,"Fast Response Cutters",JB_RC,"ADD")</f>
        <v>216000</v>
      </c>
      <c r="H23" s="28">
        <f t="shared" si="0"/>
        <v>1.1965700982893701E-2</v>
      </c>
    </row>
    <row r="24" spans="1:9" ht="10" customHeight="1" x14ac:dyDescent="0.2">
      <c r="A24" s="16" t="s">
        <v>8196</v>
      </c>
      <c r="B24" s="16" t="s">
        <v>6805</v>
      </c>
      <c r="C24" s="17">
        <f>SUMIFS(JB_26BV,JB_B,1,JB_W,"Icebreakers, Oceangoing",JB_F,"Full ship DD&amp;C",JB_RC,"ADD")+SUMIFS(JB_26BV,JB_B,1,JB_W,"Icebreakers, Oceangoing",JB_F,"Full ship DD&amp;C / LLTM",JB_RC,"ADD")+SUMIFS(JB_26BV,JB_B,1,JB_W,"Icebreakers, Oceangoing",JB_F,"Full vessel procurement",JB_RC,"ADD")</f>
        <v>130000</v>
      </c>
      <c r="D24" s="17">
        <f>SUMIFS(JB_26BV,JB_B,1,JB_W,"Icebreakers, Oceangoing",JB_F,"Advance procurement / LLTM",JB_RC,"ADD")</f>
        <v>0</v>
      </c>
      <c r="E24" s="17">
        <f>SUMIFS(JB_26BV,JB_B,1,JB_W,"Icebreakers, Oceangoing",JB_F,"RCOH",JB_RC,"ADD")</f>
        <v>0</v>
      </c>
      <c r="F24" s="17">
        <f>SUMIFS(JB_26BV,JB_B,1,JB_W,"Icebreakers, Oceangoing",JB_F,"SLEP",JB_RC,"ADD")</f>
        <v>0</v>
      </c>
      <c r="G24" s="17">
        <f>SUMIFS(JB_26BV,JB_B,1,JB_W,"Icebreakers, Oceangoing",JB_RC,"ADD")</f>
        <v>130000</v>
      </c>
      <c r="H24" s="28">
        <f t="shared" si="0"/>
        <v>7.2015792952600981E-3</v>
      </c>
    </row>
    <row r="25" spans="1:9" ht="10" customHeight="1" x14ac:dyDescent="0.2">
      <c r="A25" s="16" t="s">
        <v>8207</v>
      </c>
      <c r="B25" s="16" t="s">
        <v>6805</v>
      </c>
      <c r="C25" s="17">
        <f>SUMIFS(JB_26BV,JB_B,1,JB_W,"Waterways Commerce Cutters",JB_F,"Full ship DD&amp;C",JB_RC,"ADD")+SUMIFS(JB_26BV,JB_B,1,JB_W,"Waterways Commerce Cutters",JB_F,"Full ship DD&amp;C / LLTM",JB_RC,"ADD")+SUMIFS(JB_26BV,JB_B,1,JB_W,"Waterways Commerce Cutters",JB_F,"Full vessel procurement",JB_RC,"ADD")</f>
        <v>98000</v>
      </c>
      <c r="D25" s="17">
        <f>SUMIFS(JB_26BV,JB_B,1,JB_W,"Waterways Commerce Cutters",JB_F,"Advance procurement / LLTM",JB_RC,"ADD")</f>
        <v>0</v>
      </c>
      <c r="E25" s="17">
        <f>SUMIFS(JB_26BV,JB_B,1,JB_W,"Waterways Commerce Cutters",JB_F,"RCOH",JB_RC,"ADD")</f>
        <v>0</v>
      </c>
      <c r="F25" s="17">
        <f>SUMIFS(JB_26BV,JB_B,1,JB_W,"Waterways Commerce Cutters",JB_F,"SLEP",JB_RC,"ADD")</f>
        <v>0</v>
      </c>
      <c r="G25" s="17">
        <f>SUMIFS(JB_26BV,JB_B,1,JB_W,"Waterways Commerce Cutters",JB_RC,"ADD")</f>
        <v>98000</v>
      </c>
      <c r="H25" s="28">
        <f t="shared" si="0"/>
        <v>5.4288828533499197E-3</v>
      </c>
    </row>
    <row r="26" spans="1:9" ht="10" customHeight="1" x14ac:dyDescent="0.2">
      <c r="A26" s="23" t="s">
        <v>8848</v>
      </c>
      <c r="B26" s="23"/>
      <c r="C26" s="24">
        <f>SUM(C14:C25)</f>
        <v>16026596</v>
      </c>
      <c r="D26" s="24">
        <f>SUM(D14:D25)</f>
        <v>2025000</v>
      </c>
      <c r="E26" s="24">
        <f>SUM(E14:E25)</f>
        <v>0</v>
      </c>
      <c r="F26" s="24">
        <f>SUM(F14:F25)</f>
        <v>0</v>
      </c>
      <c r="G26" s="24">
        <f>SUM(G14:G25)</f>
        <v>18051596</v>
      </c>
      <c r="H26" s="29">
        <v>1</v>
      </c>
    </row>
    <row r="27" spans="1:9" ht="10" customHeight="1" x14ac:dyDescent="0.2"/>
    <row r="28" spans="1:9" ht="10" customHeight="1" x14ac:dyDescent="0.2"/>
    <row r="29" spans="1:9" ht="10" customHeight="1" x14ac:dyDescent="0.2">
      <c r="A29" s="6" t="s">
        <v>8853</v>
      </c>
      <c r="B29" s="7"/>
      <c r="C29" s="7"/>
      <c r="D29" s="7"/>
      <c r="E29" s="7"/>
      <c r="F29" s="7"/>
      <c r="G29" s="7"/>
      <c r="H29" s="7"/>
      <c r="I29" s="7"/>
    </row>
    <row r="30" spans="1:9" ht="10" customHeight="1" x14ac:dyDescent="0.2">
      <c r="A30" s="22" t="s">
        <v>8854</v>
      </c>
    </row>
    <row r="31" spans="1:9" ht="10" customHeight="1" x14ac:dyDescent="0.2">
      <c r="A31" s="15" t="s">
        <v>8835</v>
      </c>
      <c r="B31" s="15" t="s">
        <v>20</v>
      </c>
      <c r="C31" s="15" t="s">
        <v>8831</v>
      </c>
      <c r="D31" s="15" t="s">
        <v>8850</v>
      </c>
      <c r="E31" s="15" t="s">
        <v>8851</v>
      </c>
      <c r="F31" s="15" t="s">
        <v>104</v>
      </c>
      <c r="G31" s="15" t="s">
        <v>290</v>
      </c>
      <c r="H31" s="15" t="s">
        <v>8808</v>
      </c>
      <c r="I31" s="15" t="s">
        <v>8852</v>
      </c>
    </row>
    <row r="32" spans="1:9" ht="10" customHeight="1" x14ac:dyDescent="0.2">
      <c r="A32" s="16" t="s">
        <v>120</v>
      </c>
      <c r="B32" s="16" t="s">
        <v>119</v>
      </c>
      <c r="C32" s="16" t="s">
        <v>50</v>
      </c>
      <c r="D32" s="17">
        <f>SUMIFS(JB_26BV,JB_B,1,JB_H,"DDG",JB_F,"Full ship DD&amp;C",JB_RC,"ADD")+SUMIFS(JB_26BV,JB_B,1,JB_H,"DDG",JB_F,"Full ship DD&amp;C / LLTM",JB_RC,"ADD")+SUMIFS(JB_26BV,JB_B,1,JB_H,"DDG",JB_F,"Full vessel procurement",JB_RC,"ADD")</f>
        <v>5463131</v>
      </c>
      <c r="E32" s="17">
        <f>SUMIFS(JB_26BV,JB_B,1,JB_H,"DDG",JB_F,"Advance procurement / LLTM",JB_RC,"ADD")</f>
        <v>1750000</v>
      </c>
      <c r="F32" s="17">
        <f>SUMIFS(JB_26BV,JB_B,1,JB_H,"DDG",JB_F,"RCOH",JB_RC,"ADD")</f>
        <v>0</v>
      </c>
      <c r="G32" s="17">
        <f>SUMIFS(JB_26BV,JB_B,1,JB_H,"DDG",JB_F,"SLEP",JB_RC,"ADD")</f>
        <v>0</v>
      </c>
      <c r="H32" s="17">
        <f>SUMIFS(JB_26BV,JB_B,1,JB_H,"DDG",JB_RC,"ADD")</f>
        <v>7213131</v>
      </c>
      <c r="I32" s="28">
        <f t="shared" ref="I32:I45" si="1">IFERROR(H32/H$46,0)</f>
        <v>0.39958411433537511</v>
      </c>
    </row>
    <row r="33" spans="1:9" ht="10" customHeight="1" x14ac:dyDescent="0.2">
      <c r="A33" s="16" t="s">
        <v>183</v>
      </c>
      <c r="B33" s="16" t="s">
        <v>182</v>
      </c>
      <c r="C33" s="16" t="s">
        <v>50</v>
      </c>
      <c r="D33" s="17">
        <f>SUMIFS(JB_26BV,JB_B,1,JB_H,"LSM",JB_F,"Full ship DD&amp;C",JB_RC,"ADD")+SUMIFS(JB_26BV,JB_B,1,JB_H,"LSM",JB_F,"Full ship DD&amp;C / LLTM",JB_RC,"ADD")+SUMIFS(JB_26BV,JB_B,1,JB_H,"LSM",JB_F,"Full vessel procurement",JB_RC,"ADD")</f>
        <v>2763941</v>
      </c>
      <c r="E33" s="17">
        <f>SUMIFS(JB_26BV,JB_B,1,JB_H,"LSM",JB_F,"Advance procurement / LLTM",JB_RC,"ADD")</f>
        <v>0</v>
      </c>
      <c r="F33" s="17">
        <f>SUMIFS(JB_26BV,JB_B,1,JB_H,"LSM",JB_F,"RCOH",JB_RC,"ADD")</f>
        <v>0</v>
      </c>
      <c r="G33" s="17">
        <f>SUMIFS(JB_26BV,JB_B,1,JB_H,"LSM",JB_F,"SLEP",JB_RC,"ADD")</f>
        <v>0</v>
      </c>
      <c r="H33" s="17">
        <f>SUMIFS(JB_26BV,JB_B,1,JB_H,"LSM",JB_RC,"ADD")</f>
        <v>2763941</v>
      </c>
      <c r="I33" s="28">
        <f t="shared" si="1"/>
        <v>0.15311338676092684</v>
      </c>
    </row>
    <row r="34" spans="1:9" ht="10" customHeight="1" x14ac:dyDescent="0.2">
      <c r="A34" s="16" t="s">
        <v>203</v>
      </c>
      <c r="B34" s="16" t="s">
        <v>202</v>
      </c>
      <c r="C34" s="16" t="s">
        <v>190</v>
      </c>
      <c r="D34" s="17">
        <f>SUMIFS(JB_26BV,JB_B,1,JB_H,"T-AO",JB_F,"Full ship DD&amp;C",JB_RC,"ADD")+SUMIFS(JB_26BV,JB_B,1,JB_H,"T-AO",JB_F,"Full ship DD&amp;C / LLTM",JB_RC,"ADD")+SUMIFS(JB_26BV,JB_B,1,JB_H,"T-AO",JB_F,"Full vessel procurement",JB_RC,"ADD")</f>
        <v>1861705</v>
      </c>
      <c r="E34" s="17">
        <f>SUMIFS(JB_26BV,JB_B,1,JB_H,"T-AO",JB_F,"Advance procurement / LLTM",JB_RC,"ADD")</f>
        <v>0</v>
      </c>
      <c r="F34" s="17">
        <f>SUMIFS(JB_26BV,JB_B,1,JB_H,"T-AO",JB_F,"RCOH",JB_RC,"ADD")</f>
        <v>0</v>
      </c>
      <c r="G34" s="17">
        <f>SUMIFS(JB_26BV,JB_B,1,JB_H,"T-AO",JB_F,"SLEP",JB_RC,"ADD")</f>
        <v>0</v>
      </c>
      <c r="H34" s="17">
        <f>SUMIFS(JB_26BV,JB_B,1,JB_H,"T-AO",JB_RC,"ADD")</f>
        <v>1861705</v>
      </c>
      <c r="I34" s="28">
        <f t="shared" si="1"/>
        <v>0.10313243216832461</v>
      </c>
    </row>
    <row r="35" spans="1:9" ht="10" customHeight="1" x14ac:dyDescent="0.2">
      <c r="A35" s="16" t="s">
        <v>5414</v>
      </c>
      <c r="B35" s="16" t="s">
        <v>5413</v>
      </c>
      <c r="C35" s="16" t="s">
        <v>50</v>
      </c>
      <c r="D35" s="17">
        <f>SUMIFS(JB_26BV,JB_B,1,JB_H,"MUSV",JB_F,"Full ship DD&amp;C",JB_RC,"ADD")+SUMIFS(JB_26BV,JB_B,1,JB_H,"MUSV",JB_F,"Full ship DD&amp;C / LLTM",JB_RC,"ADD")+SUMIFS(JB_26BV,JB_B,1,JB_H,"MUSV",JB_F,"Full vessel procurement",JB_RC,"ADD")</f>
        <v>1325714</v>
      </c>
      <c r="E35" s="17">
        <f>SUMIFS(JB_26BV,JB_B,1,JB_H,"MUSV",JB_F,"Advance procurement / LLTM",JB_RC,"ADD")</f>
        <v>0</v>
      </c>
      <c r="F35" s="17">
        <f>SUMIFS(JB_26BV,JB_B,1,JB_H,"MUSV",JB_F,"RCOH",JB_RC,"ADD")</f>
        <v>0</v>
      </c>
      <c r="G35" s="17">
        <f>SUMIFS(JB_26BV,JB_B,1,JB_H,"MUSV",JB_F,"SLEP",JB_RC,"ADD")</f>
        <v>0</v>
      </c>
      <c r="H35" s="17">
        <f>SUMIFS(JB_26BV,JB_B,1,JB_H,"MUSV",JB_RC,"ADD")</f>
        <v>1325714</v>
      </c>
      <c r="I35" s="28">
        <f t="shared" si="1"/>
        <v>7.3440265337203423E-2</v>
      </c>
    </row>
    <row r="36" spans="1:9" ht="10" customHeight="1" x14ac:dyDescent="0.2">
      <c r="A36" s="16" t="s">
        <v>150</v>
      </c>
      <c r="B36" s="16" t="s">
        <v>149</v>
      </c>
      <c r="C36" s="16" t="s">
        <v>50</v>
      </c>
      <c r="D36" s="17">
        <f>SUMIFS(JB_26BV,JB_B,1,JB_H,"LPD",JB_F,"Full ship DD&amp;C",JB_RC,"ADD")+SUMIFS(JB_26BV,JB_B,1,JB_H,"LPD",JB_F,"Full ship DD&amp;C / LLTM",JB_RC,"ADD")+SUMIFS(JB_26BV,JB_B,1,JB_H,"LPD",JB_F,"Full vessel procurement",JB_RC,"ADD")</f>
        <v>835037</v>
      </c>
      <c r="E36" s="17">
        <f>SUMIFS(JB_26BV,JB_B,1,JB_H,"LPD",JB_F,"Advance procurement / LLTM",JB_RC,"ADD")</f>
        <v>275000</v>
      </c>
      <c r="F36" s="17">
        <f>SUMIFS(JB_26BV,JB_B,1,JB_H,"LPD",JB_F,"RCOH",JB_RC,"ADD")</f>
        <v>0</v>
      </c>
      <c r="G36" s="17">
        <f>SUMIFS(JB_26BV,JB_B,1,JB_H,"LPD",JB_F,"SLEP",JB_RC,"ADD")</f>
        <v>0</v>
      </c>
      <c r="H36" s="17">
        <f>SUMIFS(JB_26BV,JB_B,1,JB_H,"LPD",JB_RC,"ADD")</f>
        <v>1110037</v>
      </c>
      <c r="I36" s="28">
        <f t="shared" si="1"/>
        <v>6.1492457509020257E-2</v>
      </c>
    </row>
    <row r="37" spans="1:9" ht="10" customHeight="1" x14ac:dyDescent="0.2">
      <c r="A37" s="16" t="s">
        <v>246</v>
      </c>
      <c r="B37" s="16" t="s">
        <v>245</v>
      </c>
      <c r="C37" s="16" t="s">
        <v>190</v>
      </c>
      <c r="D37" s="17">
        <f>SUMIFS(JB_26BV,JB_B,1,JB_H,"T-AKR",JB_F,"Full ship DD&amp;C",JB_RC,"ADD")+SUMIFS(JB_26BV,JB_B,1,JB_H,"T-AKR",JB_F,"Full ship DD&amp;C / LLTM",JB_RC,"ADD")+SUMIFS(JB_26BV,JB_B,1,JB_H,"T-AKR",JB_F,"Full vessel procurement",JB_RC,"ADD")</f>
        <v>890000</v>
      </c>
      <c r="E37" s="17">
        <f>SUMIFS(JB_26BV,JB_B,1,JB_H,"T-AKR",JB_F,"Advance procurement / LLTM",JB_RC,"ADD")</f>
        <v>0</v>
      </c>
      <c r="F37" s="17">
        <f>SUMIFS(JB_26BV,JB_B,1,JB_H,"T-AKR",JB_F,"RCOH",JB_RC,"ADD")</f>
        <v>0</v>
      </c>
      <c r="G37" s="17">
        <f>SUMIFS(JB_26BV,JB_B,1,JB_H,"T-AKR",JB_F,"SLEP",JB_RC,"ADD")</f>
        <v>0</v>
      </c>
      <c r="H37" s="17">
        <f>SUMIFS(JB_26BV,JB_B,1,JB_H,"T-AKR",JB_RC,"ADD")</f>
        <v>890000</v>
      </c>
      <c r="I37" s="28">
        <f t="shared" si="1"/>
        <v>4.930311979062682E-2</v>
      </c>
    </row>
    <row r="38" spans="1:9" ht="10" customHeight="1" x14ac:dyDescent="0.2">
      <c r="A38" s="16" t="s">
        <v>168</v>
      </c>
      <c r="B38" s="16" t="s">
        <v>149</v>
      </c>
      <c r="C38" s="16" t="s">
        <v>50</v>
      </c>
      <c r="D38" s="17">
        <f>SUMIFS(JB_26BV,JB_B,1,JB_H,"LHA",JB_F,"Full ship DD&amp;C",JB_RC,"ADD")+SUMIFS(JB_26BV,JB_B,1,JB_H,"LHA",JB_F,"Full ship DD&amp;C / LLTM",JB_RC,"ADD")+SUMIFS(JB_26BV,JB_B,1,JB_H,"LHA",JB_F,"Full vessel procurement",JB_RC,"ADD")</f>
        <v>634963</v>
      </c>
      <c r="E38" s="17">
        <f>SUMIFS(JB_26BV,JB_B,1,JB_H,"LHA",JB_F,"Advance procurement / LLTM",JB_RC,"ADD")</f>
        <v>0</v>
      </c>
      <c r="F38" s="17">
        <f>SUMIFS(JB_26BV,JB_B,1,JB_H,"LHA",JB_F,"RCOH",JB_RC,"ADD")</f>
        <v>0</v>
      </c>
      <c r="G38" s="17">
        <f>SUMIFS(JB_26BV,JB_B,1,JB_H,"LHA",JB_F,"SLEP",JB_RC,"ADD")</f>
        <v>0</v>
      </c>
      <c r="H38" s="17">
        <f>SUMIFS(JB_26BV,JB_B,1,JB_H,"LHA",JB_RC,"ADD")</f>
        <v>634963</v>
      </c>
      <c r="I38" s="28">
        <f t="shared" si="1"/>
        <v>3.5174895338894133E-2</v>
      </c>
    </row>
    <row r="39" spans="1:9" ht="10" customHeight="1" x14ac:dyDescent="0.2">
      <c r="A39" s="16" t="s">
        <v>215</v>
      </c>
      <c r="B39" s="16" t="s">
        <v>214</v>
      </c>
      <c r="C39" s="16" t="s">
        <v>190</v>
      </c>
      <c r="D39" s="17">
        <f>SUMIFS(JB_26BV,JB_B,1,JB_H,"T-AGOS",JB_F,"Full ship DD&amp;C",JB_RC,"ADD")+SUMIFS(JB_26BV,JB_B,1,JB_H,"T-AGOS",JB_F,"Full ship DD&amp;C / LLTM",JB_RC,"ADD")+SUMIFS(JB_26BV,JB_B,1,JB_H,"T-AGOS",JB_F,"Full vessel procurement",JB_RC,"ADD")</f>
        <v>612205</v>
      </c>
      <c r="E39" s="17">
        <f>SUMIFS(JB_26BV,JB_B,1,JB_H,"T-AGOS",JB_F,"Advance procurement / LLTM",JB_RC,"ADD")</f>
        <v>0</v>
      </c>
      <c r="F39" s="17">
        <f>SUMIFS(JB_26BV,JB_B,1,JB_H,"T-AGOS",JB_F,"RCOH",JB_RC,"ADD")</f>
        <v>0</v>
      </c>
      <c r="G39" s="17">
        <f>SUMIFS(JB_26BV,JB_B,1,JB_H,"T-AGOS",JB_F,"SLEP",JB_RC,"ADD")</f>
        <v>0</v>
      </c>
      <c r="H39" s="17">
        <f>SUMIFS(JB_26BV,JB_B,1,JB_H,"T-AGOS",JB_RC,"ADD")</f>
        <v>612205</v>
      </c>
      <c r="I39" s="28">
        <f t="shared" si="1"/>
        <v>3.3914175788113142E-2</v>
      </c>
    </row>
    <row r="40" spans="1:9" ht="10" customHeight="1" x14ac:dyDescent="0.2">
      <c r="A40" s="16" t="s">
        <v>144</v>
      </c>
      <c r="B40" s="16" t="s">
        <v>119</v>
      </c>
      <c r="C40" s="16" t="s">
        <v>50</v>
      </c>
      <c r="D40" s="17">
        <f>SUMIFS(JB_26BV,JB_B,1,JB_H,"FFG",JB_F,"Full ship DD&amp;C",JB_RC,"ADD")+SUMIFS(JB_26BV,JB_B,1,JB_H,"FFG",JB_F,"Full ship DD&amp;C / LLTM",JB_RC,"ADD")+SUMIFS(JB_26BV,JB_B,1,JB_H,"FFG",JB_F,"Full vessel procurement",JB_RC,"ADD")</f>
        <v>242000</v>
      </c>
      <c r="E40" s="17">
        <f>SUMIFS(JB_26BV,JB_B,1,JB_H,"FFG",JB_F,"Advance procurement / LLTM",JB_RC,"ADD")</f>
        <v>0</v>
      </c>
      <c r="F40" s="17">
        <f>SUMIFS(JB_26BV,JB_B,1,JB_H,"FFG",JB_F,"RCOH",JB_RC,"ADD")</f>
        <v>0</v>
      </c>
      <c r="G40" s="17">
        <f>SUMIFS(JB_26BV,JB_B,1,JB_H,"FFG",JB_F,"SLEP",JB_RC,"ADD")</f>
        <v>0</v>
      </c>
      <c r="H40" s="17">
        <f>SUMIFS(JB_26BV,JB_B,1,JB_H,"FFG",JB_RC,"ADD")</f>
        <v>242000</v>
      </c>
      <c r="I40" s="28">
        <f t="shared" si="1"/>
        <v>1.3406016841945721E-2</v>
      </c>
    </row>
    <row r="41" spans="1:9" ht="10" customHeight="1" x14ac:dyDescent="0.2">
      <c r="A41" s="16" t="s">
        <v>227</v>
      </c>
      <c r="B41" s="16" t="s">
        <v>226</v>
      </c>
      <c r="C41" s="16" t="s">
        <v>190</v>
      </c>
      <c r="D41" s="17">
        <f>SUMIFS(JB_26BV,JB_B,1,JB_H,"T-ATS",JB_F,"Full ship DD&amp;C",JB_RC,"ADD")+SUMIFS(JB_26BV,JB_B,1,JB_H,"T-ATS",JB_F,"Full ship DD&amp;C / LLTM",JB_RC,"ADD")+SUMIFS(JB_26BV,JB_B,1,JB_H,"T-ATS",JB_F,"Full vessel procurement",JB_RC,"ADD")</f>
        <v>141500</v>
      </c>
      <c r="E41" s="17">
        <f>SUMIFS(JB_26BV,JB_B,1,JB_H,"T-ATS",JB_F,"Advance procurement / LLTM",JB_RC,"ADD")</f>
        <v>0</v>
      </c>
      <c r="F41" s="17">
        <f>SUMIFS(JB_26BV,JB_B,1,JB_H,"T-ATS",JB_F,"RCOH",JB_RC,"ADD")</f>
        <v>0</v>
      </c>
      <c r="G41" s="17">
        <f>SUMIFS(JB_26BV,JB_B,1,JB_H,"T-ATS",JB_F,"SLEP",JB_RC,"ADD")</f>
        <v>0</v>
      </c>
      <c r="H41" s="17">
        <f>SUMIFS(JB_26BV,JB_B,1,JB_H,"T-ATS",JB_RC,"ADD")</f>
        <v>141500</v>
      </c>
      <c r="I41" s="28">
        <f t="shared" si="1"/>
        <v>7.8386420790715686E-3</v>
      </c>
    </row>
    <row r="42" spans="1:9" ht="10" customHeight="1" x14ac:dyDescent="0.2">
      <c r="A42" s="16" t="s">
        <v>8184</v>
      </c>
      <c r="B42" s="16" t="s">
        <v>8182</v>
      </c>
      <c r="C42" s="16" t="s">
        <v>6805</v>
      </c>
      <c r="D42" s="17">
        <f>SUMIFS(JB_26BV,JB_B,1,JB_H,"WMSM",JB_F,"Full ship DD&amp;C",JB_RC,"ADD")+SUMIFS(JB_26BV,JB_B,1,JB_H,"WMSM",JB_F,"Full ship DD&amp;C / LLTM",JB_RC,"ADD")+SUMIFS(JB_26BV,JB_B,1,JB_H,"WMSM",JB_F,"Full vessel procurement",JB_RC,"ADD")</f>
        <v>812400</v>
      </c>
      <c r="E42" s="17">
        <f>SUMIFS(JB_26BV,JB_B,1,JB_H,"WMSM",JB_F,"Advance procurement / LLTM",JB_RC,"ADD")</f>
        <v>0</v>
      </c>
      <c r="F42" s="17">
        <f>SUMIFS(JB_26BV,JB_B,1,JB_H,"WMSM",JB_F,"RCOH",JB_RC,"ADD")</f>
        <v>0</v>
      </c>
      <c r="G42" s="17">
        <f>SUMIFS(JB_26BV,JB_B,1,JB_H,"WMSM",JB_F,"SLEP",JB_RC,"ADD")</f>
        <v>0</v>
      </c>
      <c r="H42" s="17">
        <f>SUMIFS(JB_26BV,JB_B,1,JB_H,"WMSM",JB_RC,"ADD")</f>
        <v>812400</v>
      </c>
      <c r="I42" s="28">
        <f t="shared" si="1"/>
        <v>4.5004330918994639E-2</v>
      </c>
    </row>
    <row r="43" spans="1:9" ht="10" customHeight="1" x14ac:dyDescent="0.2">
      <c r="A43" s="16" t="s">
        <v>8189</v>
      </c>
      <c r="B43" s="16" t="s">
        <v>8188</v>
      </c>
      <c r="C43" s="16" t="s">
        <v>6805</v>
      </c>
      <c r="D43" s="17">
        <f>SUMIFS(JB_26BV,JB_B,1,JB_H,"WPC",JB_F,"Full ship DD&amp;C",JB_RC,"ADD")+SUMIFS(JB_26BV,JB_B,1,JB_H,"WPC",JB_F,"Full ship DD&amp;C / LLTM",JB_RC,"ADD")+SUMIFS(JB_26BV,JB_B,1,JB_H,"WPC",JB_F,"Full vessel procurement",JB_RC,"ADD")</f>
        <v>216000</v>
      </c>
      <c r="E43" s="17">
        <f>SUMIFS(JB_26BV,JB_B,1,JB_H,"WPC",JB_F,"Advance procurement / LLTM",JB_RC,"ADD")</f>
        <v>0</v>
      </c>
      <c r="F43" s="17">
        <f>SUMIFS(JB_26BV,JB_B,1,JB_H,"WPC",JB_F,"RCOH",JB_RC,"ADD")</f>
        <v>0</v>
      </c>
      <c r="G43" s="17">
        <f>SUMIFS(JB_26BV,JB_B,1,JB_H,"WPC",JB_F,"SLEP",JB_RC,"ADD")</f>
        <v>0</v>
      </c>
      <c r="H43" s="17">
        <f>SUMIFS(JB_26BV,JB_B,1,JB_H,"WPC",JB_RC,"ADD")</f>
        <v>216000</v>
      </c>
      <c r="I43" s="28">
        <f t="shared" si="1"/>
        <v>1.1965700982893701E-2</v>
      </c>
    </row>
    <row r="44" spans="1:9" ht="10" customHeight="1" x14ac:dyDescent="0.2">
      <c r="A44" s="16" t="s">
        <v>8197</v>
      </c>
      <c r="B44" s="16" t="s">
        <v>8196</v>
      </c>
      <c r="C44" s="16" t="s">
        <v>6805</v>
      </c>
      <c r="D44" s="17">
        <f>SUMIFS(JB_26BV,JB_B,1,JB_H,"WAGB",JB_F,"Full ship DD&amp;C",JB_RC,"ADD")+SUMIFS(JB_26BV,JB_B,1,JB_H,"WAGB",JB_F,"Full ship DD&amp;C / LLTM",JB_RC,"ADD")+SUMIFS(JB_26BV,JB_B,1,JB_H,"WAGB",JB_F,"Full vessel procurement",JB_RC,"ADD")</f>
        <v>130000</v>
      </c>
      <c r="E44" s="17">
        <f>SUMIFS(JB_26BV,JB_B,1,JB_H,"WAGB",JB_F,"Advance procurement / LLTM",JB_RC,"ADD")</f>
        <v>0</v>
      </c>
      <c r="F44" s="17">
        <f>SUMIFS(JB_26BV,JB_B,1,JB_H,"WAGB",JB_F,"RCOH",JB_RC,"ADD")</f>
        <v>0</v>
      </c>
      <c r="G44" s="17">
        <f>SUMIFS(JB_26BV,JB_B,1,JB_H,"WAGB",JB_F,"SLEP",JB_RC,"ADD")</f>
        <v>0</v>
      </c>
      <c r="H44" s="17">
        <f>SUMIFS(JB_26BV,JB_B,1,JB_H,"WAGB",JB_RC,"ADD")</f>
        <v>130000</v>
      </c>
      <c r="I44" s="28">
        <f t="shared" si="1"/>
        <v>7.2015792952600981E-3</v>
      </c>
    </row>
    <row r="45" spans="1:9" ht="10" customHeight="1" x14ac:dyDescent="0.2">
      <c r="A45" s="16" t="s">
        <v>8208</v>
      </c>
      <c r="B45" s="16" t="s">
        <v>8207</v>
      </c>
      <c r="C45" s="16" t="s">
        <v>6805</v>
      </c>
      <c r="D45" s="17">
        <f>SUMIFS(JB_26BV,JB_B,1,JB_H,"WCC",JB_F,"Full ship DD&amp;C",JB_RC,"ADD")+SUMIFS(JB_26BV,JB_B,1,JB_H,"WCC",JB_F,"Full ship DD&amp;C / LLTM",JB_RC,"ADD")+SUMIFS(JB_26BV,JB_B,1,JB_H,"WCC",JB_F,"Full vessel procurement",JB_RC,"ADD")</f>
        <v>98000</v>
      </c>
      <c r="E45" s="17">
        <f>SUMIFS(JB_26BV,JB_B,1,JB_H,"WCC",JB_F,"Advance procurement / LLTM",JB_RC,"ADD")</f>
        <v>0</v>
      </c>
      <c r="F45" s="17">
        <f>SUMIFS(JB_26BV,JB_B,1,JB_H,"WCC",JB_F,"RCOH",JB_RC,"ADD")</f>
        <v>0</v>
      </c>
      <c r="G45" s="17">
        <f>SUMIFS(JB_26BV,JB_B,1,JB_H,"WCC",JB_F,"SLEP",JB_RC,"ADD")</f>
        <v>0</v>
      </c>
      <c r="H45" s="17">
        <f>SUMIFS(JB_26BV,JB_B,1,JB_H,"WCC",JB_RC,"ADD")</f>
        <v>98000</v>
      </c>
      <c r="I45" s="28">
        <f t="shared" si="1"/>
        <v>5.4288828533499197E-3</v>
      </c>
    </row>
    <row r="46" spans="1:9" ht="10" customHeight="1" x14ac:dyDescent="0.2">
      <c r="A46" s="23" t="s">
        <v>8848</v>
      </c>
      <c r="B46" s="23"/>
      <c r="C46" s="23"/>
      <c r="D46" s="24">
        <f>SUM(D32:D45)</f>
        <v>16026596</v>
      </c>
      <c r="E46" s="24">
        <f>SUM(E32:E45)</f>
        <v>2025000</v>
      </c>
      <c r="F46" s="24">
        <f>SUM(F32:F45)</f>
        <v>0</v>
      </c>
      <c r="G46" s="24">
        <f>SUM(G32:G45)</f>
        <v>0</v>
      </c>
      <c r="H46" s="24">
        <f>SUM(H32:H45)</f>
        <v>18051596</v>
      </c>
      <c r="I46" s="29">
        <v>1</v>
      </c>
    </row>
    <row r="47" spans="1:9" ht="10" customHeight="1" x14ac:dyDescent="0.2"/>
    <row r="48" spans="1:9" ht="10" customHeight="1" x14ac:dyDescent="0.2"/>
    <row r="49" spans="1:9" ht="10" customHeight="1" x14ac:dyDescent="0.2">
      <c r="A49" s="6" t="s">
        <v>8855</v>
      </c>
      <c r="B49" s="7"/>
    </row>
    <row r="50" spans="1:9" ht="10" customHeight="1" x14ac:dyDescent="0.2">
      <c r="A50" s="16" t="s">
        <v>8848</v>
      </c>
      <c r="B50" s="17">
        <f>H46</f>
        <v>18051596</v>
      </c>
    </row>
    <row r="51" spans="1:9" ht="10" customHeight="1" x14ac:dyDescent="0.2">
      <c r="A51" s="16" t="s">
        <v>8856</v>
      </c>
      <c r="B51" s="17">
        <f>-SUMIFS(JB_26BV,JB_B,1,JB_H,"WMSM",JB_RC,"ADD")</f>
        <v>-812400</v>
      </c>
    </row>
    <row r="52" spans="1:9" ht="10" customHeight="1" x14ac:dyDescent="0.2">
      <c r="A52" s="16" t="s">
        <v>8857</v>
      </c>
      <c r="B52" s="17">
        <f>-SUMIFS(JB_26BV,JB_B,1,JB_H,"WPC",JB_RC,"ADD")</f>
        <v>-216000</v>
      </c>
    </row>
    <row r="53" spans="1:9" ht="10" customHeight="1" x14ac:dyDescent="0.2">
      <c r="A53" s="16" t="s">
        <v>8858</v>
      </c>
      <c r="B53" s="17">
        <f>-SUMIFS(JB_26BV,JB_B,1,JB_H,"WAGB",JB_RC,"ADD")</f>
        <v>-130000</v>
      </c>
    </row>
    <row r="54" spans="1:9" ht="10" customHeight="1" x14ac:dyDescent="0.2">
      <c r="A54" s="16" t="s">
        <v>8859</v>
      </c>
      <c r="B54" s="17">
        <f>-SUMIFS(JB_26BV,JB_B,1,JB_H,"WCC",JB_RC,"ADD")</f>
        <v>-98000</v>
      </c>
    </row>
    <row r="55" spans="1:9" ht="10" customHeight="1" x14ac:dyDescent="0.2">
      <c r="A55" s="16" t="s">
        <v>8860</v>
      </c>
      <c r="B55" s="17">
        <f>-SUMIFS(JB_26BV,JB_B,1,JB_H,"LSM",JB_RC,"ADD")</f>
        <v>-2763941</v>
      </c>
    </row>
    <row r="56" spans="1:9" ht="10" customHeight="1" x14ac:dyDescent="0.2">
      <c r="A56" s="16" t="s">
        <v>8861</v>
      </c>
      <c r="B56" s="17">
        <f>-SUMIFS(JB_26BV,JB_B,1,JB_H,"MUSV",JB_RC,"ADD")</f>
        <v>-1325714</v>
      </c>
    </row>
    <row r="57" spans="1:9" ht="10" customHeight="1" x14ac:dyDescent="0.2">
      <c r="A57" s="16" t="s">
        <v>8862</v>
      </c>
      <c r="B57" s="17">
        <f>-SUMIFS(JB_26BV,JB_B,1,JB_H,"T-AKR",JB_RC,"ADD")</f>
        <v>-890000</v>
      </c>
    </row>
    <row r="58" spans="1:9" ht="10" customHeight="1" x14ac:dyDescent="0.2">
      <c r="A58" s="23" t="s">
        <v>8863</v>
      </c>
      <c r="B58" s="24">
        <f>SUM(B50:B57)</f>
        <v>11815541</v>
      </c>
    </row>
    <row r="59" spans="1:9" ht="10" customHeight="1" x14ac:dyDescent="0.2"/>
    <row r="60" spans="1:9" ht="10" customHeight="1" x14ac:dyDescent="0.2"/>
    <row r="61" spans="1:9" ht="10" customHeight="1" x14ac:dyDescent="0.2">
      <c r="A61" s="6" t="s">
        <v>8864</v>
      </c>
      <c r="B61" s="7"/>
      <c r="C61" s="7"/>
      <c r="D61" s="7"/>
      <c r="E61" s="7"/>
      <c r="F61" s="7"/>
      <c r="G61" s="7"/>
      <c r="H61" s="7"/>
      <c r="I61" s="7"/>
    </row>
    <row r="62" spans="1:9" ht="10" customHeight="1" x14ac:dyDescent="0.2">
      <c r="A62" s="22" t="s">
        <v>8865</v>
      </c>
    </row>
    <row r="63" spans="1:9" ht="10" customHeight="1" x14ac:dyDescent="0.2">
      <c r="A63" s="30"/>
      <c r="B63" s="31" t="s">
        <v>50</v>
      </c>
      <c r="C63" s="30"/>
      <c r="D63" s="30"/>
      <c r="E63" s="30"/>
      <c r="F63" s="30"/>
      <c r="G63" s="30"/>
      <c r="H63" s="30"/>
      <c r="I63" s="32"/>
    </row>
    <row r="64" spans="1:9" ht="10" customHeight="1" x14ac:dyDescent="0.2">
      <c r="A64" s="15" t="s">
        <v>15</v>
      </c>
      <c r="B64" s="18" t="s">
        <v>120</v>
      </c>
      <c r="C64" s="15" t="s">
        <v>144</v>
      </c>
      <c r="D64" s="15" t="s">
        <v>150</v>
      </c>
      <c r="E64" s="15" t="s">
        <v>168</v>
      </c>
      <c r="F64" s="15" t="s">
        <v>215</v>
      </c>
      <c r="G64" s="15" t="s">
        <v>203</v>
      </c>
      <c r="H64" s="15" t="s">
        <v>227</v>
      </c>
      <c r="I64" s="18" t="s">
        <v>8808</v>
      </c>
    </row>
    <row r="65" spans="1:9" ht="10" customHeight="1" x14ac:dyDescent="0.2">
      <c r="A65" s="16" t="s">
        <v>351</v>
      </c>
      <c r="B65" s="35">
        <f>SUMIFS(JB_26BV,JB_B,1,JB_EX,"P-5c",JB_CC,"Plan Costs",JB_H,"DDG",JB_RC,"ALT")</f>
        <v>175748</v>
      </c>
      <c r="C65" s="17">
        <f>SUMIFS(JB_26BV,JB_B,1,JB_EX,"P-5c",JB_CC,"Plan Costs",JB_H,"FFG",JB_RC,"ALT")</f>
        <v>227249</v>
      </c>
      <c r="D65" s="17">
        <f>SUMIFS(JB_26BV,JB_B,1,JB_EX,"P-5c",JB_CC,"Plan Costs",JB_H,"LPD",JB_RC,"ALT")</f>
        <v>0</v>
      </c>
      <c r="E65" s="17">
        <f>SUMIFS(JB_26BV,JB_B,1,JB_EX,"P-5c",JB_CC,"Plan Costs",JB_H,"LHA",JB_RC,"ALT")</f>
        <v>125000</v>
      </c>
      <c r="F65" s="17">
        <f>SUMIFS(JB_26BV,JB_B,1,JB_EX,"P-5c",JB_CC,"Plan Costs",JB_H,"T-AGOS",JB_RC,"ALT")</f>
        <v>113906</v>
      </c>
      <c r="G65" s="17">
        <f>SUMIFS(JB_26BV,JB_B,1,JB_EX,"P-5c",JB_CC,"Plan Costs",JB_H,"T-AO",JB_RC,"ALT")</f>
        <v>0</v>
      </c>
      <c r="H65" s="17">
        <f>SUMIFS(JB_26BV,JB_B,1,JB_EX,"P-5c",JB_CC,"Plan Costs",JB_H,"T-ATS",JB_RC,"ALT")</f>
        <v>0</v>
      </c>
      <c r="I65" s="35">
        <f t="shared" ref="I65:I96" si="2">SUM(B65:H65)</f>
        <v>641903</v>
      </c>
    </row>
    <row r="66" spans="1:9" ht="10" customHeight="1" x14ac:dyDescent="0.2">
      <c r="A66" s="16" t="s">
        <v>179</v>
      </c>
      <c r="B66" s="35">
        <f>SUMIFS(JB_26BV,JB_B,1,JB_EX,"P-5c",JB_CC,"Basic Construction",JB_H,"DDG",JB_RC,"ALT")</f>
        <v>4840767</v>
      </c>
      <c r="C66" s="17">
        <f>SUMIFS(JB_26BV,JB_B,1,JB_EX,"P-5c",JB_CC,"Basic Construction",JB_H,"FFG",JB_RC,"ALT")</f>
        <v>1362749</v>
      </c>
      <c r="D66" s="17">
        <f>SUMIFS(JB_26BV,JB_B,1,JB_EX,"P-5c",JB_CC,"Basic Construction",JB_H,"LPD",JB_RC,"ALT")</f>
        <v>1661620</v>
      </c>
      <c r="E66" s="17">
        <f>SUMIFS(JB_26BV,JB_B,1,JB_EX,"P-5c",JB_CC,"Basic Construction",JB_H,"LHA",JB_RC,"ALT")</f>
        <v>350118</v>
      </c>
      <c r="F66" s="17">
        <f>SUMIFS(JB_26BV,JB_B,1,JB_EX,"P-5c",JB_CC,"Basic Construction",JB_H,"T-AGOS",JB_RC,"ALT")</f>
        <v>460560</v>
      </c>
      <c r="G66" s="17">
        <f>SUMIFS(JB_26BV,JB_B,1,JB_EX,"P-5c",JB_CC,"Basic Construction",JB_H,"T-AO",JB_RC,"ALT")</f>
        <v>8346</v>
      </c>
      <c r="H66" s="17">
        <f>SUMIFS(JB_26BV,JB_B,1,JB_EX,"P-5c",JB_CC,"Basic Construction",JB_H,"T-ATS",JB_RC,"ALT")</f>
        <v>82816</v>
      </c>
      <c r="I66" s="35">
        <f t="shared" si="2"/>
        <v>8766976</v>
      </c>
    </row>
    <row r="67" spans="1:9" ht="10" customHeight="1" x14ac:dyDescent="0.2">
      <c r="A67" s="16" t="s">
        <v>358</v>
      </c>
      <c r="B67" s="35">
        <f>SUMIFS(JB_26BV,JB_B,1,JB_EX,"P-5c",JB_CC,"Change Orders",JB_H,"DDG",JB_RC,"ALT")</f>
        <v>273564</v>
      </c>
      <c r="C67" s="17">
        <f>SUMIFS(JB_26BV,JB_B,1,JB_EX,"P-5c",JB_CC,"Change Orders",JB_H,"FFG",JB_RC,"ALT")</f>
        <v>31119</v>
      </c>
      <c r="D67" s="17">
        <f>SUMIFS(JB_26BV,JB_B,1,JB_EX,"P-5c",JB_CC,"Change Orders",JB_H,"LPD",JB_RC,"ALT")</f>
        <v>35000</v>
      </c>
      <c r="E67" s="17">
        <f>SUMIFS(JB_26BV,JB_B,1,JB_EX,"P-5c",JB_CC,"Change Orders",JB_H,"LHA",JB_RC,"ALT")</f>
        <v>70183</v>
      </c>
      <c r="F67" s="17">
        <f>SUMIFS(JB_26BV,JB_B,1,JB_EX,"P-5c",JB_CC,"Change Orders",JB_H,"T-AGOS",JB_RC,"ALT")</f>
        <v>13662</v>
      </c>
      <c r="G67" s="17">
        <f>SUMIFS(JB_26BV,JB_B,1,JB_EX,"P-5c",JB_CC,"Change Orders",JB_H,"T-AO",JB_RC,"ALT")</f>
        <v>7900</v>
      </c>
      <c r="H67" s="17">
        <f>SUMIFS(JB_26BV,JB_B,1,JB_EX,"P-5c",JB_CC,"Change Orders",JB_H,"T-ATS",JB_RC,"ALT")</f>
        <v>2493</v>
      </c>
      <c r="I67" s="35">
        <f t="shared" si="2"/>
        <v>433921</v>
      </c>
    </row>
    <row r="68" spans="1:9" ht="10" customHeight="1" x14ac:dyDescent="0.2">
      <c r="A68" s="16" t="s">
        <v>361</v>
      </c>
      <c r="B68" s="35">
        <f>SUMIFS(JB_26BV,JB_B,1,JB_EX,"P-5c",JB_CC,"Electronics",JB_H,"DDG",JB_RC,"ALT")</f>
        <v>935490</v>
      </c>
      <c r="C68" s="17">
        <f>SUMIFS(JB_26BV,JB_B,1,JB_EX,"P-5c",JB_CC,"Electronics",JB_H,"FFG",JB_RC,"ALT")</f>
        <v>614217</v>
      </c>
      <c r="D68" s="17">
        <f>SUMIFS(JB_26BV,JB_B,1,JB_EX,"P-5c",JB_CC,"Electronics",JB_H,"LPD",JB_RC,"ALT")</f>
        <v>244582</v>
      </c>
      <c r="E68" s="17">
        <f>SUMIFS(JB_26BV,JB_B,1,JB_EX,"P-5c",JB_CC,"Electronics",JB_H,"LHA",JB_RC,"ALT")</f>
        <v>335010</v>
      </c>
      <c r="F68" s="17">
        <f>SUMIFS(JB_26BV,JB_B,1,JB_EX,"P-5c",JB_CC,"Electronics",JB_H,"T-AGOS",JB_RC,"ALT")</f>
        <v>115983</v>
      </c>
      <c r="G68" s="17">
        <f>SUMIFS(JB_26BV,JB_B,1,JB_EX,"P-5c",JB_CC,"Electronics",JB_H,"T-AO",JB_RC,"ALT")</f>
        <v>51586</v>
      </c>
      <c r="H68" s="17">
        <f>SUMIFS(JB_26BV,JB_B,1,JB_EX,"P-5c",JB_CC,"Electronics",JB_H,"T-ATS",JB_RC,"ALT")</f>
        <v>5696</v>
      </c>
      <c r="I68" s="35">
        <f t="shared" si="2"/>
        <v>2302564</v>
      </c>
    </row>
    <row r="69" spans="1:9" ht="10" customHeight="1" x14ac:dyDescent="0.2">
      <c r="A69" s="36" t="s">
        <v>8866</v>
      </c>
      <c r="B69" s="37">
        <f>SUMIFS(JB_26BV,JB_B,1,JB_EX,"P-8a",JB_CC,"Electronics",JB_H,"DDG",JB_CE,"VERTICAL LAUNCHING SYSTEM (VLS) MK 57 4-CELL MODULES",JB_RC,"ALT")</f>
        <v>302815</v>
      </c>
      <c r="C69" s="38">
        <f>SUMIFS(JB_26BV,JB_B,1,JB_EX,"P-8a",JB_CC,"Electronics",JB_H,"FFG",JB_CE,"VERTICAL LAUNCHING SYSTEM (VLS) MK 57 4-CELL MODULES",JB_RC,"ALT")</f>
        <v>0</v>
      </c>
      <c r="D69" s="38">
        <f>SUMIFS(JB_26BV,JB_B,1,JB_EX,"P-8a",JB_CC,"Electronics",JB_H,"LPD",JB_CE,"VERTICAL LAUNCHING SYSTEM (VLS) MK 57 4-CELL MODULES",JB_RC,"ALT")</f>
        <v>0</v>
      </c>
      <c r="E69" s="38">
        <f>SUMIFS(JB_26BV,JB_B,1,JB_EX,"P-8a",JB_CC,"Electronics",JB_H,"LHA",JB_CE,"VERTICAL LAUNCHING SYSTEM (VLS) MK 57 4-CELL MODULES",JB_RC,"ALT")</f>
        <v>0</v>
      </c>
      <c r="F69" s="38">
        <f>SUMIFS(JB_26BV,JB_B,1,JB_EX,"P-8a",JB_CC,"Electronics",JB_H,"T-AGOS",JB_CE,"VERTICAL LAUNCHING SYSTEM (VLS) MK 57 4-CELL MODULES",JB_RC,"ALT")</f>
        <v>0</v>
      </c>
      <c r="G69" s="38">
        <f>SUMIFS(JB_26BV,JB_B,1,JB_EX,"P-8a",JB_CC,"Electronics",JB_H,"T-AO",JB_CE,"VERTICAL LAUNCHING SYSTEM (VLS) MK 57 4-CELL MODULES",JB_RC,"ALT")</f>
        <v>0</v>
      </c>
      <c r="H69" s="38">
        <f>SUMIFS(JB_26BV,JB_B,1,JB_EX,"P-8a",JB_CC,"Electronics",JB_H,"T-ATS",JB_CE,"VERTICAL LAUNCHING SYSTEM (VLS) MK 57 4-CELL MODULES",JB_RC,"ALT")</f>
        <v>0</v>
      </c>
      <c r="I69" s="37">
        <f t="shared" si="2"/>
        <v>302815</v>
      </c>
    </row>
    <row r="70" spans="1:9" ht="10" customHeight="1" x14ac:dyDescent="0.2">
      <c r="A70" s="36" t="s">
        <v>8867</v>
      </c>
      <c r="B70" s="37">
        <f>SUMIFS(JB_26BV,JB_B,1,JB_EX,"P-8a",JB_CC,"Electronics",JB_H,"DDG",JB_CE,"MULTI FUNCTION RADAR (MFR)",JB_RC,"ALT")</f>
        <v>297999</v>
      </c>
      <c r="C70" s="38">
        <f>SUMIFS(JB_26BV,JB_B,1,JB_EX,"P-8a",JB_CC,"Electronics",JB_H,"FFG",JB_CE,"MULTI FUNCTION RADAR (MFR)",JB_RC,"ALT")</f>
        <v>0</v>
      </c>
      <c r="D70" s="38">
        <f>SUMIFS(JB_26BV,JB_B,1,JB_EX,"P-8a",JB_CC,"Electronics",JB_H,"LPD",JB_CE,"MULTI FUNCTION RADAR (MFR)",JB_RC,"ALT")</f>
        <v>0</v>
      </c>
      <c r="E70" s="38">
        <f>SUMIFS(JB_26BV,JB_B,1,JB_EX,"P-8a",JB_CC,"Electronics",JB_H,"LHA",JB_CE,"MULTI FUNCTION RADAR (MFR)",JB_RC,"ALT")</f>
        <v>0</v>
      </c>
      <c r="F70" s="38">
        <f>SUMIFS(JB_26BV,JB_B,1,JB_EX,"P-8a",JB_CC,"Electronics",JB_H,"T-AGOS",JB_CE,"MULTI FUNCTION RADAR (MFR)",JB_RC,"ALT")</f>
        <v>0</v>
      </c>
      <c r="G70" s="38">
        <f>SUMIFS(JB_26BV,JB_B,1,JB_EX,"P-8a",JB_CC,"Electronics",JB_H,"T-AO",JB_CE,"MULTI FUNCTION RADAR (MFR)",JB_RC,"ALT")</f>
        <v>0</v>
      </c>
      <c r="H70" s="38">
        <f>SUMIFS(JB_26BV,JB_B,1,JB_EX,"P-8a",JB_CC,"Electronics",JB_H,"T-ATS",JB_CE,"MULTI FUNCTION RADAR (MFR)",JB_RC,"ALT")</f>
        <v>0</v>
      </c>
      <c r="I70" s="37">
        <f t="shared" si="2"/>
        <v>297999</v>
      </c>
    </row>
    <row r="71" spans="1:9" ht="10" customHeight="1" x14ac:dyDescent="0.2">
      <c r="A71" s="36" t="s">
        <v>8868</v>
      </c>
      <c r="B71" s="37">
        <f>SUMIFS(JB_26BV,JB_B,1,JB_EX,"P-8a",JB_CC,"Electronics",JB_H,"DDG",JB_CE,"TOTAL SHIP COMPUTING ENVIRONMENT (TSCE)",JB_RC,"ALT")</f>
        <v>259191</v>
      </c>
      <c r="C71" s="38">
        <f>SUMIFS(JB_26BV,JB_B,1,JB_EX,"P-8a",JB_CC,"Electronics",JB_H,"FFG",JB_CE,"TOTAL SHIP COMPUTING ENVIRONMENT (TSCE)",JB_RC,"ALT")</f>
        <v>0</v>
      </c>
      <c r="D71" s="38">
        <f>SUMIFS(JB_26BV,JB_B,1,JB_EX,"P-8a",JB_CC,"Electronics",JB_H,"LPD",JB_CE,"TOTAL SHIP COMPUTING ENVIRONMENT (TSCE)",JB_RC,"ALT")</f>
        <v>0</v>
      </c>
      <c r="E71" s="38">
        <f>SUMIFS(JB_26BV,JB_B,1,JB_EX,"P-8a",JB_CC,"Electronics",JB_H,"LHA",JB_CE,"TOTAL SHIP COMPUTING ENVIRONMENT (TSCE)",JB_RC,"ALT")</f>
        <v>0</v>
      </c>
      <c r="F71" s="38">
        <f>SUMIFS(JB_26BV,JB_B,1,JB_EX,"P-8a",JB_CC,"Electronics",JB_H,"T-AGOS",JB_CE,"TOTAL SHIP COMPUTING ENVIRONMENT (TSCE)",JB_RC,"ALT")</f>
        <v>0</v>
      </c>
      <c r="G71" s="38">
        <f>SUMIFS(JB_26BV,JB_B,1,JB_EX,"P-8a",JB_CC,"Electronics",JB_H,"T-AO",JB_CE,"TOTAL SHIP COMPUTING ENVIRONMENT (TSCE)",JB_RC,"ALT")</f>
        <v>0</v>
      </c>
      <c r="H71" s="38">
        <f>SUMIFS(JB_26BV,JB_B,1,JB_EX,"P-8a",JB_CC,"Electronics",JB_H,"T-ATS",JB_CE,"TOTAL SHIP COMPUTING ENVIRONMENT (TSCE)",JB_RC,"ALT")</f>
        <v>0</v>
      </c>
      <c r="I71" s="37">
        <f t="shared" si="2"/>
        <v>259191</v>
      </c>
    </row>
    <row r="72" spans="1:9" ht="10" customHeight="1" x14ac:dyDescent="0.2">
      <c r="A72" s="36" t="s">
        <v>8869</v>
      </c>
      <c r="B72" s="37">
        <f>SUMIFS(JB_26BV,JB_B,1,JB_EX,"P-8a",JB_CC,"Electronics",JB_H,"DDG",JB_CE,"AN/SLQ-32 SEWIP V(7)",JB_RC,"ALT")</f>
        <v>247277</v>
      </c>
      <c r="C72" s="38">
        <f>SUMIFS(JB_26BV,JB_B,1,JB_EX,"P-8a",JB_CC,"Electronics",JB_H,"FFG",JB_CE,"AN/SLQ-32 SEWIP V(7)",JB_RC,"ALT")</f>
        <v>0</v>
      </c>
      <c r="D72" s="38">
        <f>SUMIFS(JB_26BV,JB_B,1,JB_EX,"P-8a",JB_CC,"Electronics",JB_H,"LPD",JB_CE,"AN/SLQ-32 SEWIP V(7)",JB_RC,"ALT")</f>
        <v>0</v>
      </c>
      <c r="E72" s="38">
        <f>SUMIFS(JB_26BV,JB_B,1,JB_EX,"P-8a",JB_CC,"Electronics",JB_H,"LHA",JB_CE,"AN/SLQ-32 SEWIP V(7)",JB_RC,"ALT")</f>
        <v>0</v>
      </c>
      <c r="F72" s="38">
        <f>SUMIFS(JB_26BV,JB_B,1,JB_EX,"P-8a",JB_CC,"Electronics",JB_H,"T-AGOS",JB_CE,"AN/SLQ-32 SEWIP V(7)",JB_RC,"ALT")</f>
        <v>0</v>
      </c>
      <c r="G72" s="38">
        <f>SUMIFS(JB_26BV,JB_B,1,JB_EX,"P-8a",JB_CC,"Electronics",JB_H,"T-AO",JB_CE,"AN/SLQ-32 SEWIP V(7)",JB_RC,"ALT")</f>
        <v>0</v>
      </c>
      <c r="H72" s="38">
        <f>SUMIFS(JB_26BV,JB_B,1,JB_EX,"P-8a",JB_CC,"Electronics",JB_H,"T-ATS",JB_CE,"AN/SLQ-32 SEWIP V(7)",JB_RC,"ALT")</f>
        <v>0</v>
      </c>
      <c r="I72" s="37">
        <f t="shared" si="2"/>
        <v>247277</v>
      </c>
    </row>
    <row r="73" spans="1:9" ht="10" customHeight="1" x14ac:dyDescent="0.2">
      <c r="A73" s="36" t="s">
        <v>8870</v>
      </c>
      <c r="B73" s="37">
        <f>SUMIFS(JB_26BV,JB_B,1,JB_EX,"P-8a",JB_CC,"Electronics",JB_H,"DDG",JB_CE,"EXCOMM",JB_RC,"ALT")</f>
        <v>194160</v>
      </c>
      <c r="C73" s="38">
        <f>SUMIFS(JB_26BV,JB_B,1,JB_EX,"P-8a",JB_CC,"Electronics",JB_H,"FFG",JB_CE,"EXCOMM",JB_RC,"ALT")</f>
        <v>0</v>
      </c>
      <c r="D73" s="38">
        <f>SUMIFS(JB_26BV,JB_B,1,JB_EX,"P-8a",JB_CC,"Electronics",JB_H,"LPD",JB_CE,"EXCOMM",JB_RC,"ALT")</f>
        <v>0</v>
      </c>
      <c r="E73" s="38">
        <f>SUMIFS(JB_26BV,JB_B,1,JB_EX,"P-8a",JB_CC,"Electronics",JB_H,"LHA",JB_CE,"EXCOMM",JB_RC,"ALT")</f>
        <v>0</v>
      </c>
      <c r="F73" s="38">
        <f>SUMIFS(JB_26BV,JB_B,1,JB_EX,"P-8a",JB_CC,"Electronics",JB_H,"T-AGOS",JB_CE,"EXCOMM",JB_RC,"ALT")</f>
        <v>0</v>
      </c>
      <c r="G73" s="38">
        <f>SUMIFS(JB_26BV,JB_B,1,JB_EX,"P-8a",JB_CC,"Electronics",JB_H,"T-AO",JB_CE,"EXCOMM",JB_RC,"ALT")</f>
        <v>0</v>
      </c>
      <c r="H73" s="38">
        <f>SUMIFS(JB_26BV,JB_B,1,JB_EX,"P-8a",JB_CC,"Electronics",JB_H,"T-ATS",JB_CE,"EXCOMM",JB_RC,"ALT")</f>
        <v>0</v>
      </c>
      <c r="I73" s="37">
        <f t="shared" si="2"/>
        <v>194160</v>
      </c>
    </row>
    <row r="74" spans="1:9" ht="10" customHeight="1" x14ac:dyDescent="0.2">
      <c r="A74" s="36" t="s">
        <v>8871</v>
      </c>
      <c r="B74" s="37">
        <f>SUMIFS(JB_26BV,JB_B,1,JB_EX,"P-8a",JB_CC,"Electronics",JB_H,"DDG",JB_CE,"SQQ 89 ASW",JB_RC,"ALT")</f>
        <v>177416</v>
      </c>
      <c r="C74" s="38">
        <f>SUMIFS(JB_26BV,JB_B,1,JB_EX,"P-8a",JB_CC,"Electronics",JB_H,"FFG",JB_CE,"SQQ 89 ASW",JB_RC,"ALT")</f>
        <v>0</v>
      </c>
      <c r="D74" s="38">
        <f>SUMIFS(JB_26BV,JB_B,1,JB_EX,"P-8a",JB_CC,"Electronics",JB_H,"LPD",JB_CE,"SQQ 89 ASW",JB_RC,"ALT")</f>
        <v>0</v>
      </c>
      <c r="E74" s="38">
        <f>SUMIFS(JB_26BV,JB_B,1,JB_EX,"P-8a",JB_CC,"Electronics",JB_H,"LHA",JB_CE,"SQQ 89 ASW",JB_RC,"ALT")</f>
        <v>0</v>
      </c>
      <c r="F74" s="38">
        <f>SUMIFS(JB_26BV,JB_B,1,JB_EX,"P-8a",JB_CC,"Electronics",JB_H,"T-AGOS",JB_CE,"SQQ 89 ASW",JB_RC,"ALT")</f>
        <v>0</v>
      </c>
      <c r="G74" s="38">
        <f>SUMIFS(JB_26BV,JB_B,1,JB_EX,"P-8a",JB_CC,"Electronics",JB_H,"T-AO",JB_CE,"SQQ 89 ASW",JB_RC,"ALT")</f>
        <v>0</v>
      </c>
      <c r="H74" s="38">
        <f>SUMIFS(JB_26BV,JB_B,1,JB_EX,"P-8a",JB_CC,"Electronics",JB_H,"T-ATS",JB_CE,"SQQ 89 ASW",JB_RC,"ALT")</f>
        <v>0</v>
      </c>
      <c r="I74" s="37">
        <f t="shared" si="2"/>
        <v>177416</v>
      </c>
    </row>
    <row r="75" spans="1:9" ht="10" customHeight="1" x14ac:dyDescent="0.2">
      <c r="A75" s="36" t="s">
        <v>8872</v>
      </c>
      <c r="B75" s="37">
        <f>SUMIFS(JB_26BV,JB_B,1,JB_EX,"P-8a",JB_CC,"Electronics",JB_H,"DDG",JB_CE,"Command, Control, Communication, Computer Intelligence Surveillance and Reconnaissance (C4ISR)",JB_RC,"ALT")</f>
        <v>0</v>
      </c>
      <c r="C75" s="38">
        <f>SUMIFS(JB_26BV,JB_B,1,JB_EX,"P-8a",JB_CC,"Electronics",JB_H,"FFG",JB_CE,"Command, Control, Communication, Computer Intelligence Surveillance and Reconnaissance (C4ISR)",JB_RC,"ALT")</f>
        <v>0</v>
      </c>
      <c r="D75" s="38">
        <f>SUMIFS(JB_26BV,JB_B,1,JB_EX,"P-8a",JB_CC,"Electronics",JB_H,"LPD",JB_CE,"Command, Control, Communication, Computer Intelligence Surveillance and Reconnaissance (C4ISR)",JB_RC,"ALT")</f>
        <v>0</v>
      </c>
      <c r="E75" s="38">
        <f>SUMIFS(JB_26BV,JB_B,1,JB_EX,"P-8a",JB_CC,"Electronics",JB_H,"LHA",JB_CE,"Command, Control, Communication, Computer Intelligence Surveillance and Reconnaissance (C4ISR)",JB_RC,"ALT")</f>
        <v>169701</v>
      </c>
      <c r="F75" s="38">
        <f>SUMIFS(JB_26BV,JB_B,1,JB_EX,"P-8a",JB_CC,"Electronics",JB_H,"T-AGOS",JB_CE,"Command, Control, Communication, Computer Intelligence Surveillance and Reconnaissance (C4ISR)",JB_RC,"ALT")</f>
        <v>0</v>
      </c>
      <c r="G75" s="38">
        <f>SUMIFS(JB_26BV,JB_B,1,JB_EX,"P-8a",JB_CC,"Electronics",JB_H,"T-AO",JB_CE,"Command, Control, Communication, Computer Intelligence Surveillance and Reconnaissance (C4ISR)",JB_RC,"ALT")</f>
        <v>0</v>
      </c>
      <c r="H75" s="38">
        <f>SUMIFS(JB_26BV,JB_B,1,JB_EX,"P-8a",JB_CC,"Electronics",JB_H,"T-ATS",JB_CE,"Command, Control, Communication, Computer Intelligence Surveillance and Reconnaissance (C4ISR)",JB_RC,"ALT")</f>
        <v>0</v>
      </c>
      <c r="I75" s="37">
        <f t="shared" si="2"/>
        <v>169701</v>
      </c>
    </row>
    <row r="76" spans="1:9" ht="10" customHeight="1" x14ac:dyDescent="0.2">
      <c r="A76" s="36" t="s">
        <v>8873</v>
      </c>
      <c r="B76" s="37">
        <f>SUMIFS(JB_26BV,JB_B,1,JB_EX,"P-8a",JB_CC,"Electronics",JB_H,"DDG",JB_CE,"MISSION SYSTEM ENGR INTEGR &amp; TEST (MSEIT)",JB_RC,"ALT")</f>
        <v>132510</v>
      </c>
      <c r="C76" s="38">
        <f>SUMIFS(JB_26BV,JB_B,1,JB_EX,"P-8a",JB_CC,"Electronics",JB_H,"FFG",JB_CE,"MISSION SYSTEM ENGR INTEGR &amp; TEST (MSEIT)",JB_RC,"ALT")</f>
        <v>0</v>
      </c>
      <c r="D76" s="38">
        <f>SUMIFS(JB_26BV,JB_B,1,JB_EX,"P-8a",JB_CC,"Electronics",JB_H,"LPD",JB_CE,"MISSION SYSTEM ENGR INTEGR &amp; TEST (MSEIT)",JB_RC,"ALT")</f>
        <v>0</v>
      </c>
      <c r="E76" s="38">
        <f>SUMIFS(JB_26BV,JB_B,1,JB_EX,"P-8a",JB_CC,"Electronics",JB_H,"LHA",JB_CE,"MISSION SYSTEM ENGR INTEGR &amp; TEST (MSEIT)",JB_RC,"ALT")</f>
        <v>0</v>
      </c>
      <c r="F76" s="38">
        <f>SUMIFS(JB_26BV,JB_B,1,JB_EX,"P-8a",JB_CC,"Electronics",JB_H,"T-AGOS",JB_CE,"MISSION SYSTEM ENGR INTEGR &amp; TEST (MSEIT)",JB_RC,"ALT")</f>
        <v>0</v>
      </c>
      <c r="G76" s="38">
        <f>SUMIFS(JB_26BV,JB_B,1,JB_EX,"P-8a",JB_CC,"Electronics",JB_H,"T-AO",JB_CE,"MISSION SYSTEM ENGR INTEGR &amp; TEST (MSEIT)",JB_RC,"ALT")</f>
        <v>0</v>
      </c>
      <c r="H76" s="38">
        <f>SUMIFS(JB_26BV,JB_B,1,JB_EX,"P-8a",JB_CC,"Electronics",JB_H,"T-ATS",JB_CE,"MISSION SYSTEM ENGR INTEGR &amp; TEST (MSEIT)",JB_RC,"ALT")</f>
        <v>0</v>
      </c>
      <c r="I76" s="37">
        <f t="shared" si="2"/>
        <v>132510</v>
      </c>
    </row>
    <row r="77" spans="1:9" ht="10" customHeight="1" x14ac:dyDescent="0.2">
      <c r="A77" s="36" t="s">
        <v>8874</v>
      </c>
      <c r="B77" s="37">
        <f>SUMIFS(JB_26BV,JB_B,1,JB_EX,"P-8a",JB_CC,"Electronics",JB_H,"DDG",JB_CE,"MISSION SYSTEM ACTIVATION",JB_RC,"ALT")</f>
        <v>130838</v>
      </c>
      <c r="C77" s="38">
        <f>SUMIFS(JB_26BV,JB_B,1,JB_EX,"P-8a",JB_CC,"Electronics",JB_H,"FFG",JB_CE,"MISSION SYSTEM ACTIVATION",JB_RC,"ALT")</f>
        <v>0</v>
      </c>
      <c r="D77" s="38">
        <f>SUMIFS(JB_26BV,JB_B,1,JB_EX,"P-8a",JB_CC,"Electronics",JB_H,"LPD",JB_CE,"MISSION SYSTEM ACTIVATION",JB_RC,"ALT")</f>
        <v>0</v>
      </c>
      <c r="E77" s="38">
        <f>SUMIFS(JB_26BV,JB_B,1,JB_EX,"P-8a",JB_CC,"Electronics",JB_H,"LHA",JB_CE,"MISSION SYSTEM ACTIVATION",JB_RC,"ALT")</f>
        <v>0</v>
      </c>
      <c r="F77" s="38">
        <f>SUMIFS(JB_26BV,JB_B,1,JB_EX,"P-8a",JB_CC,"Electronics",JB_H,"T-AGOS",JB_CE,"MISSION SYSTEM ACTIVATION",JB_RC,"ALT")</f>
        <v>0</v>
      </c>
      <c r="G77" s="38">
        <f>SUMIFS(JB_26BV,JB_B,1,JB_EX,"P-8a",JB_CC,"Electronics",JB_H,"T-AO",JB_CE,"MISSION SYSTEM ACTIVATION",JB_RC,"ALT")</f>
        <v>0</v>
      </c>
      <c r="H77" s="38">
        <f>SUMIFS(JB_26BV,JB_B,1,JB_EX,"P-8a",JB_CC,"Electronics",JB_H,"T-ATS",JB_CE,"MISSION SYSTEM ACTIVATION",JB_RC,"ALT")</f>
        <v>0</v>
      </c>
      <c r="I77" s="37">
        <f t="shared" si="2"/>
        <v>130838</v>
      </c>
    </row>
    <row r="78" spans="1:9" ht="10" customHeight="1" x14ac:dyDescent="0.2">
      <c r="A78" s="36" t="s">
        <v>8875</v>
      </c>
      <c r="B78" s="37">
        <f>SUMIFS(JB_26BV,JB_B,1,JB_EX,"P-8a",JB_CC,"Electronics",JB_H,"DDG",JB_CE,"Enterprise Air Surveillance Radar (EASR)",JB_RC,"ALT")</f>
        <v>0</v>
      </c>
      <c r="C78" s="38">
        <f>SUMIFS(JB_26BV,JB_B,1,JB_EX,"P-8a",JB_CC,"Electronics",JB_H,"FFG",JB_CE,"Enterprise Air Surveillance Radar (EASR)",JB_RC,"ALT")</f>
        <v>122605</v>
      </c>
      <c r="D78" s="38">
        <f>SUMIFS(JB_26BV,JB_B,1,JB_EX,"P-8a",JB_CC,"Electronics",JB_H,"LPD",JB_CE,"Enterprise Air Surveillance Radar (EASR)",JB_RC,"ALT")</f>
        <v>0</v>
      </c>
      <c r="E78" s="38">
        <f>SUMIFS(JB_26BV,JB_B,1,JB_EX,"P-8a",JB_CC,"Electronics",JB_H,"LHA",JB_CE,"Enterprise Air Surveillance Radar (EASR)",JB_RC,"ALT")</f>
        <v>0</v>
      </c>
      <c r="F78" s="38">
        <f>SUMIFS(JB_26BV,JB_B,1,JB_EX,"P-8a",JB_CC,"Electronics",JB_H,"T-AGOS",JB_CE,"Enterprise Air Surveillance Radar (EASR)",JB_RC,"ALT")</f>
        <v>0</v>
      </c>
      <c r="G78" s="38">
        <f>SUMIFS(JB_26BV,JB_B,1,JB_EX,"P-8a",JB_CC,"Electronics",JB_H,"T-AO",JB_CE,"Enterprise Air Surveillance Radar (EASR)",JB_RC,"ALT")</f>
        <v>0</v>
      </c>
      <c r="H78" s="38">
        <f>SUMIFS(JB_26BV,JB_B,1,JB_EX,"P-8a",JB_CC,"Electronics",JB_H,"T-ATS",JB_CE,"Enterprise Air Surveillance Radar (EASR)",JB_RC,"ALT")</f>
        <v>0</v>
      </c>
      <c r="I78" s="37">
        <f t="shared" si="2"/>
        <v>122605</v>
      </c>
    </row>
    <row r="79" spans="1:9" ht="10" customHeight="1" x14ac:dyDescent="0.2">
      <c r="A79" s="36" t="s">
        <v>8876</v>
      </c>
      <c r="B79" s="37">
        <f>SUMIFS(JB_26BV,JB_B,1,JB_EX,"P-8a",JB_CC,"Electronics",JB_H,"DDG",JB_CE,"SHIP CONTROL SYSTEM (SCS)",JB_RC,"ALT")</f>
        <v>117229</v>
      </c>
      <c r="C79" s="38">
        <f>SUMIFS(JB_26BV,JB_B,1,JB_EX,"P-8a",JB_CC,"Electronics",JB_H,"FFG",JB_CE,"SHIP CONTROL SYSTEM (SCS)",JB_RC,"ALT")</f>
        <v>0</v>
      </c>
      <c r="D79" s="38">
        <f>SUMIFS(JB_26BV,JB_B,1,JB_EX,"P-8a",JB_CC,"Electronics",JB_H,"LPD",JB_CE,"SHIP CONTROL SYSTEM (SCS)",JB_RC,"ALT")</f>
        <v>0</v>
      </c>
      <c r="E79" s="38">
        <f>SUMIFS(JB_26BV,JB_B,1,JB_EX,"P-8a",JB_CC,"Electronics",JB_H,"LHA",JB_CE,"SHIP CONTROL SYSTEM (SCS)",JB_RC,"ALT")</f>
        <v>0</v>
      </c>
      <c r="F79" s="38">
        <f>SUMIFS(JB_26BV,JB_B,1,JB_EX,"P-8a",JB_CC,"Electronics",JB_H,"T-AGOS",JB_CE,"SHIP CONTROL SYSTEM (SCS)",JB_RC,"ALT")</f>
        <v>0</v>
      </c>
      <c r="G79" s="38">
        <f>SUMIFS(JB_26BV,JB_B,1,JB_EX,"P-8a",JB_CC,"Electronics",JB_H,"T-AO",JB_CE,"SHIP CONTROL SYSTEM (SCS)",JB_RC,"ALT")</f>
        <v>0</v>
      </c>
      <c r="H79" s="38">
        <f>SUMIFS(JB_26BV,JB_B,1,JB_EX,"P-8a",JB_CC,"Electronics",JB_H,"T-ATS",JB_CE,"SHIP CONTROL SYSTEM (SCS)",JB_RC,"ALT")</f>
        <v>0</v>
      </c>
      <c r="I79" s="37">
        <f t="shared" si="2"/>
        <v>117229</v>
      </c>
    </row>
    <row r="80" spans="1:9" ht="10" customHeight="1" x14ac:dyDescent="0.2">
      <c r="A80" s="36" t="s">
        <v>8877</v>
      </c>
      <c r="B80" s="37">
        <f>SUMIFS(JB_26BV,JB_B,1,JB_EX,"P-8a",JB_CC,"Electronics",JB_H,"DDG",JB_CE,"INTEGRATED UNDERSEA WARFARE (IUSW) SYSTEM",JB_RC,"ALT")</f>
        <v>105136</v>
      </c>
      <c r="C80" s="38">
        <f>SUMIFS(JB_26BV,JB_B,1,JB_EX,"P-8a",JB_CC,"Electronics",JB_H,"FFG",JB_CE,"INTEGRATED UNDERSEA WARFARE (IUSW) SYSTEM",JB_RC,"ALT")</f>
        <v>0</v>
      </c>
      <c r="D80" s="38">
        <f>SUMIFS(JB_26BV,JB_B,1,JB_EX,"P-8a",JB_CC,"Electronics",JB_H,"LPD",JB_CE,"INTEGRATED UNDERSEA WARFARE (IUSW) SYSTEM",JB_RC,"ALT")</f>
        <v>0</v>
      </c>
      <c r="E80" s="38">
        <f>SUMIFS(JB_26BV,JB_B,1,JB_EX,"P-8a",JB_CC,"Electronics",JB_H,"LHA",JB_CE,"INTEGRATED UNDERSEA WARFARE (IUSW) SYSTEM",JB_RC,"ALT")</f>
        <v>0</v>
      </c>
      <c r="F80" s="38">
        <f>SUMIFS(JB_26BV,JB_B,1,JB_EX,"P-8a",JB_CC,"Electronics",JB_H,"T-AGOS",JB_CE,"INTEGRATED UNDERSEA WARFARE (IUSW) SYSTEM",JB_RC,"ALT")</f>
        <v>0</v>
      </c>
      <c r="G80" s="38">
        <f>SUMIFS(JB_26BV,JB_B,1,JB_EX,"P-8a",JB_CC,"Electronics",JB_H,"T-AO",JB_CE,"INTEGRATED UNDERSEA WARFARE (IUSW) SYSTEM",JB_RC,"ALT")</f>
        <v>0</v>
      </c>
      <c r="H80" s="38">
        <f>SUMIFS(JB_26BV,JB_B,1,JB_EX,"P-8a",JB_CC,"Electronics",JB_H,"T-ATS",JB_CE,"INTEGRATED UNDERSEA WARFARE (IUSW) SYSTEM",JB_RC,"ALT")</f>
        <v>0</v>
      </c>
      <c r="I80" s="37">
        <f t="shared" si="2"/>
        <v>105136</v>
      </c>
    </row>
    <row r="81" spans="1:9" ht="10" customHeight="1" x14ac:dyDescent="0.2">
      <c r="A81" s="36" t="s">
        <v>8878</v>
      </c>
      <c r="B81" s="37">
        <f>SUMIFS(JB_26BV,JB_B,1,JB_EX,"P-8a",JB_CC,"Electronics",JB_H,"DDG",JB_CE,"MISC. ELECTRONICS",JB_RC,"ALT")</f>
        <v>94317</v>
      </c>
      <c r="C81" s="38">
        <f>SUMIFS(JB_26BV,JB_B,1,JB_EX,"P-8a",JB_CC,"Electronics",JB_H,"FFG",JB_CE,"MISC. ELECTRONICS",JB_RC,"ALT")</f>
        <v>0</v>
      </c>
      <c r="D81" s="38">
        <f>SUMIFS(JB_26BV,JB_B,1,JB_EX,"P-8a",JB_CC,"Electronics",JB_H,"LPD",JB_CE,"MISC. ELECTRONICS",JB_RC,"ALT")</f>
        <v>0</v>
      </c>
      <c r="E81" s="38">
        <f>SUMIFS(JB_26BV,JB_B,1,JB_EX,"P-8a",JB_CC,"Electronics",JB_H,"LHA",JB_CE,"MISC. ELECTRONICS",JB_RC,"ALT")</f>
        <v>0</v>
      </c>
      <c r="F81" s="38">
        <f>SUMIFS(JB_26BV,JB_B,1,JB_EX,"P-8a",JB_CC,"Electronics",JB_H,"T-AGOS",JB_CE,"MISC. ELECTRONICS",JB_RC,"ALT")</f>
        <v>0</v>
      </c>
      <c r="G81" s="38">
        <f>SUMIFS(JB_26BV,JB_B,1,JB_EX,"P-8a",JB_CC,"Electronics",JB_H,"T-AO",JB_CE,"MISC. ELECTRONICS",JB_RC,"ALT")</f>
        <v>0</v>
      </c>
      <c r="H81" s="38">
        <f>SUMIFS(JB_26BV,JB_B,1,JB_EX,"P-8a",JB_CC,"Electronics",JB_H,"T-ATS",JB_CE,"MISC. ELECTRONICS",JB_RC,"ALT")</f>
        <v>0</v>
      </c>
      <c r="I81" s="37">
        <f t="shared" si="2"/>
        <v>94317</v>
      </c>
    </row>
    <row r="82" spans="1:9" ht="10" customHeight="1" x14ac:dyDescent="0.2">
      <c r="A82" s="36" t="s">
        <v>8879</v>
      </c>
      <c r="B82" s="37">
        <f>SUMIFS(JB_26BV,JB_B,1,JB_EX,"P-8a",JB_CC,"Electronics",JB_H,"DDG",JB_CE,"AEGIS Weapon System (AWS)",JB_RC,"ALT")</f>
        <v>0</v>
      </c>
      <c r="C82" s="38">
        <f>SUMIFS(JB_26BV,JB_B,1,JB_EX,"P-8a",JB_CC,"Electronics",JB_H,"FFG",JB_CE,"AEGIS Weapon System (AWS)",JB_RC,"ALT")</f>
        <v>92392</v>
      </c>
      <c r="D82" s="38">
        <f>SUMIFS(JB_26BV,JB_B,1,JB_EX,"P-8a",JB_CC,"Electronics",JB_H,"LPD",JB_CE,"AEGIS Weapon System (AWS)",JB_RC,"ALT")</f>
        <v>0</v>
      </c>
      <c r="E82" s="38">
        <f>SUMIFS(JB_26BV,JB_B,1,JB_EX,"P-8a",JB_CC,"Electronics",JB_H,"LHA",JB_CE,"AEGIS Weapon System (AWS)",JB_RC,"ALT")</f>
        <v>0</v>
      </c>
      <c r="F82" s="38">
        <f>SUMIFS(JB_26BV,JB_B,1,JB_EX,"P-8a",JB_CC,"Electronics",JB_H,"T-AGOS",JB_CE,"AEGIS Weapon System (AWS)",JB_RC,"ALT")</f>
        <v>0</v>
      </c>
      <c r="G82" s="38">
        <f>SUMIFS(JB_26BV,JB_B,1,JB_EX,"P-8a",JB_CC,"Electronics",JB_H,"T-AO",JB_CE,"AEGIS Weapon System (AWS)",JB_RC,"ALT")</f>
        <v>0</v>
      </c>
      <c r="H82" s="38">
        <f>SUMIFS(JB_26BV,JB_B,1,JB_EX,"P-8a",JB_CC,"Electronics",JB_H,"T-ATS",JB_CE,"AEGIS Weapon System (AWS)",JB_RC,"ALT")</f>
        <v>0</v>
      </c>
      <c r="I82" s="37">
        <f t="shared" si="2"/>
        <v>92392</v>
      </c>
    </row>
    <row r="83" spans="1:9" ht="10" customHeight="1" x14ac:dyDescent="0.2">
      <c r="A83" s="36" t="s">
        <v>8880</v>
      </c>
      <c r="B83" s="37">
        <f>SUMIFS(JB_26BV,JB_B,1,JB_EX,"P-8a",JB_CC,"Electronics",JB_H,"DDG",JB_CE,"Surveillance Towed Array Sensor System (SURTASS)",JB_RC,"ALT")</f>
        <v>0</v>
      </c>
      <c r="C83" s="38">
        <f>SUMIFS(JB_26BV,JB_B,1,JB_EX,"P-8a",JB_CC,"Electronics",JB_H,"FFG",JB_CE,"Surveillance Towed Array Sensor System (SURTASS)",JB_RC,"ALT")</f>
        <v>0</v>
      </c>
      <c r="D83" s="38">
        <f>SUMIFS(JB_26BV,JB_B,1,JB_EX,"P-8a",JB_CC,"Electronics",JB_H,"LPD",JB_CE,"Surveillance Towed Array Sensor System (SURTASS)",JB_RC,"ALT")</f>
        <v>0</v>
      </c>
      <c r="E83" s="38">
        <f>SUMIFS(JB_26BV,JB_B,1,JB_EX,"P-8a",JB_CC,"Electronics",JB_H,"LHA",JB_CE,"Surveillance Towed Array Sensor System (SURTASS)",JB_RC,"ALT")</f>
        <v>0</v>
      </c>
      <c r="F83" s="38">
        <f>SUMIFS(JB_26BV,JB_B,1,JB_EX,"P-8a",JB_CC,"Electronics",JB_H,"T-AGOS",JB_CE,"Surveillance Towed Array Sensor System (SURTASS)",JB_RC,"ALT")</f>
        <v>89515</v>
      </c>
      <c r="G83" s="38">
        <f>SUMIFS(JB_26BV,JB_B,1,JB_EX,"P-8a",JB_CC,"Electronics",JB_H,"T-AO",JB_CE,"Surveillance Towed Array Sensor System (SURTASS)",JB_RC,"ALT")</f>
        <v>0</v>
      </c>
      <c r="H83" s="38">
        <f>SUMIFS(JB_26BV,JB_B,1,JB_EX,"P-8a",JB_CC,"Electronics",JB_H,"T-ATS",JB_CE,"Surveillance Towed Array Sensor System (SURTASS)",JB_RC,"ALT")</f>
        <v>0</v>
      </c>
      <c r="I83" s="37">
        <f t="shared" si="2"/>
        <v>89515</v>
      </c>
    </row>
    <row r="84" spans="1:9" ht="10" customHeight="1" x14ac:dyDescent="0.2">
      <c r="A84" s="36" t="s">
        <v>8881</v>
      </c>
      <c r="B84" s="37">
        <f>SUMIFS(JB_26BV,JB_B,1,JB_EX,"P-8a",JB_CC,"Electronics",JB_H,"DDG",JB_CE,"C4ISR",JB_RC,"ALT")</f>
        <v>0</v>
      </c>
      <c r="C84" s="38">
        <f>SUMIFS(JB_26BV,JB_B,1,JB_EX,"P-8a",JB_CC,"Electronics",JB_H,"FFG",JB_CE,"C4ISR",JB_RC,"ALT")</f>
        <v>0</v>
      </c>
      <c r="D84" s="38">
        <f>SUMIFS(JB_26BV,JB_B,1,JB_EX,"P-8a",JB_CC,"Electronics",JB_H,"LPD",JB_CE,"C4ISR",JB_RC,"ALT")</f>
        <v>83497</v>
      </c>
      <c r="E84" s="38">
        <f>SUMIFS(JB_26BV,JB_B,1,JB_EX,"P-8a",JB_CC,"Electronics",JB_H,"LHA",JB_CE,"C4ISR",JB_RC,"ALT")</f>
        <v>0</v>
      </c>
      <c r="F84" s="38">
        <f>SUMIFS(JB_26BV,JB_B,1,JB_EX,"P-8a",JB_CC,"Electronics",JB_H,"T-AGOS",JB_CE,"C4ISR",JB_RC,"ALT")</f>
        <v>0</v>
      </c>
      <c r="G84" s="38">
        <f>SUMIFS(JB_26BV,JB_B,1,JB_EX,"P-8a",JB_CC,"Electronics",JB_H,"T-AO",JB_CE,"C4ISR",JB_RC,"ALT")</f>
        <v>0</v>
      </c>
      <c r="H84" s="38">
        <f>SUMIFS(JB_26BV,JB_B,1,JB_EX,"P-8a",JB_CC,"Electronics",JB_H,"T-ATS",JB_CE,"C4ISR",JB_RC,"ALT")</f>
        <v>0</v>
      </c>
      <c r="I84" s="37">
        <f t="shared" si="2"/>
        <v>83497</v>
      </c>
    </row>
    <row r="85" spans="1:9" ht="10" customHeight="1" x14ac:dyDescent="0.2">
      <c r="A85" s="36" t="s">
        <v>8882</v>
      </c>
      <c r="B85" s="37">
        <f>SUMIFS(JB_26BV,JB_B,1,JB_EX,"P-8a",JB_CC,"Electronics",JB_H,"DDG",JB_CE,"EXTERIOR COMMUNICATIONS (EXCOMMS)",JB_RC,"ALT")</f>
        <v>79962</v>
      </c>
      <c r="C85" s="38">
        <f>SUMIFS(JB_26BV,JB_B,1,JB_EX,"P-8a",JB_CC,"Electronics",JB_H,"FFG",JB_CE,"EXTERIOR COMMUNICATIONS (EXCOMMS)",JB_RC,"ALT")</f>
        <v>0</v>
      </c>
      <c r="D85" s="38">
        <f>SUMIFS(JB_26BV,JB_B,1,JB_EX,"P-8a",JB_CC,"Electronics",JB_H,"LPD",JB_CE,"EXTERIOR COMMUNICATIONS (EXCOMMS)",JB_RC,"ALT")</f>
        <v>0</v>
      </c>
      <c r="E85" s="38">
        <f>SUMIFS(JB_26BV,JB_B,1,JB_EX,"P-8a",JB_CC,"Electronics",JB_H,"LHA",JB_CE,"EXTERIOR COMMUNICATIONS (EXCOMMS)",JB_RC,"ALT")</f>
        <v>0</v>
      </c>
      <c r="F85" s="38">
        <f>SUMIFS(JB_26BV,JB_B,1,JB_EX,"P-8a",JB_CC,"Electronics",JB_H,"T-AGOS",JB_CE,"EXTERIOR COMMUNICATIONS (EXCOMMS)",JB_RC,"ALT")</f>
        <v>0</v>
      </c>
      <c r="G85" s="38">
        <f>SUMIFS(JB_26BV,JB_B,1,JB_EX,"P-8a",JB_CC,"Electronics",JB_H,"T-AO",JB_CE,"EXTERIOR COMMUNICATIONS (EXCOMMS)",JB_RC,"ALT")</f>
        <v>0</v>
      </c>
      <c r="H85" s="38">
        <f>SUMIFS(JB_26BV,JB_B,1,JB_EX,"P-8a",JB_CC,"Electronics",JB_H,"T-ATS",JB_CE,"EXTERIOR COMMUNICATIONS (EXCOMMS)",JB_RC,"ALT")</f>
        <v>0</v>
      </c>
      <c r="I85" s="37">
        <f t="shared" si="2"/>
        <v>79962</v>
      </c>
    </row>
    <row r="86" spans="1:9" ht="10" customHeight="1" x14ac:dyDescent="0.2">
      <c r="A86" s="36" t="s">
        <v>8883</v>
      </c>
      <c r="B86" s="37">
        <f>SUMIFS(JB_26BV,JB_B,1,JB_EX,"P-8a",JB_CC,"Electronics",JB_H,"DDG",JB_CE,"SPECTRAL",JB_RC,"ALT")</f>
        <v>67250</v>
      </c>
      <c r="C86" s="38">
        <f>SUMIFS(JB_26BV,JB_B,1,JB_EX,"P-8a",JB_CC,"Electronics",JB_H,"FFG",JB_CE,"SPECTRAL",JB_RC,"ALT")</f>
        <v>0</v>
      </c>
      <c r="D86" s="38">
        <f>SUMIFS(JB_26BV,JB_B,1,JB_EX,"P-8a",JB_CC,"Electronics",JB_H,"LPD",JB_CE,"SPECTRAL",JB_RC,"ALT")</f>
        <v>0</v>
      </c>
      <c r="E86" s="38">
        <f>SUMIFS(JB_26BV,JB_B,1,JB_EX,"P-8a",JB_CC,"Electronics",JB_H,"LHA",JB_CE,"SPECTRAL",JB_RC,"ALT")</f>
        <v>0</v>
      </c>
      <c r="F86" s="38">
        <f>SUMIFS(JB_26BV,JB_B,1,JB_EX,"P-8a",JB_CC,"Electronics",JB_H,"T-AGOS",JB_CE,"SPECTRAL",JB_RC,"ALT")</f>
        <v>0</v>
      </c>
      <c r="G86" s="38">
        <f>SUMIFS(JB_26BV,JB_B,1,JB_EX,"P-8a",JB_CC,"Electronics",JB_H,"T-AO",JB_CE,"SPECTRAL",JB_RC,"ALT")</f>
        <v>0</v>
      </c>
      <c r="H86" s="38">
        <f>SUMIFS(JB_26BV,JB_B,1,JB_EX,"P-8a",JB_CC,"Electronics",JB_H,"T-ATS",JB_CE,"SPECTRAL",JB_RC,"ALT")</f>
        <v>0</v>
      </c>
      <c r="I86" s="37">
        <f t="shared" si="2"/>
        <v>67250</v>
      </c>
    </row>
    <row r="87" spans="1:9" ht="10" customHeight="1" x14ac:dyDescent="0.2">
      <c r="A87" s="36" t="s">
        <v>8884</v>
      </c>
      <c r="B87" s="37">
        <f>SUMIFS(JB_26BV,JB_B,1,JB_EX,"P-8a",JB_CC,"Electronics",JB_H,"DDG",JB_CE,"Anti-Submarine Warfare (ASW) Combat Suite",JB_RC,"ALT")</f>
        <v>0</v>
      </c>
      <c r="C87" s="38">
        <f>SUMIFS(JB_26BV,JB_B,1,JB_EX,"P-8a",JB_CC,"Electronics",JB_H,"FFG",JB_CE,"Anti-Submarine Warfare (ASW) Combat Suite",JB_RC,"ALT")</f>
        <v>62571</v>
      </c>
      <c r="D87" s="38">
        <f>SUMIFS(JB_26BV,JB_B,1,JB_EX,"P-8a",JB_CC,"Electronics",JB_H,"LPD",JB_CE,"Anti-Submarine Warfare (ASW) Combat Suite",JB_RC,"ALT")</f>
        <v>0</v>
      </c>
      <c r="E87" s="38">
        <f>SUMIFS(JB_26BV,JB_B,1,JB_EX,"P-8a",JB_CC,"Electronics",JB_H,"LHA",JB_CE,"Anti-Submarine Warfare (ASW) Combat Suite",JB_RC,"ALT")</f>
        <v>0</v>
      </c>
      <c r="F87" s="38">
        <f>SUMIFS(JB_26BV,JB_B,1,JB_EX,"P-8a",JB_CC,"Electronics",JB_H,"T-AGOS",JB_CE,"Anti-Submarine Warfare (ASW) Combat Suite",JB_RC,"ALT")</f>
        <v>0</v>
      </c>
      <c r="G87" s="38">
        <f>SUMIFS(JB_26BV,JB_B,1,JB_EX,"P-8a",JB_CC,"Electronics",JB_H,"T-AO",JB_CE,"Anti-Submarine Warfare (ASW) Combat Suite",JB_RC,"ALT")</f>
        <v>0</v>
      </c>
      <c r="H87" s="38">
        <f>SUMIFS(JB_26BV,JB_B,1,JB_EX,"P-8a",JB_CC,"Electronics",JB_H,"T-ATS",JB_CE,"Anti-Submarine Warfare (ASW) Combat Suite",JB_RC,"ALT")</f>
        <v>0</v>
      </c>
      <c r="I87" s="37">
        <f t="shared" si="2"/>
        <v>62571</v>
      </c>
    </row>
    <row r="88" spans="1:9" ht="10" customHeight="1" x14ac:dyDescent="0.2">
      <c r="A88" s="36" t="s">
        <v>8885</v>
      </c>
      <c r="B88" s="37">
        <f>SUMIFS(JB_26BV,JB_B,1,JB_EX,"P-8a",JB_CC,"Electronics",JB_H,"DDG",JB_CE,"DDG 1002 TSCE MODERNIZATION",JB_RC,"ALT")</f>
        <v>56730</v>
      </c>
      <c r="C88" s="38">
        <f>SUMIFS(JB_26BV,JB_B,1,JB_EX,"P-8a",JB_CC,"Electronics",JB_H,"FFG",JB_CE,"DDG 1002 TSCE MODERNIZATION",JB_RC,"ALT")</f>
        <v>0</v>
      </c>
      <c r="D88" s="38">
        <f>SUMIFS(JB_26BV,JB_B,1,JB_EX,"P-8a",JB_CC,"Electronics",JB_H,"LPD",JB_CE,"DDG 1002 TSCE MODERNIZATION",JB_RC,"ALT")</f>
        <v>0</v>
      </c>
      <c r="E88" s="38">
        <f>SUMIFS(JB_26BV,JB_B,1,JB_EX,"P-8a",JB_CC,"Electronics",JB_H,"LHA",JB_CE,"DDG 1002 TSCE MODERNIZATION",JB_RC,"ALT")</f>
        <v>0</v>
      </c>
      <c r="F88" s="38">
        <f>SUMIFS(JB_26BV,JB_B,1,JB_EX,"P-8a",JB_CC,"Electronics",JB_H,"T-AGOS",JB_CE,"DDG 1002 TSCE MODERNIZATION",JB_RC,"ALT")</f>
        <v>0</v>
      </c>
      <c r="G88" s="38">
        <f>SUMIFS(JB_26BV,JB_B,1,JB_EX,"P-8a",JB_CC,"Electronics",JB_H,"T-AO",JB_CE,"DDG 1002 TSCE MODERNIZATION",JB_RC,"ALT")</f>
        <v>0</v>
      </c>
      <c r="H88" s="38">
        <f>SUMIFS(JB_26BV,JB_B,1,JB_EX,"P-8a",JB_CC,"Electronics",JB_H,"T-ATS",JB_CE,"DDG 1002 TSCE MODERNIZATION",JB_RC,"ALT")</f>
        <v>0</v>
      </c>
      <c r="I88" s="37">
        <f t="shared" si="2"/>
        <v>56730</v>
      </c>
    </row>
    <row r="89" spans="1:9" ht="10" customHeight="1" x14ac:dyDescent="0.2">
      <c r="A89" s="36" t="s">
        <v>8886</v>
      </c>
      <c r="B89" s="37">
        <f>SUMIFS(JB_26BV,JB_B,1,JB_EX,"P-8a",JB_CC,"Electronics",JB_H,"DDG",JB_CE,"USQ 82(V) GEDMS",JB_RC,"ALT")</f>
        <v>48645</v>
      </c>
      <c r="C89" s="38">
        <f>SUMIFS(JB_26BV,JB_B,1,JB_EX,"P-8a",JB_CC,"Electronics",JB_H,"FFG",JB_CE,"USQ 82(V) GEDMS",JB_RC,"ALT")</f>
        <v>0</v>
      </c>
      <c r="D89" s="38">
        <f>SUMIFS(JB_26BV,JB_B,1,JB_EX,"P-8a",JB_CC,"Electronics",JB_H,"LPD",JB_CE,"USQ 82(V) GEDMS",JB_RC,"ALT")</f>
        <v>0</v>
      </c>
      <c r="E89" s="38">
        <f>SUMIFS(JB_26BV,JB_B,1,JB_EX,"P-8a",JB_CC,"Electronics",JB_H,"LHA",JB_CE,"USQ 82(V) GEDMS",JB_RC,"ALT")</f>
        <v>0</v>
      </c>
      <c r="F89" s="38">
        <f>SUMIFS(JB_26BV,JB_B,1,JB_EX,"P-8a",JB_CC,"Electronics",JB_H,"T-AGOS",JB_CE,"USQ 82(V) GEDMS",JB_RC,"ALT")</f>
        <v>0</v>
      </c>
      <c r="G89" s="38">
        <f>SUMIFS(JB_26BV,JB_B,1,JB_EX,"P-8a",JB_CC,"Electronics",JB_H,"T-AO",JB_CE,"USQ 82(V) GEDMS",JB_RC,"ALT")</f>
        <v>0</v>
      </c>
      <c r="H89" s="38">
        <f>SUMIFS(JB_26BV,JB_B,1,JB_EX,"P-8a",JB_CC,"Electronics",JB_H,"T-ATS",JB_CE,"USQ 82(V) GEDMS",JB_RC,"ALT")</f>
        <v>0</v>
      </c>
      <c r="I89" s="37">
        <f t="shared" si="2"/>
        <v>48645</v>
      </c>
    </row>
    <row r="90" spans="1:9" ht="10" customHeight="1" x14ac:dyDescent="0.2">
      <c r="A90" s="36" t="s">
        <v>8887</v>
      </c>
      <c r="B90" s="37">
        <f>SUMIFS(JB_26BV,JB_B,1,JB_EX,"P-8a",JB_CC,"Electronics",JB_H,"DDG",JB_CE,"Mission Systems",JB_RC,"ALT")</f>
        <v>0</v>
      </c>
      <c r="C90" s="38">
        <f>SUMIFS(JB_26BV,JB_B,1,JB_EX,"P-8a",JB_CC,"Electronics",JB_H,"FFG",JB_CE,"Mission Systems",JB_RC,"ALT")</f>
        <v>0</v>
      </c>
      <c r="D90" s="38">
        <f>SUMIFS(JB_26BV,JB_B,1,JB_EX,"P-8a",JB_CC,"Electronics",JB_H,"LPD",JB_CE,"Mission Systems",JB_RC,"ALT")</f>
        <v>48271</v>
      </c>
      <c r="E90" s="38">
        <f>SUMIFS(JB_26BV,JB_B,1,JB_EX,"P-8a",JB_CC,"Electronics",JB_H,"LHA",JB_CE,"Mission Systems",JB_RC,"ALT")</f>
        <v>0</v>
      </c>
      <c r="F90" s="38">
        <f>SUMIFS(JB_26BV,JB_B,1,JB_EX,"P-8a",JB_CC,"Electronics",JB_H,"T-AGOS",JB_CE,"Mission Systems",JB_RC,"ALT")</f>
        <v>0</v>
      </c>
      <c r="G90" s="38">
        <f>SUMIFS(JB_26BV,JB_B,1,JB_EX,"P-8a",JB_CC,"Electronics",JB_H,"T-AO",JB_CE,"Mission Systems",JB_RC,"ALT")</f>
        <v>0</v>
      </c>
      <c r="H90" s="38">
        <f>SUMIFS(JB_26BV,JB_B,1,JB_EX,"P-8a",JB_CC,"Electronics",JB_H,"T-ATS",JB_CE,"Mission Systems",JB_RC,"ALT")</f>
        <v>0</v>
      </c>
      <c r="I90" s="37">
        <f t="shared" si="2"/>
        <v>48271</v>
      </c>
    </row>
    <row r="91" spans="1:9" ht="10" customHeight="1" x14ac:dyDescent="0.2">
      <c r="A91" s="36" t="s">
        <v>8888</v>
      </c>
      <c r="B91" s="37">
        <f>SUMIFS(JB_26BV,JB_B,1,JB_EX,"P-8a",JB_CC,"Electronics",JB_H,"DDG",JB_CE,"Miscellaneous Electronics",JB_RC,"ALT")</f>
        <v>0</v>
      </c>
      <c r="C91" s="38">
        <f>SUMIFS(JB_26BV,JB_B,1,JB_EX,"P-8a",JB_CC,"Electronics",JB_H,"FFG",JB_CE,"Miscellaneous Electronics",JB_RC,"ALT")</f>
        <v>0</v>
      </c>
      <c r="D91" s="38">
        <f>SUMIFS(JB_26BV,JB_B,1,JB_EX,"P-8a",JB_CC,"Electronics",JB_H,"LPD",JB_CE,"Miscellaneous Electronics",JB_RC,"ALT")</f>
        <v>34698</v>
      </c>
      <c r="E91" s="38">
        <f>SUMIFS(JB_26BV,JB_B,1,JB_EX,"P-8a",JB_CC,"Electronics",JB_H,"LHA",JB_CE,"Miscellaneous Electronics",JB_RC,"ALT")</f>
        <v>13237</v>
      </c>
      <c r="F91" s="38">
        <f>SUMIFS(JB_26BV,JB_B,1,JB_EX,"P-8a",JB_CC,"Electronics",JB_H,"T-AGOS",JB_CE,"Miscellaneous Electronics",JB_RC,"ALT")</f>
        <v>0</v>
      </c>
      <c r="G91" s="38">
        <f>SUMIFS(JB_26BV,JB_B,1,JB_EX,"P-8a",JB_CC,"Electronics",JB_H,"T-AO",JB_CE,"Miscellaneous Electronics",JB_RC,"ALT")</f>
        <v>0</v>
      </c>
      <c r="H91" s="38">
        <f>SUMIFS(JB_26BV,JB_B,1,JB_EX,"P-8a",JB_CC,"Electronics",JB_H,"T-ATS",JB_CE,"Miscellaneous Electronics",JB_RC,"ALT")</f>
        <v>0</v>
      </c>
      <c r="I91" s="37">
        <f t="shared" si="2"/>
        <v>47935</v>
      </c>
    </row>
    <row r="92" spans="1:9" ht="10" customHeight="1" x14ac:dyDescent="0.2">
      <c r="A92" s="36" t="s">
        <v>8889</v>
      </c>
      <c r="B92" s="37">
        <f>SUMIFS(JB_26BV,JB_B,1,JB_EX,"P-8a",JB_CC,"Electronics",JB_H,"DDG",JB_CE,"Tactical COMINT System- Spectral",JB_RC,"ALT")</f>
        <v>0</v>
      </c>
      <c r="C92" s="38">
        <f>SUMIFS(JB_26BV,JB_B,1,JB_EX,"P-8a",JB_CC,"Electronics",JB_H,"FFG",JB_CE,"Tactical COMINT System- Spectral",JB_RC,"ALT")</f>
        <v>39622</v>
      </c>
      <c r="D92" s="38">
        <f>SUMIFS(JB_26BV,JB_B,1,JB_EX,"P-8a",JB_CC,"Electronics",JB_H,"LPD",JB_CE,"Tactical COMINT System- Spectral",JB_RC,"ALT")</f>
        <v>0</v>
      </c>
      <c r="E92" s="38">
        <f>SUMIFS(JB_26BV,JB_B,1,JB_EX,"P-8a",JB_CC,"Electronics",JB_H,"LHA",JB_CE,"Tactical COMINT System- Spectral",JB_RC,"ALT")</f>
        <v>0</v>
      </c>
      <c r="F92" s="38">
        <f>SUMIFS(JB_26BV,JB_B,1,JB_EX,"P-8a",JB_CC,"Electronics",JB_H,"T-AGOS",JB_CE,"Tactical COMINT System- Spectral",JB_RC,"ALT")</f>
        <v>0</v>
      </c>
      <c r="G92" s="38">
        <f>SUMIFS(JB_26BV,JB_B,1,JB_EX,"P-8a",JB_CC,"Electronics",JB_H,"T-AO",JB_CE,"Tactical COMINT System- Spectral",JB_RC,"ALT")</f>
        <v>0</v>
      </c>
      <c r="H92" s="38">
        <f>SUMIFS(JB_26BV,JB_B,1,JB_EX,"P-8a",JB_CC,"Electronics",JB_H,"T-ATS",JB_CE,"Tactical COMINT System- Spectral",JB_RC,"ALT")</f>
        <v>0</v>
      </c>
      <c r="I92" s="37">
        <f t="shared" si="2"/>
        <v>39622</v>
      </c>
    </row>
    <row r="93" spans="1:9" ht="10" customHeight="1" x14ac:dyDescent="0.2">
      <c r="A93" s="36" t="s">
        <v>8890</v>
      </c>
      <c r="B93" s="37">
        <f>SUMIFS(JB_26BV,JB_B,1,JB_EX,"P-8a",JB_CC,"Electronics",JB_H,"DDG",JB_CE,"MK 2 MOD 4E Ship Self Defense System (SSDS)",JB_RC,"ALT")</f>
        <v>0</v>
      </c>
      <c r="C93" s="38">
        <f>SUMIFS(JB_26BV,JB_B,1,JB_EX,"P-8a",JB_CC,"Electronics",JB_H,"FFG",JB_CE,"MK 2 MOD 4E Ship Self Defense System (SSDS)",JB_RC,"ALT")</f>
        <v>0</v>
      </c>
      <c r="D93" s="38">
        <f>SUMIFS(JB_26BV,JB_B,1,JB_EX,"P-8a",JB_CC,"Electronics",JB_H,"LPD",JB_CE,"MK 2 MOD 4E Ship Self Defense System (SSDS)",JB_RC,"ALT")</f>
        <v>0</v>
      </c>
      <c r="E93" s="38">
        <f>SUMIFS(JB_26BV,JB_B,1,JB_EX,"P-8a",JB_CC,"Electronics",JB_H,"LHA",JB_CE,"MK 2 MOD 4E Ship Self Defense System (SSDS)",JB_RC,"ALT")</f>
        <v>35308</v>
      </c>
      <c r="F93" s="38">
        <f>SUMIFS(JB_26BV,JB_B,1,JB_EX,"P-8a",JB_CC,"Electronics",JB_H,"T-AGOS",JB_CE,"MK 2 MOD 4E Ship Self Defense System (SSDS)",JB_RC,"ALT")</f>
        <v>0</v>
      </c>
      <c r="G93" s="38">
        <f>SUMIFS(JB_26BV,JB_B,1,JB_EX,"P-8a",JB_CC,"Electronics",JB_H,"T-AO",JB_CE,"MK 2 MOD 4E Ship Self Defense System (SSDS)",JB_RC,"ALT")</f>
        <v>0</v>
      </c>
      <c r="H93" s="38">
        <f>SUMIFS(JB_26BV,JB_B,1,JB_EX,"P-8a",JB_CC,"Electronics",JB_H,"T-ATS",JB_CE,"MK 2 MOD 4E Ship Self Defense System (SSDS)",JB_RC,"ALT")</f>
        <v>0</v>
      </c>
      <c r="I93" s="37">
        <f t="shared" si="2"/>
        <v>35308</v>
      </c>
    </row>
    <row r="94" spans="1:9" ht="10" customHeight="1" x14ac:dyDescent="0.2">
      <c r="A94" s="36" t="s">
        <v>8891</v>
      </c>
      <c r="B94" s="37">
        <f>SUMIFS(JB_26BV,JB_B,1,JB_EX,"P-8a",JB_CC,"Electronics",JB_H,"DDG",JB_CE,"ELECTRO-OPTICAL / INFRARED (EO/IR)",JB_RC,"ALT")</f>
        <v>31452</v>
      </c>
      <c r="C94" s="38">
        <f>SUMIFS(JB_26BV,JB_B,1,JB_EX,"P-8a",JB_CC,"Electronics",JB_H,"FFG",JB_CE,"ELECTRO-OPTICAL / INFRARED (EO/IR)",JB_RC,"ALT")</f>
        <v>0</v>
      </c>
      <c r="D94" s="38">
        <f>SUMIFS(JB_26BV,JB_B,1,JB_EX,"P-8a",JB_CC,"Electronics",JB_H,"LPD",JB_CE,"ELECTRO-OPTICAL / INFRARED (EO/IR)",JB_RC,"ALT")</f>
        <v>0</v>
      </c>
      <c r="E94" s="38">
        <f>SUMIFS(JB_26BV,JB_B,1,JB_EX,"P-8a",JB_CC,"Electronics",JB_H,"LHA",JB_CE,"ELECTRO-OPTICAL / INFRARED (EO/IR)",JB_RC,"ALT")</f>
        <v>0</v>
      </c>
      <c r="F94" s="38">
        <f>SUMIFS(JB_26BV,JB_B,1,JB_EX,"P-8a",JB_CC,"Electronics",JB_H,"T-AGOS",JB_CE,"ELECTRO-OPTICAL / INFRARED (EO/IR)",JB_RC,"ALT")</f>
        <v>0</v>
      </c>
      <c r="G94" s="38">
        <f>SUMIFS(JB_26BV,JB_B,1,JB_EX,"P-8a",JB_CC,"Electronics",JB_H,"T-AO",JB_CE,"ELECTRO-OPTICAL / INFRARED (EO/IR)",JB_RC,"ALT")</f>
        <v>0</v>
      </c>
      <c r="H94" s="38">
        <f>SUMIFS(JB_26BV,JB_B,1,JB_EX,"P-8a",JB_CC,"Electronics",JB_H,"T-ATS",JB_CE,"ELECTRO-OPTICAL / INFRARED (EO/IR)",JB_RC,"ALT")</f>
        <v>0</v>
      </c>
      <c r="I94" s="37">
        <f t="shared" si="2"/>
        <v>31452</v>
      </c>
    </row>
    <row r="95" spans="1:9" ht="10" customHeight="1" x14ac:dyDescent="0.2">
      <c r="A95" s="36" t="s">
        <v>8892</v>
      </c>
      <c r="B95" s="37">
        <f>SUMIFS(JB_26BV,JB_B,1,JB_EX,"P-8a",JB_CC,"Electronics",JB_H,"DDG",JB_CE,"IDENTIFICATION FRIEND OR FOE (IFF)",JB_RC,"ALT")</f>
        <v>28138</v>
      </c>
      <c r="C95" s="38">
        <f>SUMIFS(JB_26BV,JB_B,1,JB_EX,"P-8a",JB_CC,"Electronics",JB_H,"FFG",JB_CE,"IDENTIFICATION FRIEND OR FOE (IFF)",JB_RC,"ALT")</f>
        <v>0</v>
      </c>
      <c r="D95" s="38">
        <f>SUMIFS(JB_26BV,JB_B,1,JB_EX,"P-8a",JB_CC,"Electronics",JB_H,"LPD",JB_CE,"IDENTIFICATION FRIEND OR FOE (IFF)",JB_RC,"ALT")</f>
        <v>0</v>
      </c>
      <c r="E95" s="38">
        <f>SUMIFS(JB_26BV,JB_B,1,JB_EX,"P-8a",JB_CC,"Electronics",JB_H,"LHA",JB_CE,"IDENTIFICATION FRIEND OR FOE (IFF)",JB_RC,"ALT")</f>
        <v>0</v>
      </c>
      <c r="F95" s="38">
        <f>SUMIFS(JB_26BV,JB_B,1,JB_EX,"P-8a",JB_CC,"Electronics",JB_H,"T-AGOS",JB_CE,"IDENTIFICATION FRIEND OR FOE (IFF)",JB_RC,"ALT")</f>
        <v>0</v>
      </c>
      <c r="G95" s="38">
        <f>SUMIFS(JB_26BV,JB_B,1,JB_EX,"P-8a",JB_CC,"Electronics",JB_H,"T-AO",JB_CE,"IDENTIFICATION FRIEND OR FOE (IFF)",JB_RC,"ALT")</f>
        <v>0</v>
      </c>
      <c r="H95" s="38">
        <f>SUMIFS(JB_26BV,JB_B,1,JB_EX,"P-8a",JB_CC,"Electronics",JB_H,"T-ATS",JB_CE,"IDENTIFICATION FRIEND OR FOE (IFF)",JB_RC,"ALT")</f>
        <v>0</v>
      </c>
      <c r="I95" s="37">
        <f t="shared" si="2"/>
        <v>28138</v>
      </c>
    </row>
    <row r="96" spans="1:9" ht="10" customHeight="1" x14ac:dyDescent="0.2">
      <c r="A96" s="36" t="s">
        <v>8893</v>
      </c>
      <c r="B96" s="37">
        <f>SUMIFS(JB_26BV,JB_B,1,JB_EX,"P-8a",JB_CC,"Electronics",JB_H,"DDG",JB_CE,"Cooperative Engagement Capability (CEC)",JB_RC,"ALT")</f>
        <v>7800</v>
      </c>
      <c r="C96" s="38">
        <f>SUMIFS(JB_26BV,JB_B,1,JB_EX,"P-8a",JB_CC,"Electronics",JB_H,"FFG",JB_CE,"Cooperative Engagement Capability (CEC)",JB_RC,"ALT")</f>
        <v>14764</v>
      </c>
      <c r="D96" s="38">
        <f>SUMIFS(JB_26BV,JB_B,1,JB_EX,"P-8a",JB_CC,"Electronics",JB_H,"LPD",JB_CE,"Cooperative Engagement Capability (CEC)",JB_RC,"ALT")</f>
        <v>12200</v>
      </c>
      <c r="E96" s="38">
        <f>SUMIFS(JB_26BV,JB_B,1,JB_EX,"P-8a",JB_CC,"Electronics",JB_H,"LHA",JB_CE,"Cooperative Engagement Capability (CEC)",JB_RC,"ALT")</f>
        <v>0</v>
      </c>
      <c r="F96" s="38">
        <f>SUMIFS(JB_26BV,JB_B,1,JB_EX,"P-8a",JB_CC,"Electronics",JB_H,"T-AGOS",JB_CE,"Cooperative Engagement Capability (CEC)",JB_RC,"ALT")</f>
        <v>0</v>
      </c>
      <c r="G96" s="38">
        <f>SUMIFS(JB_26BV,JB_B,1,JB_EX,"P-8a",JB_CC,"Electronics",JB_H,"T-AO",JB_CE,"Cooperative Engagement Capability (CEC)",JB_RC,"ALT")</f>
        <v>0</v>
      </c>
      <c r="H96" s="38">
        <f>SUMIFS(JB_26BV,JB_B,1,JB_EX,"P-8a",JB_CC,"Electronics",JB_H,"T-ATS",JB_CE,"Cooperative Engagement Capability (CEC)",JB_RC,"ALT")</f>
        <v>0</v>
      </c>
      <c r="I96" s="37">
        <f t="shared" si="2"/>
        <v>34764</v>
      </c>
    </row>
    <row r="97" spans="1:9" ht="10" customHeight="1" x14ac:dyDescent="0.2">
      <c r="A97" s="36" t="s">
        <v>8894</v>
      </c>
      <c r="B97" s="37">
        <f>SUMIFS(JB_26BV,JB_B,1,JB_EX,"P-8a",JB_CC,"Electronics",JB_H,"DDG",JB_CE,"Command, Control, Communications, Computers and Intelligence (C4I)",JB_RC,"ALT")</f>
        <v>0</v>
      </c>
      <c r="C97" s="38">
        <f>SUMIFS(JB_26BV,JB_B,1,JB_EX,"P-8a",JB_CC,"Electronics",JB_H,"FFG",JB_CE,"Command, Control, Communications, Computers and Intelligence (C4I)",JB_RC,"ALT")</f>
        <v>0</v>
      </c>
      <c r="D97" s="38">
        <f>SUMIFS(JB_26BV,JB_B,1,JB_EX,"P-8a",JB_CC,"Electronics",JB_H,"LPD",JB_CE,"Command, Control, Communications, Computers and Intelligence (C4I)",JB_RC,"ALT")</f>
        <v>0</v>
      </c>
      <c r="E97" s="38">
        <f>SUMIFS(JB_26BV,JB_B,1,JB_EX,"P-8a",JB_CC,"Electronics",JB_H,"LHA",JB_CE,"Command, Control, Communications, Computers and Intelligence (C4I)",JB_RC,"ALT")</f>
        <v>0</v>
      </c>
      <c r="F97" s="38">
        <f>SUMIFS(JB_26BV,JB_B,1,JB_EX,"P-8a",JB_CC,"Electronics",JB_H,"T-AGOS",JB_CE,"Command, Control, Communications, Computers and Intelligence (C4I)",JB_RC,"ALT")</f>
        <v>26468</v>
      </c>
      <c r="G97" s="38">
        <f>SUMIFS(JB_26BV,JB_B,1,JB_EX,"P-8a",JB_CC,"Electronics",JB_H,"T-AO",JB_CE,"Command, Control, Communications, Computers and Intelligence (C4I)",JB_RC,"ALT")</f>
        <v>0</v>
      </c>
      <c r="H97" s="38">
        <f>SUMIFS(JB_26BV,JB_B,1,JB_EX,"P-8a",JB_CC,"Electronics",JB_H,"T-ATS",JB_CE,"Command, Control, Communications, Computers and Intelligence (C4I)",JB_RC,"ALT")</f>
        <v>0</v>
      </c>
      <c r="I97" s="37">
        <f t="shared" ref="I97:I128" si="3">SUM(B97:H97)</f>
        <v>26468</v>
      </c>
    </row>
    <row r="98" spans="1:9" ht="10" customHeight="1" x14ac:dyDescent="0.2">
      <c r="A98" s="36" t="s">
        <v>8895</v>
      </c>
      <c r="B98" s="37">
        <f>SUMIFS(JB_26BV,JB_B,1,JB_EX,"P-8a",JB_CC,"Electronics",JB_H,"DDG",JB_CE,"DDG 1002 UNIVERSAL CANISTER ELECTRICAL UNITS (UCEU)",JB_RC,"ALT")</f>
        <v>25600</v>
      </c>
      <c r="C98" s="38">
        <f>SUMIFS(JB_26BV,JB_B,1,JB_EX,"P-8a",JB_CC,"Electronics",JB_H,"FFG",JB_CE,"DDG 1002 UNIVERSAL CANISTER ELECTRICAL UNITS (UCEU)",JB_RC,"ALT")</f>
        <v>0</v>
      </c>
      <c r="D98" s="38">
        <f>SUMIFS(JB_26BV,JB_B,1,JB_EX,"P-8a",JB_CC,"Electronics",JB_H,"LPD",JB_CE,"DDG 1002 UNIVERSAL CANISTER ELECTRICAL UNITS (UCEU)",JB_RC,"ALT")</f>
        <v>0</v>
      </c>
      <c r="E98" s="38">
        <f>SUMIFS(JB_26BV,JB_B,1,JB_EX,"P-8a",JB_CC,"Electronics",JB_H,"LHA",JB_CE,"DDG 1002 UNIVERSAL CANISTER ELECTRICAL UNITS (UCEU)",JB_RC,"ALT")</f>
        <v>0</v>
      </c>
      <c r="F98" s="38">
        <f>SUMIFS(JB_26BV,JB_B,1,JB_EX,"P-8a",JB_CC,"Electronics",JB_H,"T-AGOS",JB_CE,"DDG 1002 UNIVERSAL CANISTER ELECTRICAL UNITS (UCEU)",JB_RC,"ALT")</f>
        <v>0</v>
      </c>
      <c r="G98" s="38">
        <f>SUMIFS(JB_26BV,JB_B,1,JB_EX,"P-8a",JB_CC,"Electronics",JB_H,"T-AO",JB_CE,"DDG 1002 UNIVERSAL CANISTER ELECTRICAL UNITS (UCEU)",JB_RC,"ALT")</f>
        <v>0</v>
      </c>
      <c r="H98" s="38">
        <f>SUMIFS(JB_26BV,JB_B,1,JB_EX,"P-8a",JB_CC,"Electronics",JB_H,"T-ATS",JB_CE,"DDG 1002 UNIVERSAL CANISTER ELECTRICAL UNITS (UCEU)",JB_RC,"ALT")</f>
        <v>0</v>
      </c>
      <c r="I98" s="37">
        <f t="shared" si="3"/>
        <v>25600</v>
      </c>
    </row>
    <row r="99" spans="1:9" ht="10" customHeight="1" x14ac:dyDescent="0.2">
      <c r="A99" s="36" t="s">
        <v>8896</v>
      </c>
      <c r="B99" s="37">
        <f>SUMIFS(JB_26BV,JB_B,1,JB_EX,"P-8a",JB_CC,"Electronics",JB_H,"DDG",JB_CE,"Ship Self Defense System (SSDS)",JB_RC,"ALT")</f>
        <v>0</v>
      </c>
      <c r="C99" s="38">
        <f>SUMIFS(JB_26BV,JB_B,1,JB_EX,"P-8a",JB_CC,"Electronics",JB_H,"FFG",JB_CE,"Ship Self Defense System (SSDS)",JB_RC,"ALT")</f>
        <v>0</v>
      </c>
      <c r="D99" s="38">
        <f>SUMIFS(JB_26BV,JB_B,1,JB_EX,"P-8a",JB_CC,"Electronics",JB_H,"LPD",JB_CE,"Ship Self Defense System (SSDS)",JB_RC,"ALT")</f>
        <v>25090</v>
      </c>
      <c r="E99" s="38">
        <f>SUMIFS(JB_26BV,JB_B,1,JB_EX,"P-8a",JB_CC,"Electronics",JB_H,"LHA",JB_CE,"Ship Self Defense System (SSDS)",JB_RC,"ALT")</f>
        <v>0</v>
      </c>
      <c r="F99" s="38">
        <f>SUMIFS(JB_26BV,JB_B,1,JB_EX,"P-8a",JB_CC,"Electronics",JB_H,"T-AGOS",JB_CE,"Ship Self Defense System (SSDS)",JB_RC,"ALT")</f>
        <v>0</v>
      </c>
      <c r="G99" s="38">
        <f>SUMIFS(JB_26BV,JB_B,1,JB_EX,"P-8a",JB_CC,"Electronics",JB_H,"T-AO",JB_CE,"Ship Self Defense System (SSDS)",JB_RC,"ALT")</f>
        <v>0</v>
      </c>
      <c r="H99" s="38">
        <f>SUMIFS(JB_26BV,JB_B,1,JB_EX,"P-8a",JB_CC,"Electronics",JB_H,"T-ATS",JB_CE,"Ship Self Defense System (SSDS)",JB_RC,"ALT")</f>
        <v>0</v>
      </c>
      <c r="I99" s="37">
        <f t="shared" si="3"/>
        <v>25090</v>
      </c>
    </row>
    <row r="100" spans="1:9" ht="10" customHeight="1" x14ac:dyDescent="0.2">
      <c r="A100" s="36" t="s">
        <v>8897</v>
      </c>
      <c r="B100" s="37">
        <f>SUMIFS(JB_26BV,JB_B,1,JB_EX,"P-8a",JB_CC,"Electronics",JB_H,"DDG",JB_CE,"AN/UPX 29(V) IFF and TACAN",JB_RC,"ALT")</f>
        <v>24514</v>
      </c>
      <c r="C100" s="38">
        <f>SUMIFS(JB_26BV,JB_B,1,JB_EX,"P-8a",JB_CC,"Electronics",JB_H,"FFG",JB_CE,"AN/UPX 29(V) IFF and TACAN",JB_RC,"ALT")</f>
        <v>0</v>
      </c>
      <c r="D100" s="38">
        <f>SUMIFS(JB_26BV,JB_B,1,JB_EX,"P-8a",JB_CC,"Electronics",JB_H,"LPD",JB_CE,"AN/UPX 29(V) IFF and TACAN",JB_RC,"ALT")</f>
        <v>0</v>
      </c>
      <c r="E100" s="38">
        <f>SUMIFS(JB_26BV,JB_B,1,JB_EX,"P-8a",JB_CC,"Electronics",JB_H,"LHA",JB_CE,"AN/UPX 29(V) IFF and TACAN",JB_RC,"ALT")</f>
        <v>0</v>
      </c>
      <c r="F100" s="38">
        <f>SUMIFS(JB_26BV,JB_B,1,JB_EX,"P-8a",JB_CC,"Electronics",JB_H,"T-AGOS",JB_CE,"AN/UPX 29(V) IFF and TACAN",JB_RC,"ALT")</f>
        <v>0</v>
      </c>
      <c r="G100" s="38">
        <f>SUMIFS(JB_26BV,JB_B,1,JB_EX,"P-8a",JB_CC,"Electronics",JB_H,"T-AO",JB_CE,"AN/UPX 29(V) IFF and TACAN",JB_RC,"ALT")</f>
        <v>0</v>
      </c>
      <c r="H100" s="38">
        <f>SUMIFS(JB_26BV,JB_B,1,JB_EX,"P-8a",JB_CC,"Electronics",JB_H,"T-ATS",JB_CE,"AN/UPX 29(V) IFF and TACAN",JB_RC,"ALT")</f>
        <v>0</v>
      </c>
      <c r="I100" s="37">
        <f t="shared" si="3"/>
        <v>24514</v>
      </c>
    </row>
    <row r="101" spans="1:9" ht="10" customHeight="1" x14ac:dyDescent="0.2">
      <c r="A101" s="36" t="s">
        <v>8898</v>
      </c>
      <c r="B101" s="37">
        <f>SUMIFS(JB_26BV,JB_B,1,JB_EX,"P-8a",JB_CC,"Electronics",JB_H,"DDG",JB_CE,"SRQ 4 LAMPS III",JB_RC,"ALT")</f>
        <v>20323</v>
      </c>
      <c r="C101" s="38">
        <f>SUMIFS(JB_26BV,JB_B,1,JB_EX,"P-8a",JB_CC,"Electronics",JB_H,"FFG",JB_CE,"SRQ 4 LAMPS III",JB_RC,"ALT")</f>
        <v>0</v>
      </c>
      <c r="D101" s="38">
        <f>SUMIFS(JB_26BV,JB_B,1,JB_EX,"P-8a",JB_CC,"Electronics",JB_H,"LPD",JB_CE,"SRQ 4 LAMPS III",JB_RC,"ALT")</f>
        <v>0</v>
      </c>
      <c r="E101" s="38">
        <f>SUMIFS(JB_26BV,JB_B,1,JB_EX,"P-8a",JB_CC,"Electronics",JB_H,"LHA",JB_CE,"SRQ 4 LAMPS III",JB_RC,"ALT")</f>
        <v>0</v>
      </c>
      <c r="F101" s="38">
        <f>SUMIFS(JB_26BV,JB_B,1,JB_EX,"P-8a",JB_CC,"Electronics",JB_H,"T-AGOS",JB_CE,"SRQ 4 LAMPS III",JB_RC,"ALT")</f>
        <v>0</v>
      </c>
      <c r="G101" s="38">
        <f>SUMIFS(JB_26BV,JB_B,1,JB_EX,"P-8a",JB_CC,"Electronics",JB_H,"T-AO",JB_CE,"SRQ 4 LAMPS III",JB_RC,"ALT")</f>
        <v>0</v>
      </c>
      <c r="H101" s="38">
        <f>SUMIFS(JB_26BV,JB_B,1,JB_EX,"P-8a",JB_CC,"Electronics",JB_H,"T-ATS",JB_CE,"SRQ 4 LAMPS III",JB_RC,"ALT")</f>
        <v>0</v>
      </c>
      <c r="I101" s="37">
        <f t="shared" si="3"/>
        <v>20323</v>
      </c>
    </row>
    <row r="102" spans="1:9" ht="10" customHeight="1" x14ac:dyDescent="0.2">
      <c r="A102" s="36" t="s">
        <v>8899</v>
      </c>
      <c r="B102" s="37">
        <f>SUMIFS(JB_26BV,JB_B,1,JB_EX,"P-8a",JB_CC,"Electronics",JB_H,"DDG",JB_CE,"CEC",JB_RC,"ALT")</f>
        <v>20072</v>
      </c>
      <c r="C102" s="38">
        <f>SUMIFS(JB_26BV,JB_B,1,JB_EX,"P-8a",JB_CC,"Electronics",JB_H,"FFG",JB_CE,"CEC",JB_RC,"ALT")</f>
        <v>0</v>
      </c>
      <c r="D102" s="38">
        <f>SUMIFS(JB_26BV,JB_B,1,JB_EX,"P-8a",JB_CC,"Electronics",JB_H,"LPD",JB_CE,"CEC",JB_RC,"ALT")</f>
        <v>0</v>
      </c>
      <c r="E102" s="38">
        <f>SUMIFS(JB_26BV,JB_B,1,JB_EX,"P-8a",JB_CC,"Electronics",JB_H,"LHA",JB_CE,"CEC",JB_RC,"ALT")</f>
        <v>0</v>
      </c>
      <c r="F102" s="38">
        <f>SUMIFS(JB_26BV,JB_B,1,JB_EX,"P-8a",JB_CC,"Electronics",JB_H,"T-AGOS",JB_CE,"CEC",JB_RC,"ALT")</f>
        <v>0</v>
      </c>
      <c r="G102" s="38">
        <f>SUMIFS(JB_26BV,JB_B,1,JB_EX,"P-8a",JB_CC,"Electronics",JB_H,"T-AO",JB_CE,"CEC",JB_RC,"ALT")</f>
        <v>0</v>
      </c>
      <c r="H102" s="38">
        <f>SUMIFS(JB_26BV,JB_B,1,JB_EX,"P-8a",JB_CC,"Electronics",JB_H,"T-ATS",JB_CE,"CEC",JB_RC,"ALT")</f>
        <v>0</v>
      </c>
      <c r="I102" s="37">
        <f t="shared" si="3"/>
        <v>20072</v>
      </c>
    </row>
    <row r="103" spans="1:9" ht="10" customHeight="1" x14ac:dyDescent="0.2">
      <c r="A103" s="36" t="s">
        <v>8900</v>
      </c>
      <c r="B103" s="37">
        <f>SUMIFS(JB_26BV,JB_B,1,JB_EX,"P-8a",JB_CC,"Electronics",JB_H,"DDG",JB_CE,"Network Management System (NMS) 2.0/Consolidated Afloat Networks and Enterprise Services (CANES) [T-AO 214]",JB_RC,"ALT")</f>
        <v>0</v>
      </c>
      <c r="C103" s="38">
        <f>SUMIFS(JB_26BV,JB_B,1,JB_EX,"P-8a",JB_CC,"Electronics",JB_H,"FFG",JB_CE,"Network Management System (NMS) 2.0/Consolidated Afloat Networks and Enterprise Services (CANES) [T-AO 214]",JB_RC,"ALT")</f>
        <v>0</v>
      </c>
      <c r="D103" s="38">
        <f>SUMIFS(JB_26BV,JB_B,1,JB_EX,"P-8a",JB_CC,"Electronics",JB_H,"LPD",JB_CE,"Network Management System (NMS) 2.0/Consolidated Afloat Networks and Enterprise Services (CANES) [T-AO 214]",JB_RC,"ALT")</f>
        <v>0</v>
      </c>
      <c r="E103" s="38">
        <f>SUMIFS(JB_26BV,JB_B,1,JB_EX,"P-8a",JB_CC,"Electronics",JB_H,"LHA",JB_CE,"Network Management System (NMS) 2.0/Consolidated Afloat Networks and Enterprise Services (CANES) [T-AO 214]",JB_RC,"ALT")</f>
        <v>0</v>
      </c>
      <c r="F103" s="38">
        <f>SUMIFS(JB_26BV,JB_B,1,JB_EX,"P-8a",JB_CC,"Electronics",JB_H,"T-AGOS",JB_CE,"Network Management System (NMS) 2.0/Consolidated Afloat Networks and Enterprise Services (CANES) [T-AO 214]",JB_RC,"ALT")</f>
        <v>0</v>
      </c>
      <c r="G103" s="38">
        <f>SUMIFS(JB_26BV,JB_B,1,JB_EX,"P-8a",JB_CC,"Electronics",JB_H,"T-AO",JB_CE,"Network Management System (NMS) 2.0/Consolidated Afloat Networks and Enterprise Services (CANES) [T-AO 214]",JB_RC,"ALT")</f>
        <v>17829</v>
      </c>
      <c r="H103" s="38">
        <f>SUMIFS(JB_26BV,JB_B,1,JB_EX,"P-8a",JB_CC,"Electronics",JB_H,"T-ATS",JB_CE,"Network Management System (NMS) 2.0/Consolidated Afloat Networks and Enterprise Services (CANES) [T-AO 214]",JB_RC,"ALT")</f>
        <v>0</v>
      </c>
      <c r="I103" s="37">
        <f t="shared" si="3"/>
        <v>17829</v>
      </c>
    </row>
    <row r="104" spans="1:9" ht="10" customHeight="1" x14ac:dyDescent="0.2">
      <c r="A104" s="36" t="s">
        <v>8901</v>
      </c>
      <c r="B104" s="37">
        <f>SUMIFS(JB_26BV,JB_B,1,JB_EX,"P-8a",JB_CC,"Electronics",JB_H,"DDG",JB_CE,"SURFACE ELECTRONIC WARFARE IMPROVEMENT PROGRAM (SEWIP)",JB_RC,"ALT")</f>
        <v>17682</v>
      </c>
      <c r="C104" s="38">
        <f>SUMIFS(JB_26BV,JB_B,1,JB_EX,"P-8a",JB_CC,"Electronics",JB_H,"FFG",JB_CE,"SURFACE ELECTRONIC WARFARE IMPROVEMENT PROGRAM (SEWIP)",JB_RC,"ALT")</f>
        <v>0</v>
      </c>
      <c r="D104" s="38">
        <f>SUMIFS(JB_26BV,JB_B,1,JB_EX,"P-8a",JB_CC,"Electronics",JB_H,"LPD",JB_CE,"SURFACE ELECTRONIC WARFARE IMPROVEMENT PROGRAM (SEWIP)",JB_RC,"ALT")</f>
        <v>0</v>
      </c>
      <c r="E104" s="38">
        <f>SUMIFS(JB_26BV,JB_B,1,JB_EX,"P-8a",JB_CC,"Electronics",JB_H,"LHA",JB_CE,"SURFACE ELECTRONIC WARFARE IMPROVEMENT PROGRAM (SEWIP)",JB_RC,"ALT")</f>
        <v>0</v>
      </c>
      <c r="F104" s="38">
        <f>SUMIFS(JB_26BV,JB_B,1,JB_EX,"P-8a",JB_CC,"Electronics",JB_H,"T-AGOS",JB_CE,"SURFACE ELECTRONIC WARFARE IMPROVEMENT PROGRAM (SEWIP)",JB_RC,"ALT")</f>
        <v>0</v>
      </c>
      <c r="G104" s="38">
        <f>SUMIFS(JB_26BV,JB_B,1,JB_EX,"P-8a",JB_CC,"Electronics",JB_H,"T-AO",JB_CE,"SURFACE ELECTRONIC WARFARE IMPROVEMENT PROGRAM (SEWIP)",JB_RC,"ALT")</f>
        <v>0</v>
      </c>
      <c r="H104" s="38">
        <f>SUMIFS(JB_26BV,JB_B,1,JB_EX,"P-8a",JB_CC,"Electronics",JB_H,"T-ATS",JB_CE,"SURFACE ELECTRONIC WARFARE IMPROVEMENT PROGRAM (SEWIP)",JB_RC,"ALT")</f>
        <v>0</v>
      </c>
      <c r="I104" s="37">
        <f t="shared" si="3"/>
        <v>17682</v>
      </c>
    </row>
    <row r="105" spans="1:9" ht="10" customHeight="1" x14ac:dyDescent="0.2">
      <c r="A105" s="36" t="s">
        <v>8902</v>
      </c>
      <c r="B105" s="37">
        <f>SUMIFS(JB_26BV,JB_B,1,JB_EX,"P-8a",JB_CC,"Electronics",JB_H,"DDG",JB_CE,"External Communication Suite (EXCOMM)",JB_RC,"ALT")</f>
        <v>0</v>
      </c>
      <c r="C105" s="38">
        <f>SUMIFS(JB_26BV,JB_B,1,JB_EX,"P-8a",JB_CC,"Electronics",JB_H,"FFG",JB_CE,"External Communication Suite (EXCOMM)",JB_RC,"ALT")</f>
        <v>17197</v>
      </c>
      <c r="D105" s="38">
        <f>SUMIFS(JB_26BV,JB_B,1,JB_EX,"P-8a",JB_CC,"Electronics",JB_H,"LPD",JB_CE,"External Communication Suite (EXCOMM)",JB_RC,"ALT")</f>
        <v>0</v>
      </c>
      <c r="E105" s="38">
        <f>SUMIFS(JB_26BV,JB_B,1,JB_EX,"P-8a",JB_CC,"Electronics",JB_H,"LHA",JB_CE,"External Communication Suite (EXCOMM)",JB_RC,"ALT")</f>
        <v>0</v>
      </c>
      <c r="F105" s="38">
        <f>SUMIFS(JB_26BV,JB_B,1,JB_EX,"P-8a",JB_CC,"Electronics",JB_H,"T-AGOS",JB_CE,"External Communication Suite (EXCOMM)",JB_RC,"ALT")</f>
        <v>0</v>
      </c>
      <c r="G105" s="38">
        <f>SUMIFS(JB_26BV,JB_B,1,JB_EX,"P-8a",JB_CC,"Electronics",JB_H,"T-AO",JB_CE,"External Communication Suite (EXCOMM)",JB_RC,"ALT")</f>
        <v>0</v>
      </c>
      <c r="H105" s="38">
        <f>SUMIFS(JB_26BV,JB_B,1,JB_EX,"P-8a",JB_CC,"Electronics",JB_H,"T-ATS",JB_CE,"External Communication Suite (EXCOMM)",JB_RC,"ALT")</f>
        <v>0</v>
      </c>
      <c r="I105" s="37">
        <f t="shared" si="3"/>
        <v>17197</v>
      </c>
    </row>
    <row r="106" spans="1:9" ht="10" customHeight="1" x14ac:dyDescent="0.2">
      <c r="A106" s="36" t="s">
        <v>8903</v>
      </c>
      <c r="B106" s="37">
        <f>SUMIFS(JB_26BV,JB_B,1,JB_EX,"P-8a",JB_CC,"Electronics",JB_H,"DDG",JB_CE,"AN/SPN-50 (V)1",JB_RC,"ALT")</f>
        <v>0</v>
      </c>
      <c r="C106" s="38">
        <f>SUMIFS(JB_26BV,JB_B,1,JB_EX,"P-8a",JB_CC,"Electronics",JB_H,"FFG",JB_CE,"AN/SPN-50 (V)1",JB_RC,"ALT")</f>
        <v>0</v>
      </c>
      <c r="D106" s="38">
        <f>SUMIFS(JB_26BV,JB_B,1,JB_EX,"P-8a",JB_CC,"Electronics",JB_H,"LPD",JB_CE,"AN/SPN-50 (V)1",JB_RC,"ALT")</f>
        <v>0</v>
      </c>
      <c r="E106" s="38">
        <f>SUMIFS(JB_26BV,JB_B,1,JB_EX,"P-8a",JB_CC,"Electronics",JB_H,"LHA",JB_CE,"AN/SPN-50 (V)1",JB_RC,"ALT")</f>
        <v>16643</v>
      </c>
      <c r="F106" s="38">
        <f>SUMIFS(JB_26BV,JB_B,1,JB_EX,"P-8a",JB_CC,"Electronics",JB_H,"T-AGOS",JB_CE,"AN/SPN-50 (V)1",JB_RC,"ALT")</f>
        <v>0</v>
      </c>
      <c r="G106" s="38">
        <f>SUMIFS(JB_26BV,JB_B,1,JB_EX,"P-8a",JB_CC,"Electronics",JB_H,"T-AO",JB_CE,"AN/SPN-50 (V)1",JB_RC,"ALT")</f>
        <v>0</v>
      </c>
      <c r="H106" s="38">
        <f>SUMIFS(JB_26BV,JB_B,1,JB_EX,"P-8a",JB_CC,"Electronics",JB_H,"T-ATS",JB_CE,"AN/SPN-50 (V)1",JB_RC,"ALT")</f>
        <v>0</v>
      </c>
      <c r="I106" s="37">
        <f t="shared" si="3"/>
        <v>16643</v>
      </c>
    </row>
    <row r="107" spans="1:9" ht="10" customHeight="1" x14ac:dyDescent="0.2">
      <c r="A107" s="36" t="s">
        <v>8904</v>
      </c>
      <c r="B107" s="37">
        <f>SUMIFS(JB_26BV,JB_B,1,JB_EX,"P-8a",JB_CC,"Electronics",JB_H,"DDG",JB_CE,"COMMON ARRAY POWER SYSTEM (CAPS)",JB_RC,"ALT")</f>
        <v>16409</v>
      </c>
      <c r="C107" s="38">
        <f>SUMIFS(JB_26BV,JB_B,1,JB_EX,"P-8a",JB_CC,"Electronics",JB_H,"FFG",JB_CE,"COMMON ARRAY POWER SYSTEM (CAPS)",JB_RC,"ALT")</f>
        <v>0</v>
      </c>
      <c r="D107" s="38">
        <f>SUMIFS(JB_26BV,JB_B,1,JB_EX,"P-8a",JB_CC,"Electronics",JB_H,"LPD",JB_CE,"COMMON ARRAY POWER SYSTEM (CAPS)",JB_RC,"ALT")</f>
        <v>0</v>
      </c>
      <c r="E107" s="38">
        <f>SUMIFS(JB_26BV,JB_B,1,JB_EX,"P-8a",JB_CC,"Electronics",JB_H,"LHA",JB_CE,"COMMON ARRAY POWER SYSTEM (CAPS)",JB_RC,"ALT")</f>
        <v>0</v>
      </c>
      <c r="F107" s="38">
        <f>SUMIFS(JB_26BV,JB_B,1,JB_EX,"P-8a",JB_CC,"Electronics",JB_H,"T-AGOS",JB_CE,"COMMON ARRAY POWER SYSTEM (CAPS)",JB_RC,"ALT")</f>
        <v>0</v>
      </c>
      <c r="G107" s="38">
        <f>SUMIFS(JB_26BV,JB_B,1,JB_EX,"P-8a",JB_CC,"Electronics",JB_H,"T-AO",JB_CE,"COMMON ARRAY POWER SYSTEM (CAPS)",JB_RC,"ALT")</f>
        <v>0</v>
      </c>
      <c r="H107" s="38">
        <f>SUMIFS(JB_26BV,JB_B,1,JB_EX,"P-8a",JB_CC,"Electronics",JB_H,"T-ATS",JB_CE,"COMMON ARRAY POWER SYSTEM (CAPS)",JB_RC,"ALT")</f>
        <v>0</v>
      </c>
      <c r="I107" s="37">
        <f t="shared" si="3"/>
        <v>16409</v>
      </c>
    </row>
    <row r="108" spans="1:9" ht="10" customHeight="1" x14ac:dyDescent="0.2">
      <c r="A108" s="36" t="s">
        <v>8905</v>
      </c>
      <c r="B108" s="37">
        <f>SUMIFS(JB_26BV,JB_B,1,JB_EX,"P-8a",JB_CC,"Electronics",JB_H,"DDG",JB_CE,"AN/SLQ-32(V), Surface Warfare Improvement Program (SEWIP)",JB_RC,"ALT")</f>
        <v>0</v>
      </c>
      <c r="C108" s="38">
        <f>SUMIFS(JB_26BV,JB_B,1,JB_EX,"P-8a",JB_CC,"Electronics",JB_H,"FFG",JB_CE,"AN/SLQ-32(V), Surface Warfare Improvement Program (SEWIP)",JB_RC,"ALT")</f>
        <v>0</v>
      </c>
      <c r="D108" s="38">
        <f>SUMIFS(JB_26BV,JB_B,1,JB_EX,"P-8a",JB_CC,"Electronics",JB_H,"LPD",JB_CE,"AN/SLQ-32(V), Surface Warfare Improvement Program (SEWIP)",JB_RC,"ALT")</f>
        <v>0</v>
      </c>
      <c r="E108" s="38">
        <f>SUMIFS(JB_26BV,JB_B,1,JB_EX,"P-8a",JB_CC,"Electronics",JB_H,"LHA",JB_CE,"AN/SLQ-32(V), Surface Warfare Improvement Program (SEWIP)",JB_RC,"ALT")</f>
        <v>14904</v>
      </c>
      <c r="F108" s="38">
        <f>SUMIFS(JB_26BV,JB_B,1,JB_EX,"P-8a",JB_CC,"Electronics",JB_H,"T-AGOS",JB_CE,"AN/SLQ-32(V), Surface Warfare Improvement Program (SEWIP)",JB_RC,"ALT")</f>
        <v>0</v>
      </c>
      <c r="G108" s="38">
        <f>SUMIFS(JB_26BV,JB_B,1,JB_EX,"P-8a",JB_CC,"Electronics",JB_H,"T-AO",JB_CE,"AN/SLQ-32(V), Surface Warfare Improvement Program (SEWIP)",JB_RC,"ALT")</f>
        <v>0</v>
      </c>
      <c r="H108" s="38">
        <f>SUMIFS(JB_26BV,JB_B,1,JB_EX,"P-8a",JB_CC,"Electronics",JB_H,"T-ATS",JB_CE,"AN/SLQ-32(V), Surface Warfare Improvement Program (SEWIP)",JB_RC,"ALT")</f>
        <v>0</v>
      </c>
      <c r="I108" s="37">
        <f t="shared" si="3"/>
        <v>14904</v>
      </c>
    </row>
    <row r="109" spans="1:9" ht="10" customHeight="1" x14ac:dyDescent="0.2">
      <c r="A109" s="36" t="s">
        <v>8906</v>
      </c>
      <c r="B109" s="37">
        <f>SUMIFS(JB_26BV,JB_B,1,JB_EX,"P-8a",JB_CC,"Electronics",JB_H,"DDG",JB_CE,"AN/SLQ-32(V)6 Surface Electronic Warfare Improvement Program (SEWIP)",JB_RC,"ALT")</f>
        <v>0</v>
      </c>
      <c r="C109" s="38">
        <f>SUMIFS(JB_26BV,JB_B,1,JB_EX,"P-8a",JB_CC,"Electronics",JB_H,"FFG",JB_CE,"AN/SLQ-32(V)6 Surface Electronic Warfare Improvement Program (SEWIP)",JB_RC,"ALT")</f>
        <v>0</v>
      </c>
      <c r="D109" s="38">
        <f>SUMIFS(JB_26BV,JB_B,1,JB_EX,"P-8a",JB_CC,"Electronics",JB_H,"LPD",JB_CE,"AN/SLQ-32(V)6 Surface Electronic Warfare Improvement Program (SEWIP)",JB_RC,"ALT")</f>
        <v>14358</v>
      </c>
      <c r="E109" s="38">
        <f>SUMIFS(JB_26BV,JB_B,1,JB_EX,"P-8a",JB_CC,"Electronics",JB_H,"LHA",JB_CE,"AN/SLQ-32(V)6 Surface Electronic Warfare Improvement Program (SEWIP)",JB_RC,"ALT")</f>
        <v>0</v>
      </c>
      <c r="F109" s="38">
        <f>SUMIFS(JB_26BV,JB_B,1,JB_EX,"P-8a",JB_CC,"Electronics",JB_H,"T-AGOS",JB_CE,"AN/SLQ-32(V)6 Surface Electronic Warfare Improvement Program (SEWIP)",JB_RC,"ALT")</f>
        <v>0</v>
      </c>
      <c r="G109" s="38">
        <f>SUMIFS(JB_26BV,JB_B,1,JB_EX,"P-8a",JB_CC,"Electronics",JB_H,"T-AO",JB_CE,"AN/SLQ-32(V)6 Surface Electronic Warfare Improvement Program (SEWIP)",JB_RC,"ALT")</f>
        <v>0</v>
      </c>
      <c r="H109" s="38">
        <f>SUMIFS(JB_26BV,JB_B,1,JB_EX,"P-8a",JB_CC,"Electronics",JB_H,"T-ATS",JB_CE,"AN/SLQ-32(V)6 Surface Electronic Warfare Improvement Program (SEWIP)",JB_RC,"ALT")</f>
        <v>0</v>
      </c>
      <c r="I109" s="37">
        <f t="shared" si="3"/>
        <v>14358</v>
      </c>
    </row>
    <row r="110" spans="1:9" ht="10" customHeight="1" x14ac:dyDescent="0.2">
      <c r="A110" s="36" t="s">
        <v>8907</v>
      </c>
      <c r="B110" s="37">
        <f>SUMIFS(JB_26BV,JB_B,1,JB_EX,"P-8a",JB_CC,"Electronics",JB_H,"DDG",JB_CE,"NAVIGATION SYSTEM",JB_RC,"ALT")</f>
        <v>13508</v>
      </c>
      <c r="C110" s="38">
        <f>SUMIFS(JB_26BV,JB_B,1,JB_EX,"P-8a",JB_CC,"Electronics",JB_H,"FFG",JB_CE,"NAVIGATION SYSTEM",JB_RC,"ALT")</f>
        <v>0</v>
      </c>
      <c r="D110" s="38">
        <f>SUMIFS(JB_26BV,JB_B,1,JB_EX,"P-8a",JB_CC,"Electronics",JB_H,"LPD",JB_CE,"NAVIGATION SYSTEM",JB_RC,"ALT")</f>
        <v>0</v>
      </c>
      <c r="E110" s="38">
        <f>SUMIFS(JB_26BV,JB_B,1,JB_EX,"P-8a",JB_CC,"Electronics",JB_H,"LHA",JB_CE,"NAVIGATION SYSTEM",JB_RC,"ALT")</f>
        <v>0</v>
      </c>
      <c r="F110" s="38">
        <f>SUMIFS(JB_26BV,JB_B,1,JB_EX,"P-8a",JB_CC,"Electronics",JB_H,"T-AGOS",JB_CE,"NAVIGATION SYSTEM",JB_RC,"ALT")</f>
        <v>0</v>
      </c>
      <c r="G110" s="38">
        <f>SUMIFS(JB_26BV,JB_B,1,JB_EX,"P-8a",JB_CC,"Electronics",JB_H,"T-AO",JB_CE,"NAVIGATION SYSTEM",JB_RC,"ALT")</f>
        <v>0</v>
      </c>
      <c r="H110" s="38">
        <f>SUMIFS(JB_26BV,JB_B,1,JB_EX,"P-8a",JB_CC,"Electronics",JB_H,"T-ATS",JB_CE,"NAVIGATION SYSTEM",JB_RC,"ALT")</f>
        <v>0</v>
      </c>
      <c r="I110" s="37">
        <f t="shared" si="3"/>
        <v>13508</v>
      </c>
    </row>
    <row r="111" spans="1:9" ht="10" customHeight="1" x14ac:dyDescent="0.2">
      <c r="A111" s="36" t="s">
        <v>8908</v>
      </c>
      <c r="B111" s="37">
        <f>SUMIFS(JB_26BV,JB_B,1,JB_EX,"P-8a",JB_CC,"Electronics",JB_H,"DDG",JB_CE,"MIDS",JB_RC,"ALT")</f>
        <v>11662</v>
      </c>
      <c r="C111" s="38">
        <f>SUMIFS(JB_26BV,JB_B,1,JB_EX,"P-8a",JB_CC,"Electronics",JB_H,"FFG",JB_CE,"MIDS",JB_RC,"ALT")</f>
        <v>0</v>
      </c>
      <c r="D111" s="38">
        <f>SUMIFS(JB_26BV,JB_B,1,JB_EX,"P-8a",JB_CC,"Electronics",JB_H,"LPD",JB_CE,"MIDS",JB_RC,"ALT")</f>
        <v>0</v>
      </c>
      <c r="E111" s="38">
        <f>SUMIFS(JB_26BV,JB_B,1,JB_EX,"P-8a",JB_CC,"Electronics",JB_H,"LHA",JB_CE,"MIDS",JB_RC,"ALT")</f>
        <v>0</v>
      </c>
      <c r="F111" s="38">
        <f>SUMIFS(JB_26BV,JB_B,1,JB_EX,"P-8a",JB_CC,"Electronics",JB_H,"T-AGOS",JB_CE,"MIDS",JB_RC,"ALT")</f>
        <v>0</v>
      </c>
      <c r="G111" s="38">
        <f>SUMIFS(JB_26BV,JB_B,1,JB_EX,"P-8a",JB_CC,"Electronics",JB_H,"T-AO",JB_CE,"MIDS",JB_RC,"ALT")</f>
        <v>0</v>
      </c>
      <c r="H111" s="38">
        <f>SUMIFS(JB_26BV,JB_B,1,JB_EX,"P-8a",JB_CC,"Electronics",JB_H,"T-ATS",JB_CE,"MIDS",JB_RC,"ALT")</f>
        <v>0</v>
      </c>
      <c r="I111" s="37">
        <f t="shared" si="3"/>
        <v>11662</v>
      </c>
    </row>
    <row r="112" spans="1:9" ht="10" customHeight="1" x14ac:dyDescent="0.2">
      <c r="A112" s="36" t="s">
        <v>8909</v>
      </c>
      <c r="B112" s="37">
        <f>SUMIFS(JB_26BV,JB_B,1,JB_EX,"P-8a",JB_CC,"Electronics",JB_H,"DDG",JB_CE,"Identification Friend or Foe (IFF) UPX-29",JB_RC,"ALT")</f>
        <v>0</v>
      </c>
      <c r="C112" s="38">
        <f>SUMIFS(JB_26BV,JB_B,1,JB_EX,"P-8a",JB_CC,"Electronics",JB_H,"FFG",JB_CE,"Identification Friend or Foe (IFF) UPX-29",JB_RC,"ALT")</f>
        <v>11447</v>
      </c>
      <c r="D112" s="38">
        <f>SUMIFS(JB_26BV,JB_B,1,JB_EX,"P-8a",JB_CC,"Electronics",JB_H,"LPD",JB_CE,"Identification Friend or Foe (IFF) UPX-29",JB_RC,"ALT")</f>
        <v>0</v>
      </c>
      <c r="E112" s="38">
        <f>SUMIFS(JB_26BV,JB_B,1,JB_EX,"P-8a",JB_CC,"Electronics",JB_H,"LHA",JB_CE,"Identification Friend or Foe (IFF) UPX-29",JB_RC,"ALT")</f>
        <v>0</v>
      </c>
      <c r="F112" s="38">
        <f>SUMIFS(JB_26BV,JB_B,1,JB_EX,"P-8a",JB_CC,"Electronics",JB_H,"T-AGOS",JB_CE,"Identification Friend or Foe (IFF) UPX-29",JB_RC,"ALT")</f>
        <v>0</v>
      </c>
      <c r="G112" s="38">
        <f>SUMIFS(JB_26BV,JB_B,1,JB_EX,"P-8a",JB_CC,"Electronics",JB_H,"T-AO",JB_CE,"Identification Friend or Foe (IFF) UPX-29",JB_RC,"ALT")</f>
        <v>0</v>
      </c>
      <c r="H112" s="38">
        <f>SUMIFS(JB_26BV,JB_B,1,JB_EX,"P-8a",JB_CC,"Electronics",JB_H,"T-ATS",JB_CE,"Identification Friend or Foe (IFF) UPX-29",JB_RC,"ALT")</f>
        <v>0</v>
      </c>
      <c r="I112" s="37">
        <f t="shared" si="3"/>
        <v>11447</v>
      </c>
    </row>
    <row r="113" spans="1:9" ht="10" customHeight="1" x14ac:dyDescent="0.2">
      <c r="A113" s="36" t="s">
        <v>8910</v>
      </c>
      <c r="B113" s="37">
        <f>SUMIFS(JB_26BV,JB_B,1,JB_EX,"P-8a",JB_CC,"Electronics",JB_H,"DDG",JB_CE,"Integrated Voice Network (IVN)",JB_RC,"ALT")</f>
        <v>0</v>
      </c>
      <c r="C113" s="38">
        <f>SUMIFS(JB_26BV,JB_B,1,JB_EX,"P-8a",JB_CC,"Electronics",JB_H,"FFG",JB_CE,"Integrated Voice Network (IVN)",JB_RC,"ALT")</f>
        <v>0</v>
      </c>
      <c r="D113" s="38">
        <f>SUMIFS(JB_26BV,JB_B,1,JB_EX,"P-8a",JB_CC,"Electronics",JB_H,"LPD",JB_CE,"Integrated Voice Network (IVN)",JB_RC,"ALT")</f>
        <v>0</v>
      </c>
      <c r="E113" s="38">
        <f>SUMIFS(JB_26BV,JB_B,1,JB_EX,"P-8a",JB_CC,"Electronics",JB_H,"LHA",JB_CE,"Integrated Voice Network (IVN)",JB_RC,"ALT")</f>
        <v>10218</v>
      </c>
      <c r="F113" s="38">
        <f>SUMIFS(JB_26BV,JB_B,1,JB_EX,"P-8a",JB_CC,"Electronics",JB_H,"T-AGOS",JB_CE,"Integrated Voice Network (IVN)",JB_RC,"ALT")</f>
        <v>0</v>
      </c>
      <c r="G113" s="38">
        <f>SUMIFS(JB_26BV,JB_B,1,JB_EX,"P-8a",JB_CC,"Electronics",JB_H,"T-AO",JB_CE,"Integrated Voice Network (IVN)",JB_RC,"ALT")</f>
        <v>0</v>
      </c>
      <c r="H113" s="38">
        <f>SUMIFS(JB_26BV,JB_B,1,JB_EX,"P-8a",JB_CC,"Electronics",JB_H,"T-ATS",JB_CE,"Integrated Voice Network (IVN)",JB_RC,"ALT")</f>
        <v>0</v>
      </c>
      <c r="I113" s="37">
        <f t="shared" si="3"/>
        <v>10218</v>
      </c>
    </row>
    <row r="114" spans="1:9" ht="10" customHeight="1" x14ac:dyDescent="0.2">
      <c r="A114" s="36" t="s">
        <v>8911</v>
      </c>
      <c r="B114" s="37">
        <f>SUMIFS(JB_26BV,JB_B,1,JB_EX,"P-8a",JB_CC,"Electronics",JB_H,"DDG",JB_CE,"SLQ 25 NIXIE",JB_RC,"ALT")</f>
        <v>9536</v>
      </c>
      <c r="C114" s="38">
        <f>SUMIFS(JB_26BV,JB_B,1,JB_EX,"P-8a",JB_CC,"Electronics",JB_H,"FFG",JB_CE,"SLQ 25 NIXIE",JB_RC,"ALT")</f>
        <v>0</v>
      </c>
      <c r="D114" s="38">
        <f>SUMIFS(JB_26BV,JB_B,1,JB_EX,"P-8a",JB_CC,"Electronics",JB_H,"LPD",JB_CE,"SLQ 25 NIXIE",JB_RC,"ALT")</f>
        <v>0</v>
      </c>
      <c r="E114" s="38">
        <f>SUMIFS(JB_26BV,JB_B,1,JB_EX,"P-8a",JB_CC,"Electronics",JB_H,"LHA",JB_CE,"SLQ 25 NIXIE",JB_RC,"ALT")</f>
        <v>0</v>
      </c>
      <c r="F114" s="38">
        <f>SUMIFS(JB_26BV,JB_B,1,JB_EX,"P-8a",JB_CC,"Electronics",JB_H,"T-AGOS",JB_CE,"SLQ 25 NIXIE",JB_RC,"ALT")</f>
        <v>0</v>
      </c>
      <c r="G114" s="38">
        <f>SUMIFS(JB_26BV,JB_B,1,JB_EX,"P-8a",JB_CC,"Electronics",JB_H,"T-AO",JB_CE,"SLQ 25 NIXIE",JB_RC,"ALT")</f>
        <v>0</v>
      </c>
      <c r="H114" s="38">
        <f>SUMIFS(JB_26BV,JB_B,1,JB_EX,"P-8a",JB_CC,"Electronics",JB_H,"T-ATS",JB_CE,"SLQ 25 NIXIE",JB_RC,"ALT")</f>
        <v>0</v>
      </c>
      <c r="I114" s="37">
        <f t="shared" si="3"/>
        <v>9536</v>
      </c>
    </row>
    <row r="115" spans="1:9" ht="10" customHeight="1" x14ac:dyDescent="0.2">
      <c r="A115" s="36" t="s">
        <v>8912</v>
      </c>
      <c r="B115" s="37">
        <f>SUMIFS(JB_26BV,JB_B,1,JB_EX,"P-8a",JB_CC,"Electronics",JB_H,"DDG",JB_CE,"NGSSR",JB_RC,"ALT")</f>
        <v>8068</v>
      </c>
      <c r="C115" s="38">
        <f>SUMIFS(JB_26BV,JB_B,1,JB_EX,"P-8a",JB_CC,"Electronics",JB_H,"FFG",JB_CE,"NGSSR",JB_RC,"ALT")</f>
        <v>0</v>
      </c>
      <c r="D115" s="38">
        <f>SUMIFS(JB_26BV,JB_B,1,JB_EX,"P-8a",JB_CC,"Electronics",JB_H,"LPD",JB_CE,"NGSSR",JB_RC,"ALT")</f>
        <v>0</v>
      </c>
      <c r="E115" s="38">
        <f>SUMIFS(JB_26BV,JB_B,1,JB_EX,"P-8a",JB_CC,"Electronics",JB_H,"LHA",JB_CE,"NGSSR",JB_RC,"ALT")</f>
        <v>0</v>
      </c>
      <c r="F115" s="38">
        <f>SUMIFS(JB_26BV,JB_B,1,JB_EX,"P-8a",JB_CC,"Electronics",JB_H,"T-AGOS",JB_CE,"NGSSR",JB_RC,"ALT")</f>
        <v>0</v>
      </c>
      <c r="G115" s="38">
        <f>SUMIFS(JB_26BV,JB_B,1,JB_EX,"P-8a",JB_CC,"Electronics",JB_H,"T-AO",JB_CE,"NGSSR",JB_RC,"ALT")</f>
        <v>0</v>
      </c>
      <c r="H115" s="38">
        <f>SUMIFS(JB_26BV,JB_B,1,JB_EX,"P-8a",JB_CC,"Electronics",JB_H,"T-ATS",JB_CE,"NGSSR",JB_RC,"ALT")</f>
        <v>0</v>
      </c>
      <c r="I115" s="37">
        <f t="shared" si="3"/>
        <v>8068</v>
      </c>
    </row>
    <row r="116" spans="1:9" ht="10" customHeight="1" x14ac:dyDescent="0.2">
      <c r="A116" s="36" t="s">
        <v>8913</v>
      </c>
      <c r="B116" s="37">
        <f>SUMIFS(JB_26BV,JB_B,1,JB_EX,"P-8a",JB_CC,"Electronics",JB_H,"DDG",JB_CE,"AN/UPX-29(V), Identification Friend or Foe (IFF) MK12",JB_RC,"ALT")</f>
        <v>0</v>
      </c>
      <c r="C116" s="38">
        <f>SUMIFS(JB_26BV,JB_B,1,JB_EX,"P-8a",JB_CC,"Electronics",JB_H,"FFG",JB_CE,"AN/UPX-29(V), Identification Friend or Foe (IFF) MK12",JB_RC,"ALT")</f>
        <v>0</v>
      </c>
      <c r="D116" s="38">
        <f>SUMIFS(JB_26BV,JB_B,1,JB_EX,"P-8a",JB_CC,"Electronics",JB_H,"LPD",JB_CE,"AN/UPX-29(V), Identification Friend or Foe (IFF) MK12",JB_RC,"ALT")</f>
        <v>0</v>
      </c>
      <c r="E116" s="38">
        <f>SUMIFS(JB_26BV,JB_B,1,JB_EX,"P-8a",JB_CC,"Electronics",JB_H,"LHA",JB_CE,"AN/UPX-29(V), Identification Friend or Foe (IFF) MK12",JB_RC,"ALT")</f>
        <v>7802</v>
      </c>
      <c r="F116" s="38">
        <f>SUMIFS(JB_26BV,JB_B,1,JB_EX,"P-8a",JB_CC,"Electronics",JB_H,"T-AGOS",JB_CE,"AN/UPX-29(V), Identification Friend or Foe (IFF) MK12",JB_RC,"ALT")</f>
        <v>0</v>
      </c>
      <c r="G116" s="38">
        <f>SUMIFS(JB_26BV,JB_B,1,JB_EX,"P-8a",JB_CC,"Electronics",JB_H,"T-AO",JB_CE,"AN/UPX-29(V), Identification Friend or Foe (IFF) MK12",JB_RC,"ALT")</f>
        <v>0</v>
      </c>
      <c r="H116" s="38">
        <f>SUMIFS(JB_26BV,JB_B,1,JB_EX,"P-8a",JB_CC,"Electronics",JB_H,"T-ATS",JB_CE,"AN/UPX-29(V), Identification Friend or Foe (IFF) MK12",JB_RC,"ALT")</f>
        <v>0</v>
      </c>
      <c r="I116" s="37">
        <f t="shared" si="3"/>
        <v>7802</v>
      </c>
    </row>
    <row r="117" spans="1:9" ht="10" customHeight="1" x14ac:dyDescent="0.2">
      <c r="A117" s="36" t="s">
        <v>8914</v>
      </c>
      <c r="B117" s="37">
        <f>SUMIFS(JB_26BV,JB_B,1,JB_EX,"P-8a",JB_CC,"Electronics",JB_H,"DDG",JB_CE,"COOPERATIVE ENGAGEMENT CAPABILITY (CEC)",JB_RC,"ALT")</f>
        <v>7800</v>
      </c>
      <c r="C117" s="38">
        <f>SUMIFS(JB_26BV,JB_B,1,JB_EX,"P-8a",JB_CC,"Electronics",JB_H,"FFG",JB_CE,"COOPERATIVE ENGAGEMENT CAPABILITY (CEC)",JB_RC,"ALT")</f>
        <v>14764</v>
      </c>
      <c r="D117" s="38">
        <f>SUMIFS(JB_26BV,JB_B,1,JB_EX,"P-8a",JB_CC,"Electronics",JB_H,"LPD",JB_CE,"COOPERATIVE ENGAGEMENT CAPABILITY (CEC)",JB_RC,"ALT")</f>
        <v>12200</v>
      </c>
      <c r="E117" s="38">
        <f>SUMIFS(JB_26BV,JB_B,1,JB_EX,"P-8a",JB_CC,"Electronics",JB_H,"LHA",JB_CE,"COOPERATIVE ENGAGEMENT CAPABILITY (CEC)",JB_RC,"ALT")</f>
        <v>0</v>
      </c>
      <c r="F117" s="38">
        <f>SUMIFS(JB_26BV,JB_B,1,JB_EX,"P-8a",JB_CC,"Electronics",JB_H,"T-AGOS",JB_CE,"COOPERATIVE ENGAGEMENT CAPABILITY (CEC)",JB_RC,"ALT")</f>
        <v>0</v>
      </c>
      <c r="G117" s="38">
        <f>SUMIFS(JB_26BV,JB_B,1,JB_EX,"P-8a",JB_CC,"Electronics",JB_H,"T-AO",JB_CE,"COOPERATIVE ENGAGEMENT CAPABILITY (CEC)",JB_RC,"ALT")</f>
        <v>0</v>
      </c>
      <c r="H117" s="38">
        <f>SUMIFS(JB_26BV,JB_B,1,JB_EX,"P-8a",JB_CC,"Electronics",JB_H,"T-ATS",JB_CE,"COOPERATIVE ENGAGEMENT CAPABILITY (CEC)",JB_RC,"ALT")</f>
        <v>0</v>
      </c>
      <c r="I117" s="37">
        <f t="shared" si="3"/>
        <v>34764</v>
      </c>
    </row>
    <row r="118" spans="1:9" ht="10" customHeight="1" x14ac:dyDescent="0.2">
      <c r="A118" s="36" t="s">
        <v>8915</v>
      </c>
      <c r="B118" s="37">
        <f>SUMIFS(JB_26BV,JB_B,1,JB_EX,"P-8a",JB_CC,"Electronics",JB_H,"DDG",JB_CE,"MK 53 NULKA",JB_RC,"ALT")</f>
        <v>7641</v>
      </c>
      <c r="C118" s="38">
        <f>SUMIFS(JB_26BV,JB_B,1,JB_EX,"P-8a",JB_CC,"Electronics",JB_H,"FFG",JB_CE,"MK 53 NULKA",JB_RC,"ALT")</f>
        <v>0</v>
      </c>
      <c r="D118" s="38">
        <f>SUMIFS(JB_26BV,JB_B,1,JB_EX,"P-8a",JB_CC,"Electronics",JB_H,"LPD",JB_CE,"MK 53 NULKA",JB_RC,"ALT")</f>
        <v>0</v>
      </c>
      <c r="E118" s="38">
        <f>SUMIFS(JB_26BV,JB_B,1,JB_EX,"P-8a",JB_CC,"Electronics",JB_H,"LHA",JB_CE,"MK 53 NULKA",JB_RC,"ALT")</f>
        <v>0</v>
      </c>
      <c r="F118" s="38">
        <f>SUMIFS(JB_26BV,JB_B,1,JB_EX,"P-8a",JB_CC,"Electronics",JB_H,"T-AGOS",JB_CE,"MK 53 NULKA",JB_RC,"ALT")</f>
        <v>0</v>
      </c>
      <c r="G118" s="38">
        <f>SUMIFS(JB_26BV,JB_B,1,JB_EX,"P-8a",JB_CC,"Electronics",JB_H,"T-AO",JB_CE,"MK 53 NULKA",JB_RC,"ALT")</f>
        <v>0</v>
      </c>
      <c r="H118" s="38">
        <f>SUMIFS(JB_26BV,JB_B,1,JB_EX,"P-8a",JB_CC,"Electronics",JB_H,"T-ATS",JB_CE,"MK 53 NULKA",JB_RC,"ALT")</f>
        <v>0</v>
      </c>
      <c r="I118" s="37">
        <f t="shared" si="3"/>
        <v>7641</v>
      </c>
    </row>
    <row r="119" spans="1:9" ht="10" customHeight="1" x14ac:dyDescent="0.2">
      <c r="A119" s="36" t="s">
        <v>8916</v>
      </c>
      <c r="B119" s="37">
        <f>SUMIFS(JB_26BV,JB_B,1,JB_EX,"P-8a",JB_CC,"Electronics",JB_H,"DDG",JB_CE,"AN/USG-2, Cooperative Engagement Transmission Processing Set (CETPS)",JB_RC,"ALT")</f>
        <v>0</v>
      </c>
      <c r="C119" s="38">
        <f>SUMIFS(JB_26BV,JB_B,1,JB_EX,"P-8a",JB_CC,"Electronics",JB_H,"FFG",JB_CE,"AN/USG-2, Cooperative Engagement Transmission Processing Set (CETPS)",JB_RC,"ALT")</f>
        <v>0</v>
      </c>
      <c r="D119" s="38">
        <f>SUMIFS(JB_26BV,JB_B,1,JB_EX,"P-8a",JB_CC,"Electronics",JB_H,"LPD",JB_CE,"AN/USG-2, Cooperative Engagement Transmission Processing Set (CETPS)",JB_RC,"ALT")</f>
        <v>0</v>
      </c>
      <c r="E119" s="38">
        <f>SUMIFS(JB_26BV,JB_B,1,JB_EX,"P-8a",JB_CC,"Electronics",JB_H,"LHA",JB_CE,"AN/USG-2, Cooperative Engagement Transmission Processing Set (CETPS)",JB_RC,"ALT")</f>
        <v>7380</v>
      </c>
      <c r="F119" s="38">
        <f>SUMIFS(JB_26BV,JB_B,1,JB_EX,"P-8a",JB_CC,"Electronics",JB_H,"T-AGOS",JB_CE,"AN/USG-2, Cooperative Engagement Transmission Processing Set (CETPS)",JB_RC,"ALT")</f>
        <v>0</v>
      </c>
      <c r="G119" s="38">
        <f>SUMIFS(JB_26BV,JB_B,1,JB_EX,"P-8a",JB_CC,"Electronics",JB_H,"T-AO",JB_CE,"AN/USG-2, Cooperative Engagement Transmission Processing Set (CETPS)",JB_RC,"ALT")</f>
        <v>0</v>
      </c>
      <c r="H119" s="38">
        <f>SUMIFS(JB_26BV,JB_B,1,JB_EX,"P-8a",JB_CC,"Electronics",JB_H,"T-ATS",JB_CE,"AN/USG-2, Cooperative Engagement Transmission Processing Set (CETPS)",JB_RC,"ALT")</f>
        <v>0</v>
      </c>
      <c r="I119" s="37">
        <f t="shared" si="3"/>
        <v>7380</v>
      </c>
    </row>
    <row r="120" spans="1:9" ht="10" customHeight="1" x14ac:dyDescent="0.2">
      <c r="A120" s="36" t="s">
        <v>8917</v>
      </c>
      <c r="B120" s="37">
        <f>SUMIFS(JB_26BV,JB_B,1,JB_EX,"P-8a",JB_CC,"Electronics",JB_H,"DDG",JB_CE,"Minor Systems",JB_RC,"ALT")</f>
        <v>0</v>
      </c>
      <c r="C120" s="38">
        <f>SUMIFS(JB_26BV,JB_B,1,JB_EX,"P-8a",JB_CC,"Electronics",JB_H,"FFG",JB_CE,"Minor Systems",JB_RC,"ALT")</f>
        <v>0</v>
      </c>
      <c r="D120" s="38">
        <f>SUMIFS(JB_26BV,JB_B,1,JB_EX,"P-8a",JB_CC,"Electronics",JB_H,"LPD",JB_CE,"Minor Systems",JB_RC,"ALT")</f>
        <v>0</v>
      </c>
      <c r="E120" s="38">
        <f>SUMIFS(JB_26BV,JB_B,1,JB_EX,"P-8a",JB_CC,"Electronics",JB_H,"LHA",JB_CE,"Minor Systems",JB_RC,"ALT")</f>
        <v>0</v>
      </c>
      <c r="F120" s="38">
        <f>SUMIFS(JB_26BV,JB_B,1,JB_EX,"P-8a",JB_CC,"Electronics",JB_H,"T-AGOS",JB_CE,"Minor Systems",JB_RC,"ALT")</f>
        <v>0</v>
      </c>
      <c r="G120" s="38">
        <f>SUMIFS(JB_26BV,JB_B,1,JB_EX,"P-8a",JB_CC,"Electronics",JB_H,"T-AO",JB_CE,"Minor Systems",JB_RC,"ALT")</f>
        <v>7265</v>
      </c>
      <c r="H120" s="38">
        <f>SUMIFS(JB_26BV,JB_B,1,JB_EX,"P-8a",JB_CC,"Electronics",JB_H,"T-ATS",JB_CE,"Minor Systems",JB_RC,"ALT")</f>
        <v>0</v>
      </c>
      <c r="I120" s="37">
        <f t="shared" si="3"/>
        <v>7265</v>
      </c>
    </row>
    <row r="121" spans="1:9" ht="10" customHeight="1" x14ac:dyDescent="0.2">
      <c r="A121" s="36" t="s">
        <v>8918</v>
      </c>
      <c r="B121" s="37">
        <f>SUMIFS(JB_26BV,JB_B,1,JB_EX,"P-8a",JB_CC,"Electronics",JB_H,"DDG",JB_CE,"Joint Precision Approach and Landing System (JPALS) (AN/USN-3(V)1, SSLS)",JB_RC,"ALT")</f>
        <v>0</v>
      </c>
      <c r="C121" s="38">
        <f>SUMIFS(JB_26BV,JB_B,1,JB_EX,"P-8a",JB_CC,"Electronics",JB_H,"FFG",JB_CE,"Joint Precision Approach and Landing System (JPALS) (AN/USN-3(V)1, SSLS)",JB_RC,"ALT")</f>
        <v>0</v>
      </c>
      <c r="D121" s="38">
        <f>SUMIFS(JB_26BV,JB_B,1,JB_EX,"P-8a",JB_CC,"Electronics",JB_H,"LPD",JB_CE,"Joint Precision Approach and Landing System (JPALS) (AN/USN-3(V)1, SSLS)",JB_RC,"ALT")</f>
        <v>0</v>
      </c>
      <c r="E121" s="38">
        <f>SUMIFS(JB_26BV,JB_B,1,JB_EX,"P-8a",JB_CC,"Electronics",JB_H,"LHA",JB_CE,"Joint Precision Approach and Landing System (JPALS) (AN/USN-3(V)1, SSLS)",JB_RC,"ALT")</f>
        <v>6885</v>
      </c>
      <c r="F121" s="38">
        <f>SUMIFS(JB_26BV,JB_B,1,JB_EX,"P-8a",JB_CC,"Electronics",JB_H,"T-AGOS",JB_CE,"Joint Precision Approach and Landing System (JPALS) (AN/USN-3(V)1, SSLS)",JB_RC,"ALT")</f>
        <v>0</v>
      </c>
      <c r="G121" s="38">
        <f>SUMIFS(JB_26BV,JB_B,1,JB_EX,"P-8a",JB_CC,"Electronics",JB_H,"T-AO",JB_CE,"Joint Precision Approach and Landing System (JPALS) (AN/USN-3(V)1, SSLS)",JB_RC,"ALT")</f>
        <v>0</v>
      </c>
      <c r="H121" s="38">
        <f>SUMIFS(JB_26BV,JB_B,1,JB_EX,"P-8a",JB_CC,"Electronics",JB_H,"T-ATS",JB_CE,"Joint Precision Approach and Landing System (JPALS) (AN/USN-3(V)1, SSLS)",JB_RC,"ALT")</f>
        <v>0</v>
      </c>
      <c r="I121" s="37">
        <f t="shared" si="3"/>
        <v>6885</v>
      </c>
    </row>
    <row r="122" spans="1:9" ht="10" customHeight="1" x14ac:dyDescent="0.2">
      <c r="A122" s="36" t="s">
        <v>8919</v>
      </c>
      <c r="B122" s="37">
        <f>SUMIFS(JB_26BV,JB_B,1,JB_EX,"P-8a",JB_CC,"Electronics",JB_H,"DDG",JB_CE,"USQ-82, Gigabit Ethernet Data Multiplex System (GEDMS)",JB_RC,"ALT")</f>
        <v>0</v>
      </c>
      <c r="C122" s="38">
        <f>SUMIFS(JB_26BV,JB_B,1,JB_EX,"P-8a",JB_CC,"Electronics",JB_H,"FFG",JB_CE,"USQ-82, Gigabit Ethernet Data Multiplex System (GEDMS)",JB_RC,"ALT")</f>
        <v>0</v>
      </c>
      <c r="D122" s="38">
        <f>SUMIFS(JB_26BV,JB_B,1,JB_EX,"P-8a",JB_CC,"Electronics",JB_H,"LPD",JB_CE,"USQ-82, Gigabit Ethernet Data Multiplex System (GEDMS)",JB_RC,"ALT")</f>
        <v>0</v>
      </c>
      <c r="E122" s="38">
        <f>SUMIFS(JB_26BV,JB_B,1,JB_EX,"P-8a",JB_CC,"Electronics",JB_H,"LHA",JB_CE,"USQ-82, Gigabit Ethernet Data Multiplex System (GEDMS)",JB_RC,"ALT")</f>
        <v>6851</v>
      </c>
      <c r="F122" s="38">
        <f>SUMIFS(JB_26BV,JB_B,1,JB_EX,"P-8a",JB_CC,"Electronics",JB_H,"T-AGOS",JB_CE,"USQ-82, Gigabit Ethernet Data Multiplex System (GEDMS)",JB_RC,"ALT")</f>
        <v>0</v>
      </c>
      <c r="G122" s="38">
        <f>SUMIFS(JB_26BV,JB_B,1,JB_EX,"P-8a",JB_CC,"Electronics",JB_H,"T-AO",JB_CE,"USQ-82, Gigabit Ethernet Data Multiplex System (GEDMS)",JB_RC,"ALT")</f>
        <v>0</v>
      </c>
      <c r="H122" s="38">
        <f>SUMIFS(JB_26BV,JB_B,1,JB_EX,"P-8a",JB_CC,"Electronics",JB_H,"T-ATS",JB_CE,"USQ-82, Gigabit Ethernet Data Multiplex System (GEDMS)",JB_RC,"ALT")</f>
        <v>0</v>
      </c>
      <c r="I122" s="37">
        <f t="shared" si="3"/>
        <v>6851</v>
      </c>
    </row>
    <row r="123" spans="1:9" ht="10" customHeight="1" x14ac:dyDescent="0.2">
      <c r="A123" s="36" t="s">
        <v>8920</v>
      </c>
      <c r="B123" s="37">
        <f>SUMIFS(JB_26BV,JB_B,1,JB_EX,"P-8a",JB_CC,"Electronics",JB_H,"DDG",JB_CE,"Interrogator System IFF (Identification Friend or Foe)",JB_RC,"ALT")</f>
        <v>0</v>
      </c>
      <c r="C123" s="38">
        <f>SUMIFS(JB_26BV,JB_B,1,JB_EX,"P-8a",JB_CC,"Electronics",JB_H,"FFG",JB_CE,"Interrogator System IFF (Identification Friend or Foe)",JB_RC,"ALT")</f>
        <v>0</v>
      </c>
      <c r="D123" s="38">
        <f>SUMIFS(JB_26BV,JB_B,1,JB_EX,"P-8a",JB_CC,"Electronics",JB_H,"LPD",JB_CE,"Interrogator System IFF (Identification Friend or Foe)",JB_RC,"ALT")</f>
        <v>6649</v>
      </c>
      <c r="E123" s="38">
        <f>SUMIFS(JB_26BV,JB_B,1,JB_EX,"P-8a",JB_CC,"Electronics",JB_H,"LHA",JB_CE,"Interrogator System IFF (Identification Friend or Foe)",JB_RC,"ALT")</f>
        <v>0</v>
      </c>
      <c r="F123" s="38">
        <f>SUMIFS(JB_26BV,JB_B,1,JB_EX,"P-8a",JB_CC,"Electronics",JB_H,"T-AGOS",JB_CE,"Interrogator System IFF (Identification Friend or Foe)",JB_RC,"ALT")</f>
        <v>0</v>
      </c>
      <c r="G123" s="38">
        <f>SUMIFS(JB_26BV,JB_B,1,JB_EX,"P-8a",JB_CC,"Electronics",JB_H,"T-AO",JB_CE,"Interrogator System IFF (Identification Friend or Foe)",JB_RC,"ALT")</f>
        <v>0</v>
      </c>
      <c r="H123" s="38">
        <f>SUMIFS(JB_26BV,JB_B,1,JB_EX,"P-8a",JB_CC,"Electronics",JB_H,"T-ATS",JB_CE,"Interrogator System IFF (Identification Friend or Foe)",JB_RC,"ALT")</f>
        <v>0</v>
      </c>
      <c r="I123" s="37">
        <f t="shared" si="3"/>
        <v>6649</v>
      </c>
    </row>
    <row r="124" spans="1:9" ht="10" customHeight="1" x14ac:dyDescent="0.2">
      <c r="A124" s="36" t="s">
        <v>8921</v>
      </c>
      <c r="B124" s="37">
        <f>SUMIFS(JB_26BV,JB_B,1,JB_EX,"P-8a",JB_CC,"Electronics",JB_H,"DDG",JB_CE,"TSA ANTENNA",JB_RC,"ALT")</f>
        <v>6582</v>
      </c>
      <c r="C124" s="38">
        <f>SUMIFS(JB_26BV,JB_B,1,JB_EX,"P-8a",JB_CC,"Electronics",JB_H,"FFG",JB_CE,"TSA ANTENNA",JB_RC,"ALT")</f>
        <v>0</v>
      </c>
      <c r="D124" s="38">
        <f>SUMIFS(JB_26BV,JB_B,1,JB_EX,"P-8a",JB_CC,"Electronics",JB_H,"LPD",JB_CE,"TSA ANTENNA",JB_RC,"ALT")</f>
        <v>0</v>
      </c>
      <c r="E124" s="38">
        <f>SUMIFS(JB_26BV,JB_B,1,JB_EX,"P-8a",JB_CC,"Electronics",JB_H,"LHA",JB_CE,"TSA ANTENNA",JB_RC,"ALT")</f>
        <v>0</v>
      </c>
      <c r="F124" s="38">
        <f>SUMIFS(JB_26BV,JB_B,1,JB_EX,"P-8a",JB_CC,"Electronics",JB_H,"T-AGOS",JB_CE,"TSA ANTENNA",JB_RC,"ALT")</f>
        <v>0</v>
      </c>
      <c r="G124" s="38">
        <f>SUMIFS(JB_26BV,JB_B,1,JB_EX,"P-8a",JB_CC,"Electronics",JB_H,"T-AO",JB_CE,"TSA ANTENNA",JB_RC,"ALT")</f>
        <v>0</v>
      </c>
      <c r="H124" s="38">
        <f>SUMIFS(JB_26BV,JB_B,1,JB_EX,"P-8a",JB_CC,"Electronics",JB_H,"T-ATS",JB_CE,"TSA ANTENNA",JB_RC,"ALT")</f>
        <v>0</v>
      </c>
      <c r="I124" s="37">
        <f t="shared" si="3"/>
        <v>6582</v>
      </c>
    </row>
    <row r="125" spans="1:9" ht="10" customHeight="1" x14ac:dyDescent="0.2">
      <c r="A125" s="36" t="s">
        <v>8922</v>
      </c>
      <c r="B125" s="37">
        <f>SUMIFS(JB_26BV,JB_B,1,JB_EX,"P-8a",JB_CC,"Electronics",JB_H,"DDG",JB_CE,"Radio Communication System (RCS) TURNKEY",JB_RC,"ALT")</f>
        <v>0</v>
      </c>
      <c r="C125" s="38">
        <f>SUMIFS(JB_26BV,JB_B,1,JB_EX,"P-8a",JB_CC,"Electronics",JB_H,"FFG",JB_CE,"Radio Communication System (RCS) TURNKEY",JB_RC,"ALT")</f>
        <v>0</v>
      </c>
      <c r="D125" s="38">
        <f>SUMIFS(JB_26BV,JB_B,1,JB_EX,"P-8a",JB_CC,"Electronics",JB_H,"LPD",JB_CE,"Radio Communication System (RCS) TURNKEY",JB_RC,"ALT")</f>
        <v>0</v>
      </c>
      <c r="E125" s="38">
        <f>SUMIFS(JB_26BV,JB_B,1,JB_EX,"P-8a",JB_CC,"Electronics",JB_H,"LHA",JB_CE,"Radio Communication System (RCS) TURNKEY",JB_RC,"ALT")</f>
        <v>0</v>
      </c>
      <c r="F125" s="38">
        <f>SUMIFS(JB_26BV,JB_B,1,JB_EX,"P-8a",JB_CC,"Electronics",JB_H,"T-AGOS",JB_CE,"Radio Communication System (RCS) TURNKEY",JB_RC,"ALT")</f>
        <v>0</v>
      </c>
      <c r="G125" s="38">
        <f>SUMIFS(JB_26BV,JB_B,1,JB_EX,"P-8a",JB_CC,"Electronics",JB_H,"T-AO",JB_CE,"Radio Communication System (RCS) TURNKEY",JB_RC,"ALT")</f>
        <v>6574</v>
      </c>
      <c r="H125" s="38">
        <f>SUMIFS(JB_26BV,JB_B,1,JB_EX,"P-8a",JB_CC,"Electronics",JB_H,"T-ATS",JB_CE,"Radio Communication System (RCS) TURNKEY",JB_RC,"ALT")</f>
        <v>0</v>
      </c>
      <c r="I125" s="37">
        <f t="shared" si="3"/>
        <v>6574</v>
      </c>
    </row>
    <row r="126" spans="1:9" ht="10" customHeight="1" x14ac:dyDescent="0.2">
      <c r="A126" s="36" t="s">
        <v>8923</v>
      </c>
      <c r="B126" s="37">
        <f>SUMIFS(JB_26BV,JB_B,1,JB_EX,"P-8a",JB_CC,"Electronics",JB_H,"DDG",JB_CE,"Aircraft Control Approach Central AN/SPN-35C",JB_RC,"ALT")</f>
        <v>0</v>
      </c>
      <c r="C126" s="38">
        <f>SUMIFS(JB_26BV,JB_B,1,JB_EX,"P-8a",JB_CC,"Electronics",JB_H,"FFG",JB_CE,"Aircraft Control Approach Central AN/SPN-35C",JB_RC,"ALT")</f>
        <v>0</v>
      </c>
      <c r="D126" s="38">
        <f>SUMIFS(JB_26BV,JB_B,1,JB_EX,"P-8a",JB_CC,"Electronics",JB_H,"LPD",JB_CE,"Aircraft Control Approach Central AN/SPN-35C",JB_RC,"ALT")</f>
        <v>0</v>
      </c>
      <c r="E126" s="38">
        <f>SUMIFS(JB_26BV,JB_B,1,JB_EX,"P-8a",JB_CC,"Electronics",JB_H,"LHA",JB_CE,"Aircraft Control Approach Central AN/SPN-35C",JB_RC,"ALT")</f>
        <v>6273</v>
      </c>
      <c r="F126" s="38">
        <f>SUMIFS(JB_26BV,JB_B,1,JB_EX,"P-8a",JB_CC,"Electronics",JB_H,"T-AGOS",JB_CE,"Aircraft Control Approach Central AN/SPN-35C",JB_RC,"ALT")</f>
        <v>0</v>
      </c>
      <c r="G126" s="38">
        <f>SUMIFS(JB_26BV,JB_B,1,JB_EX,"P-8a",JB_CC,"Electronics",JB_H,"T-AO",JB_CE,"Aircraft Control Approach Central AN/SPN-35C",JB_RC,"ALT")</f>
        <v>0</v>
      </c>
      <c r="H126" s="38">
        <f>SUMIFS(JB_26BV,JB_B,1,JB_EX,"P-8a",JB_CC,"Electronics",JB_H,"T-ATS",JB_CE,"Aircraft Control Approach Central AN/SPN-35C",JB_RC,"ALT")</f>
        <v>0</v>
      </c>
      <c r="I126" s="37">
        <f t="shared" si="3"/>
        <v>6273</v>
      </c>
    </row>
    <row r="127" spans="1:9" ht="10" customHeight="1" x14ac:dyDescent="0.2">
      <c r="A127" s="36" t="s">
        <v>8924</v>
      </c>
      <c r="B127" s="37">
        <f>SUMIFS(JB_26BV,JB_B,1,JB_EX,"P-8a",JB_CC,"Electronics",JB_H,"DDG",JB_CE,"AN/SLQ-25 NIXIE",JB_RC,"ALT")</f>
        <v>0</v>
      </c>
      <c r="C127" s="38">
        <f>SUMIFS(JB_26BV,JB_B,1,JB_EX,"P-8a",JB_CC,"Electronics",JB_H,"FFG",JB_CE,"AN/SLQ-25 NIXIE",JB_RC,"ALT")</f>
        <v>0</v>
      </c>
      <c r="D127" s="38">
        <f>SUMIFS(JB_26BV,JB_B,1,JB_EX,"P-8a",JB_CC,"Electronics",JB_H,"LPD",JB_CE,"AN/SLQ-25 NIXIE",JB_RC,"ALT")</f>
        <v>0</v>
      </c>
      <c r="E127" s="38">
        <f>SUMIFS(JB_26BV,JB_B,1,JB_EX,"P-8a",JB_CC,"Electronics",JB_H,"LHA",JB_CE,"AN/SLQ-25 NIXIE",JB_RC,"ALT")</f>
        <v>0</v>
      </c>
      <c r="F127" s="38">
        <f>SUMIFS(JB_26BV,JB_B,1,JB_EX,"P-8a",JB_CC,"Electronics",JB_H,"T-AGOS",JB_CE,"AN/SLQ-25 NIXIE",JB_RC,"ALT")</f>
        <v>0</v>
      </c>
      <c r="G127" s="38">
        <f>SUMIFS(JB_26BV,JB_B,1,JB_EX,"P-8a",JB_CC,"Electronics",JB_H,"T-AO",JB_CE,"AN/SLQ-25 NIXIE",JB_RC,"ALT")</f>
        <v>6213</v>
      </c>
      <c r="H127" s="38">
        <f>SUMIFS(JB_26BV,JB_B,1,JB_EX,"P-8a",JB_CC,"Electronics",JB_H,"T-ATS",JB_CE,"AN/SLQ-25 NIXIE",JB_RC,"ALT")</f>
        <v>0</v>
      </c>
      <c r="I127" s="37">
        <f t="shared" si="3"/>
        <v>6213</v>
      </c>
    </row>
    <row r="128" spans="1:9" ht="10" customHeight="1" x14ac:dyDescent="0.2">
      <c r="A128" s="36" t="s">
        <v>8925</v>
      </c>
      <c r="B128" s="37">
        <f>SUMIFS(JB_26BV,JB_B,1,JB_EX,"P-8a",JB_CC,"Electronics",JB_H,"DDG",JB_CE,"Hierarchical Yet Dynamically Reprogrammable Architecture (HYDRA) AN/SRC-55",JB_RC,"ALT")</f>
        <v>0</v>
      </c>
      <c r="C128" s="38">
        <f>SUMIFS(JB_26BV,JB_B,1,JB_EX,"P-8a",JB_CC,"Electronics",JB_H,"FFG",JB_CE,"Hierarchical Yet Dynamically Reprogrammable Architecture (HYDRA) AN/SRC-55",JB_RC,"ALT")</f>
        <v>0</v>
      </c>
      <c r="D128" s="38">
        <f>SUMIFS(JB_26BV,JB_B,1,JB_EX,"P-8a",JB_CC,"Electronics",JB_H,"LPD",JB_CE,"Hierarchical Yet Dynamically Reprogrammable Architecture (HYDRA) AN/SRC-55",JB_RC,"ALT")</f>
        <v>0</v>
      </c>
      <c r="E128" s="38">
        <f>SUMIFS(JB_26BV,JB_B,1,JB_EX,"P-8a",JB_CC,"Electronics",JB_H,"LHA",JB_CE,"Hierarchical Yet Dynamically Reprogrammable Architecture (HYDRA) AN/SRC-55",JB_RC,"ALT")</f>
        <v>6025</v>
      </c>
      <c r="F128" s="38">
        <f>SUMIFS(JB_26BV,JB_B,1,JB_EX,"P-8a",JB_CC,"Electronics",JB_H,"T-AGOS",JB_CE,"Hierarchical Yet Dynamically Reprogrammable Architecture (HYDRA) AN/SRC-55",JB_RC,"ALT")</f>
        <v>0</v>
      </c>
      <c r="G128" s="38">
        <f>SUMIFS(JB_26BV,JB_B,1,JB_EX,"P-8a",JB_CC,"Electronics",JB_H,"T-AO",JB_CE,"Hierarchical Yet Dynamically Reprogrammable Architecture (HYDRA) AN/SRC-55",JB_RC,"ALT")</f>
        <v>0</v>
      </c>
      <c r="H128" s="38">
        <f>SUMIFS(JB_26BV,JB_B,1,JB_EX,"P-8a",JB_CC,"Electronics",JB_H,"T-ATS",JB_CE,"Hierarchical Yet Dynamically Reprogrammable Architecture (HYDRA) AN/SRC-55",JB_RC,"ALT")</f>
        <v>0</v>
      </c>
      <c r="I128" s="37">
        <f t="shared" si="3"/>
        <v>6025</v>
      </c>
    </row>
    <row r="129" spans="1:9" ht="10" customHeight="1" x14ac:dyDescent="0.2">
      <c r="A129" s="36" t="s">
        <v>8926</v>
      </c>
      <c r="B129" s="37">
        <f>SUMIFS(JB_26BV,JB_B,1,JB_EX,"P-8a",JB_CC,"Electronics",JB_H,"DDG",JB_CE,"AN/SLQ-25C, Torpedo Countermeasures Transmitting Set (NIXIE)",JB_RC,"ALT")</f>
        <v>0</v>
      </c>
      <c r="C129" s="38">
        <f>SUMIFS(JB_26BV,JB_B,1,JB_EX,"P-8a",JB_CC,"Electronics",JB_H,"FFG",JB_CE,"AN/SLQ-25C, Torpedo Countermeasures Transmitting Set (NIXIE)",JB_RC,"ALT")</f>
        <v>0</v>
      </c>
      <c r="D129" s="38">
        <f>SUMIFS(JB_26BV,JB_B,1,JB_EX,"P-8a",JB_CC,"Electronics",JB_H,"LPD",JB_CE,"AN/SLQ-25C, Torpedo Countermeasures Transmitting Set (NIXIE)",JB_RC,"ALT")</f>
        <v>0</v>
      </c>
      <c r="E129" s="38">
        <f>SUMIFS(JB_26BV,JB_B,1,JB_EX,"P-8a",JB_CC,"Electronics",JB_H,"LHA",JB_CE,"AN/SLQ-25C, Torpedo Countermeasures Transmitting Set (NIXIE)",JB_RC,"ALT")</f>
        <v>5993</v>
      </c>
      <c r="F129" s="38">
        <f>SUMIFS(JB_26BV,JB_B,1,JB_EX,"P-8a",JB_CC,"Electronics",JB_H,"T-AGOS",JB_CE,"AN/SLQ-25C, Torpedo Countermeasures Transmitting Set (NIXIE)",JB_RC,"ALT")</f>
        <v>0</v>
      </c>
      <c r="G129" s="38">
        <f>SUMIFS(JB_26BV,JB_B,1,JB_EX,"P-8a",JB_CC,"Electronics",JB_H,"T-AO",JB_CE,"AN/SLQ-25C, Torpedo Countermeasures Transmitting Set (NIXIE)",JB_RC,"ALT")</f>
        <v>0</v>
      </c>
      <c r="H129" s="38">
        <f>SUMIFS(JB_26BV,JB_B,1,JB_EX,"P-8a",JB_CC,"Electronics",JB_H,"T-ATS",JB_CE,"AN/SLQ-25C, Torpedo Countermeasures Transmitting Set (NIXIE)",JB_RC,"ALT")</f>
        <v>0</v>
      </c>
      <c r="I129" s="37">
        <f t="shared" ref="I129:I160" si="4">SUM(B129:H129)</f>
        <v>5993</v>
      </c>
    </row>
    <row r="130" spans="1:9" ht="10" customHeight="1" x14ac:dyDescent="0.2">
      <c r="A130" s="36" t="s">
        <v>8927</v>
      </c>
      <c r="B130" s="37">
        <f>SUMIFS(JB_26BV,JB_B,1,JB_EX,"P-8a",JB_CC,"Electronics",JB_H,"DDG",JB_CE,"Ring Laser Gyro Navigator (RLGN) AN/WSN-7",JB_RC,"ALT")</f>
        <v>0</v>
      </c>
      <c r="C130" s="38">
        <f>SUMIFS(JB_26BV,JB_B,1,JB_EX,"P-8a",JB_CC,"Electronics",JB_H,"FFG",JB_CE,"Ring Laser Gyro Navigator (RLGN) AN/WSN-7",JB_RC,"ALT")</f>
        <v>0</v>
      </c>
      <c r="D130" s="38">
        <f>SUMIFS(JB_26BV,JB_B,1,JB_EX,"P-8a",JB_CC,"Electronics",JB_H,"LPD",JB_CE,"Ring Laser Gyro Navigator (RLGN) AN/WSN-7",JB_RC,"ALT")</f>
        <v>0</v>
      </c>
      <c r="E130" s="38">
        <f>SUMIFS(JB_26BV,JB_B,1,JB_EX,"P-8a",JB_CC,"Electronics",JB_H,"LHA",JB_CE,"Ring Laser Gyro Navigator (RLGN) AN/WSN-7",JB_RC,"ALT")</f>
        <v>5516</v>
      </c>
      <c r="F130" s="38">
        <f>SUMIFS(JB_26BV,JB_B,1,JB_EX,"P-8a",JB_CC,"Electronics",JB_H,"T-AGOS",JB_CE,"Ring Laser Gyro Navigator (RLGN) AN/WSN-7",JB_RC,"ALT")</f>
        <v>0</v>
      </c>
      <c r="G130" s="38">
        <f>SUMIFS(JB_26BV,JB_B,1,JB_EX,"P-8a",JB_CC,"Electronics",JB_H,"T-AO",JB_CE,"Ring Laser Gyro Navigator (RLGN) AN/WSN-7",JB_RC,"ALT")</f>
        <v>0</v>
      </c>
      <c r="H130" s="38">
        <f>SUMIFS(JB_26BV,JB_B,1,JB_EX,"P-8a",JB_CC,"Electronics",JB_H,"T-ATS",JB_CE,"Ring Laser Gyro Navigator (RLGN) AN/WSN-7",JB_RC,"ALT")</f>
        <v>0</v>
      </c>
      <c r="I130" s="37">
        <f t="shared" si="4"/>
        <v>5516</v>
      </c>
    </row>
    <row r="131" spans="1:9" ht="10" customHeight="1" x14ac:dyDescent="0.2">
      <c r="A131" s="36" t="s">
        <v>8928</v>
      </c>
      <c r="B131" s="37">
        <f>SUMIFS(JB_26BV,JB_B,1,JB_EX,"P-8a",JB_CC,"Electronics",JB_H,"DDG",JB_CE,"SPARES",JB_RC,"ALT")</f>
        <v>5500</v>
      </c>
      <c r="C131" s="38">
        <f>SUMIFS(JB_26BV,JB_B,1,JB_EX,"P-8a",JB_CC,"Electronics",JB_H,"FFG",JB_CE,"SPARES",JB_RC,"ALT")</f>
        <v>0</v>
      </c>
      <c r="D131" s="38">
        <f>SUMIFS(JB_26BV,JB_B,1,JB_EX,"P-8a",JB_CC,"Electronics",JB_H,"LPD",JB_CE,"SPARES",JB_RC,"ALT")</f>
        <v>0</v>
      </c>
      <c r="E131" s="38">
        <f>SUMIFS(JB_26BV,JB_B,1,JB_EX,"P-8a",JB_CC,"Electronics",JB_H,"LHA",JB_CE,"SPARES",JB_RC,"ALT")</f>
        <v>0</v>
      </c>
      <c r="F131" s="38">
        <f>SUMIFS(JB_26BV,JB_B,1,JB_EX,"P-8a",JB_CC,"Electronics",JB_H,"T-AGOS",JB_CE,"SPARES",JB_RC,"ALT")</f>
        <v>0</v>
      </c>
      <c r="G131" s="38">
        <f>SUMIFS(JB_26BV,JB_B,1,JB_EX,"P-8a",JB_CC,"Electronics",JB_H,"T-AO",JB_CE,"SPARES",JB_RC,"ALT")</f>
        <v>0</v>
      </c>
      <c r="H131" s="38">
        <f>SUMIFS(JB_26BV,JB_B,1,JB_EX,"P-8a",JB_CC,"Electronics",JB_H,"T-ATS",JB_CE,"SPARES",JB_RC,"ALT")</f>
        <v>0</v>
      </c>
      <c r="I131" s="37">
        <f t="shared" si="4"/>
        <v>5500</v>
      </c>
    </row>
    <row r="132" spans="1:9" ht="10" customHeight="1" x14ac:dyDescent="0.2">
      <c r="A132" s="36" t="s">
        <v>8929</v>
      </c>
      <c r="B132" s="37">
        <f>SUMIFS(JB_26BV,JB_B,1,JB_EX,"P-8a",JB_CC,"Electronics",JB_H,"DDG",JB_CE,"Amphibious Air Traffic Control Direct Altitude and Identity Readout (AATC-DAIR)",JB_RC,"ALT")</f>
        <v>0</v>
      </c>
      <c r="C132" s="38">
        <f>SUMIFS(JB_26BV,JB_B,1,JB_EX,"P-8a",JB_CC,"Electronics",JB_H,"FFG",JB_CE,"Amphibious Air Traffic Control Direct Altitude and Identity Readout (AATC-DAIR)",JB_RC,"ALT")</f>
        <v>0</v>
      </c>
      <c r="D132" s="38">
        <f>SUMIFS(JB_26BV,JB_B,1,JB_EX,"P-8a",JB_CC,"Electronics",JB_H,"LPD",JB_CE,"Amphibious Air Traffic Control Direct Altitude and Identity Readout (AATC-DAIR)",JB_RC,"ALT")</f>
        <v>0</v>
      </c>
      <c r="E132" s="38">
        <f>SUMIFS(JB_26BV,JB_B,1,JB_EX,"P-8a",JB_CC,"Electronics",JB_H,"LHA",JB_CE,"Amphibious Air Traffic Control Direct Altitude and Identity Readout (AATC-DAIR)",JB_RC,"ALT")</f>
        <v>5333</v>
      </c>
      <c r="F132" s="38">
        <f>SUMIFS(JB_26BV,JB_B,1,JB_EX,"P-8a",JB_CC,"Electronics",JB_H,"T-AGOS",JB_CE,"Amphibious Air Traffic Control Direct Altitude and Identity Readout (AATC-DAIR)",JB_RC,"ALT")</f>
        <v>0</v>
      </c>
      <c r="G132" s="38">
        <f>SUMIFS(JB_26BV,JB_B,1,JB_EX,"P-8a",JB_CC,"Electronics",JB_H,"T-AO",JB_CE,"Amphibious Air Traffic Control Direct Altitude and Identity Readout (AATC-DAIR)",JB_RC,"ALT")</f>
        <v>0</v>
      </c>
      <c r="H132" s="38">
        <f>SUMIFS(JB_26BV,JB_B,1,JB_EX,"P-8a",JB_CC,"Electronics",JB_H,"T-ATS",JB_CE,"Amphibious Air Traffic Control Direct Altitude and Identity Readout (AATC-DAIR)",JB_RC,"ALT")</f>
        <v>0</v>
      </c>
      <c r="I132" s="37">
        <f t="shared" si="4"/>
        <v>5333</v>
      </c>
    </row>
    <row r="133" spans="1:9" ht="10" customHeight="1" x14ac:dyDescent="0.2">
      <c r="A133" s="36" t="s">
        <v>8930</v>
      </c>
      <c r="B133" s="37">
        <f>SUMIFS(JB_26BV,JB_B,1,JB_EX,"P-8a",JB_CC,"Electronics",JB_H,"DDG",JB_CE,"IWS CSI",JB_RC,"ALT")</f>
        <v>0</v>
      </c>
      <c r="C133" s="38">
        <f>SUMIFS(JB_26BV,JB_B,1,JB_EX,"P-8a",JB_CC,"Electronics",JB_H,"FFG",JB_CE,"IWS CSI",JB_RC,"ALT")</f>
        <v>0</v>
      </c>
      <c r="D133" s="38">
        <f>SUMIFS(JB_26BV,JB_B,1,JB_EX,"P-8a",JB_CC,"Electronics",JB_H,"LPD",JB_CE,"IWS CSI",JB_RC,"ALT")</f>
        <v>4649</v>
      </c>
      <c r="E133" s="38">
        <f>SUMIFS(JB_26BV,JB_B,1,JB_EX,"P-8a",JB_CC,"Electronics",JB_H,"LHA",JB_CE,"IWS CSI",JB_RC,"ALT")</f>
        <v>0</v>
      </c>
      <c r="F133" s="38">
        <f>SUMIFS(JB_26BV,JB_B,1,JB_EX,"P-8a",JB_CC,"Electronics",JB_H,"T-AGOS",JB_CE,"IWS CSI",JB_RC,"ALT")</f>
        <v>0</v>
      </c>
      <c r="G133" s="38">
        <f>SUMIFS(JB_26BV,JB_B,1,JB_EX,"P-8a",JB_CC,"Electronics",JB_H,"T-AO",JB_CE,"IWS CSI",JB_RC,"ALT")</f>
        <v>0</v>
      </c>
      <c r="H133" s="38">
        <f>SUMIFS(JB_26BV,JB_B,1,JB_EX,"P-8a",JB_CC,"Electronics",JB_H,"T-ATS",JB_CE,"IWS CSI",JB_RC,"ALT")</f>
        <v>0</v>
      </c>
      <c r="I133" s="37">
        <f t="shared" si="4"/>
        <v>4649</v>
      </c>
    </row>
    <row r="134" spans="1:9" ht="10" customHeight="1" x14ac:dyDescent="0.2">
      <c r="A134" s="36" t="s">
        <v>8931</v>
      </c>
      <c r="B134" s="37">
        <f>SUMIFS(JB_26BV,JB_B,1,JB_EX,"P-8a",JB_CC,"Electronics",JB_H,"DDG",JB_CE,"Digital Modular Radio (DMR)",JB_RC,"ALT")</f>
        <v>0</v>
      </c>
      <c r="C134" s="38">
        <f>SUMIFS(JB_26BV,JB_B,1,JB_EX,"P-8a",JB_CC,"Electronics",JB_H,"FFG",JB_CE,"Digital Modular Radio (DMR)",JB_RC,"ALT")</f>
        <v>0</v>
      </c>
      <c r="D134" s="38">
        <f>SUMIFS(JB_26BV,JB_B,1,JB_EX,"P-8a",JB_CC,"Electronics",JB_H,"LPD",JB_CE,"Digital Modular Radio (DMR)",JB_RC,"ALT")</f>
        <v>0</v>
      </c>
      <c r="E134" s="38">
        <f>SUMIFS(JB_26BV,JB_B,1,JB_EX,"P-8a",JB_CC,"Electronics",JB_H,"LHA",JB_CE,"Digital Modular Radio (DMR)",JB_RC,"ALT")</f>
        <v>0</v>
      </c>
      <c r="F134" s="38">
        <f>SUMIFS(JB_26BV,JB_B,1,JB_EX,"P-8a",JB_CC,"Electronics",JB_H,"T-AGOS",JB_CE,"Digital Modular Radio (DMR)",JB_RC,"ALT")</f>
        <v>0</v>
      </c>
      <c r="G134" s="38">
        <f>SUMIFS(JB_26BV,JB_B,1,JB_EX,"P-8a",JB_CC,"Electronics",JB_H,"T-AO",JB_CE,"Digital Modular Radio (DMR)",JB_RC,"ALT")</f>
        <v>4624</v>
      </c>
      <c r="H134" s="38">
        <f>SUMIFS(JB_26BV,JB_B,1,JB_EX,"P-8a",JB_CC,"Electronics",JB_H,"T-ATS",JB_CE,"Digital Modular Radio (DMR)",JB_RC,"ALT")</f>
        <v>0</v>
      </c>
      <c r="I134" s="37">
        <f t="shared" si="4"/>
        <v>4624</v>
      </c>
    </row>
    <row r="135" spans="1:9" ht="10" customHeight="1" x14ac:dyDescent="0.2">
      <c r="A135" s="36" t="s">
        <v>8932</v>
      </c>
      <c r="B135" s="37">
        <f>SUMIFS(JB_26BV,JB_B,1,JB_EX,"P-8a",JB_CC,"Electronics",JB_H,"DDG",JB_CE,"Aircraft Approach Control Transmitting Set (AACTS) AN/SPN-41B",JB_RC,"ALT")</f>
        <v>0</v>
      </c>
      <c r="C135" s="38">
        <f>SUMIFS(JB_26BV,JB_B,1,JB_EX,"P-8a",JB_CC,"Electronics",JB_H,"FFG",JB_CE,"Aircraft Approach Control Transmitting Set (AACTS) AN/SPN-41B",JB_RC,"ALT")</f>
        <v>0</v>
      </c>
      <c r="D135" s="38">
        <f>SUMIFS(JB_26BV,JB_B,1,JB_EX,"P-8a",JB_CC,"Electronics",JB_H,"LPD",JB_CE,"Aircraft Approach Control Transmitting Set (AACTS) AN/SPN-41B",JB_RC,"ALT")</f>
        <v>0</v>
      </c>
      <c r="E135" s="38">
        <f>SUMIFS(JB_26BV,JB_B,1,JB_EX,"P-8a",JB_CC,"Electronics",JB_H,"LHA",JB_CE,"Aircraft Approach Control Transmitting Set (AACTS) AN/SPN-41B",JB_RC,"ALT")</f>
        <v>4617</v>
      </c>
      <c r="F135" s="38">
        <f>SUMIFS(JB_26BV,JB_B,1,JB_EX,"P-8a",JB_CC,"Electronics",JB_H,"T-AGOS",JB_CE,"Aircraft Approach Control Transmitting Set (AACTS) AN/SPN-41B",JB_RC,"ALT")</f>
        <v>0</v>
      </c>
      <c r="G135" s="38">
        <f>SUMIFS(JB_26BV,JB_B,1,JB_EX,"P-8a",JB_CC,"Electronics",JB_H,"T-AO",JB_CE,"Aircraft Approach Control Transmitting Set (AACTS) AN/SPN-41B",JB_RC,"ALT")</f>
        <v>0</v>
      </c>
      <c r="H135" s="38">
        <f>SUMIFS(JB_26BV,JB_B,1,JB_EX,"P-8a",JB_CC,"Electronics",JB_H,"T-ATS",JB_CE,"Aircraft Approach Control Transmitting Set (AACTS) AN/SPN-41B",JB_RC,"ALT")</f>
        <v>0</v>
      </c>
      <c r="I135" s="37">
        <f t="shared" si="4"/>
        <v>4617</v>
      </c>
    </row>
    <row r="136" spans="1:9" ht="10" customHeight="1" x14ac:dyDescent="0.2">
      <c r="A136" s="36" t="s">
        <v>8933</v>
      </c>
      <c r="B136" s="37">
        <f>SUMIFS(JB_26BV,JB_B,1,JB_EX,"P-8a",JB_CC,"Electronics",JB_H,"DDG",JB_CE,"AN/WSN-7(RLGN)",JB_RC,"ALT")</f>
        <v>0</v>
      </c>
      <c r="C136" s="38">
        <f>SUMIFS(JB_26BV,JB_B,1,JB_EX,"P-8a",JB_CC,"Electronics",JB_H,"FFG",JB_CE,"AN/WSN-7(RLGN)",JB_RC,"ALT")</f>
        <v>0</v>
      </c>
      <c r="D136" s="38">
        <f>SUMIFS(JB_26BV,JB_B,1,JB_EX,"P-8a",JB_CC,"Electronics",JB_H,"LPD",JB_CE,"AN/WSN-7(RLGN)",JB_RC,"ALT")</f>
        <v>4365</v>
      </c>
      <c r="E136" s="38">
        <f>SUMIFS(JB_26BV,JB_B,1,JB_EX,"P-8a",JB_CC,"Electronics",JB_H,"LHA",JB_CE,"AN/WSN-7(RLGN)",JB_RC,"ALT")</f>
        <v>0</v>
      </c>
      <c r="F136" s="38">
        <f>SUMIFS(JB_26BV,JB_B,1,JB_EX,"P-8a",JB_CC,"Electronics",JB_H,"T-AGOS",JB_CE,"AN/WSN-7(RLGN)",JB_RC,"ALT")</f>
        <v>0</v>
      </c>
      <c r="G136" s="38">
        <f>SUMIFS(JB_26BV,JB_B,1,JB_EX,"P-8a",JB_CC,"Electronics",JB_H,"T-AO",JB_CE,"AN/WSN-7(RLGN)",JB_RC,"ALT")</f>
        <v>0</v>
      </c>
      <c r="H136" s="38">
        <f>SUMIFS(JB_26BV,JB_B,1,JB_EX,"P-8a",JB_CC,"Electronics",JB_H,"T-ATS",JB_CE,"AN/WSN-7(RLGN)",JB_RC,"ALT")</f>
        <v>0</v>
      </c>
      <c r="I136" s="37">
        <f t="shared" si="4"/>
        <v>4365</v>
      </c>
    </row>
    <row r="137" spans="1:9" ht="10" customHeight="1" x14ac:dyDescent="0.2">
      <c r="A137" s="36" t="s">
        <v>8934</v>
      </c>
      <c r="B137" s="37">
        <f>SUMIFS(JB_26BV,JB_B,1,JB_EX,"P-8a",JB_CC,"Electronics",JB_H,"DDG",JB_CE,"Commercial Broadband Satellite Program (CBSP)",JB_RC,"ALT")</f>
        <v>0</v>
      </c>
      <c r="C137" s="38">
        <f>SUMIFS(JB_26BV,JB_B,1,JB_EX,"P-8a",JB_CC,"Electronics",JB_H,"FFG",JB_CE,"Commercial Broadband Satellite Program (CBSP)",JB_RC,"ALT")</f>
        <v>0</v>
      </c>
      <c r="D137" s="38">
        <f>SUMIFS(JB_26BV,JB_B,1,JB_EX,"P-8a",JB_CC,"Electronics",JB_H,"LPD",JB_CE,"Commercial Broadband Satellite Program (CBSP)",JB_RC,"ALT")</f>
        <v>0</v>
      </c>
      <c r="E137" s="38">
        <f>SUMIFS(JB_26BV,JB_B,1,JB_EX,"P-8a",JB_CC,"Electronics",JB_H,"LHA",JB_CE,"Commercial Broadband Satellite Program (CBSP)",JB_RC,"ALT")</f>
        <v>0</v>
      </c>
      <c r="F137" s="38">
        <f>SUMIFS(JB_26BV,JB_B,1,JB_EX,"P-8a",JB_CC,"Electronics",JB_H,"T-AGOS",JB_CE,"Commercial Broadband Satellite Program (CBSP)",JB_RC,"ALT")</f>
        <v>0</v>
      </c>
      <c r="G137" s="38">
        <f>SUMIFS(JB_26BV,JB_B,1,JB_EX,"P-8a",JB_CC,"Electronics",JB_H,"T-AO",JB_CE,"Commercial Broadband Satellite Program (CBSP)",JB_RC,"ALT")</f>
        <v>4184</v>
      </c>
      <c r="H137" s="38">
        <f>SUMIFS(JB_26BV,JB_B,1,JB_EX,"P-8a",JB_CC,"Electronics",JB_H,"T-ATS",JB_CE,"Commercial Broadband Satellite Program (CBSP)",JB_RC,"ALT")</f>
        <v>0</v>
      </c>
      <c r="I137" s="37">
        <f t="shared" si="4"/>
        <v>4184</v>
      </c>
    </row>
    <row r="138" spans="1:9" ht="10" customHeight="1" x14ac:dyDescent="0.2">
      <c r="A138" s="36" t="s">
        <v>8935</v>
      </c>
      <c r="B138" s="37">
        <f>SUMIFS(JB_26BV,JB_B,1,JB_EX,"P-8a",JB_CC,"Electronics",JB_H,"DDG",JB_CE,"HM&amp;E Condition System (HMECS)",JB_RC,"ALT")</f>
        <v>0</v>
      </c>
      <c r="C138" s="38">
        <f>SUMIFS(JB_26BV,JB_B,1,JB_EX,"P-8a",JB_CC,"Electronics",JB_H,"FFG",JB_CE,"HM&amp;E Condition System (HMECS)",JB_RC,"ALT")</f>
        <v>0</v>
      </c>
      <c r="D138" s="38">
        <f>SUMIFS(JB_26BV,JB_B,1,JB_EX,"P-8a",JB_CC,"Electronics",JB_H,"LPD",JB_CE,"HM&amp;E Condition System (HMECS)",JB_RC,"ALT")</f>
        <v>3900</v>
      </c>
      <c r="E138" s="38">
        <f>SUMIFS(JB_26BV,JB_B,1,JB_EX,"P-8a",JB_CC,"Electronics",JB_H,"LHA",JB_CE,"HM&amp;E Condition System (HMECS)",JB_RC,"ALT")</f>
        <v>0</v>
      </c>
      <c r="F138" s="38">
        <f>SUMIFS(JB_26BV,JB_B,1,JB_EX,"P-8a",JB_CC,"Electronics",JB_H,"T-AGOS",JB_CE,"HM&amp;E Condition System (HMECS)",JB_RC,"ALT")</f>
        <v>0</v>
      </c>
      <c r="G138" s="38">
        <f>SUMIFS(JB_26BV,JB_B,1,JB_EX,"P-8a",JB_CC,"Electronics",JB_H,"T-AO",JB_CE,"HM&amp;E Condition System (HMECS)",JB_RC,"ALT")</f>
        <v>0</v>
      </c>
      <c r="H138" s="38">
        <f>SUMIFS(JB_26BV,JB_B,1,JB_EX,"P-8a",JB_CC,"Electronics",JB_H,"T-ATS",JB_CE,"HM&amp;E Condition System (HMECS)",JB_RC,"ALT")</f>
        <v>0</v>
      </c>
      <c r="I138" s="37">
        <f t="shared" si="4"/>
        <v>3900</v>
      </c>
    </row>
    <row r="139" spans="1:9" ht="10" customHeight="1" x14ac:dyDescent="0.2">
      <c r="A139" s="36" t="s">
        <v>8936</v>
      </c>
      <c r="B139" s="37">
        <f>SUMIFS(JB_26BV,JB_B,1,JB_EX,"P-8a",JB_CC,"Electronics",JB_H,"DDG",JB_CE,"Announcing Systems AN/SIA-127H",JB_RC,"ALT")</f>
        <v>0</v>
      </c>
      <c r="C139" s="38">
        <f>SUMIFS(JB_26BV,JB_B,1,JB_EX,"P-8a",JB_CC,"Electronics",JB_H,"FFG",JB_CE,"Announcing Systems AN/SIA-127H",JB_RC,"ALT")</f>
        <v>0</v>
      </c>
      <c r="D139" s="38">
        <f>SUMIFS(JB_26BV,JB_B,1,JB_EX,"P-8a",JB_CC,"Electronics",JB_H,"LPD",JB_CE,"Announcing Systems AN/SIA-127H",JB_RC,"ALT")</f>
        <v>0</v>
      </c>
      <c r="E139" s="38">
        <f>SUMIFS(JB_26BV,JB_B,1,JB_EX,"P-8a",JB_CC,"Electronics",JB_H,"LHA",JB_CE,"Announcing Systems AN/SIA-127H",JB_RC,"ALT")</f>
        <v>2656</v>
      </c>
      <c r="F139" s="38">
        <f>SUMIFS(JB_26BV,JB_B,1,JB_EX,"P-8a",JB_CC,"Electronics",JB_H,"T-AGOS",JB_CE,"Announcing Systems AN/SIA-127H",JB_RC,"ALT")</f>
        <v>0</v>
      </c>
      <c r="G139" s="38">
        <f>SUMIFS(JB_26BV,JB_B,1,JB_EX,"P-8a",JB_CC,"Electronics",JB_H,"T-AO",JB_CE,"Announcing Systems AN/SIA-127H",JB_RC,"ALT")</f>
        <v>0</v>
      </c>
      <c r="H139" s="38">
        <f>SUMIFS(JB_26BV,JB_B,1,JB_EX,"P-8a",JB_CC,"Electronics",JB_H,"T-ATS",JB_CE,"Announcing Systems AN/SIA-127H",JB_RC,"ALT")</f>
        <v>0</v>
      </c>
      <c r="I139" s="37">
        <f t="shared" si="4"/>
        <v>2656</v>
      </c>
    </row>
    <row r="140" spans="1:9" ht="10" customHeight="1" x14ac:dyDescent="0.2">
      <c r="A140" s="36" t="s">
        <v>8937</v>
      </c>
      <c r="B140" s="37">
        <f>SUMIFS(JB_26BV,JB_B,1,JB_EX,"P-8a",JB_CC,"Electronics",JB_H,"DDG",JB_CE,"Amphibious Assault Direction System (AADS)",JB_RC,"ALT")</f>
        <v>0</v>
      </c>
      <c r="C140" s="38">
        <f>SUMIFS(JB_26BV,JB_B,1,JB_EX,"P-8a",JB_CC,"Electronics",JB_H,"FFG",JB_CE,"Amphibious Assault Direction System (AADS)",JB_RC,"ALT")</f>
        <v>0</v>
      </c>
      <c r="D140" s="38">
        <f>SUMIFS(JB_26BV,JB_B,1,JB_EX,"P-8a",JB_CC,"Electronics",JB_H,"LPD",JB_CE,"Amphibious Assault Direction System (AADS)",JB_RC,"ALT")</f>
        <v>1168</v>
      </c>
      <c r="E140" s="38">
        <f>SUMIFS(JB_26BV,JB_B,1,JB_EX,"P-8a",JB_CC,"Electronics",JB_H,"LHA",JB_CE,"Amphibious Assault Direction System (AADS)",JB_RC,"ALT")</f>
        <v>1448</v>
      </c>
      <c r="F140" s="38">
        <f>SUMIFS(JB_26BV,JB_B,1,JB_EX,"P-8a",JB_CC,"Electronics",JB_H,"T-AGOS",JB_CE,"Amphibious Assault Direction System (AADS)",JB_RC,"ALT")</f>
        <v>0</v>
      </c>
      <c r="G140" s="38">
        <f>SUMIFS(JB_26BV,JB_B,1,JB_EX,"P-8a",JB_CC,"Electronics",JB_H,"T-AO",JB_CE,"Amphibious Assault Direction System (AADS)",JB_RC,"ALT")</f>
        <v>0</v>
      </c>
      <c r="H140" s="38">
        <f>SUMIFS(JB_26BV,JB_B,1,JB_EX,"P-8a",JB_CC,"Electronics",JB_H,"T-ATS",JB_CE,"Amphibious Assault Direction System (AADS)",JB_RC,"ALT")</f>
        <v>0</v>
      </c>
      <c r="I140" s="37">
        <f t="shared" si="4"/>
        <v>2616</v>
      </c>
    </row>
    <row r="141" spans="1:9" ht="10" customHeight="1" x14ac:dyDescent="0.2">
      <c r="A141" s="36" t="s">
        <v>8938</v>
      </c>
      <c r="B141" s="37">
        <f>SUMIFS(JB_26BV,JB_B,1,JB_EX,"P-8a",JB_CC,"Electronics",JB_H,"DDG",JB_CE,"SATCC",JB_RC,"ALT")</f>
        <v>0</v>
      </c>
      <c r="C141" s="38">
        <f>SUMIFS(JB_26BV,JB_B,1,JB_EX,"P-8a",JB_CC,"Electronics",JB_H,"FFG",JB_CE,"SATCC",JB_RC,"ALT")</f>
        <v>0</v>
      </c>
      <c r="D141" s="38">
        <f>SUMIFS(JB_26BV,JB_B,1,JB_EX,"P-8a",JB_CC,"Electronics",JB_H,"LPD",JB_CE,"SATCC",JB_RC,"ALT")</f>
        <v>0</v>
      </c>
      <c r="E141" s="38">
        <f>SUMIFS(JB_26BV,JB_B,1,JB_EX,"P-8a",JB_CC,"Electronics",JB_H,"LHA",JB_CE,"SATCC",JB_RC,"ALT")</f>
        <v>2106</v>
      </c>
      <c r="F141" s="38">
        <f>SUMIFS(JB_26BV,JB_B,1,JB_EX,"P-8a",JB_CC,"Electronics",JB_H,"T-AGOS",JB_CE,"SATCC",JB_RC,"ALT")</f>
        <v>0</v>
      </c>
      <c r="G141" s="38">
        <f>SUMIFS(JB_26BV,JB_B,1,JB_EX,"P-8a",JB_CC,"Electronics",JB_H,"T-AO",JB_CE,"SATCC",JB_RC,"ALT")</f>
        <v>0</v>
      </c>
      <c r="H141" s="38">
        <f>SUMIFS(JB_26BV,JB_B,1,JB_EX,"P-8a",JB_CC,"Electronics",JB_H,"T-ATS",JB_CE,"SATCC",JB_RC,"ALT")</f>
        <v>0</v>
      </c>
      <c r="I141" s="37">
        <f t="shared" si="4"/>
        <v>2106</v>
      </c>
    </row>
    <row r="142" spans="1:9" ht="10" customHeight="1" x14ac:dyDescent="0.2">
      <c r="A142" s="36" t="s">
        <v>8939</v>
      </c>
      <c r="B142" s="37">
        <f>SUMIFS(JB_26BV,JB_B,1,JB_EX,"P-8a",JB_CC,"Electronics",JB_H,"DDG",JB_CE,"Electronic Charting Display and Information Systems-Navy (ECDIS-N)",JB_RC,"ALT")</f>
        <v>0</v>
      </c>
      <c r="C142" s="38">
        <f>SUMIFS(JB_26BV,JB_B,1,JB_EX,"P-8a",JB_CC,"Electronics",JB_H,"FFG",JB_CE,"Electronic Charting Display and Information Systems-Navy (ECDIS-N)",JB_RC,"ALT")</f>
        <v>0</v>
      </c>
      <c r="D142" s="38">
        <f>SUMIFS(JB_26BV,JB_B,1,JB_EX,"P-8a",JB_CC,"Electronics",JB_H,"LPD",JB_CE,"Electronic Charting Display and Information Systems-Navy (ECDIS-N)",JB_RC,"ALT")</f>
        <v>1970</v>
      </c>
      <c r="E142" s="38">
        <f>SUMIFS(JB_26BV,JB_B,1,JB_EX,"P-8a",JB_CC,"Electronics",JB_H,"LHA",JB_CE,"Electronic Charting Display and Information Systems-Navy (ECDIS-N)",JB_RC,"ALT")</f>
        <v>0</v>
      </c>
      <c r="F142" s="38">
        <f>SUMIFS(JB_26BV,JB_B,1,JB_EX,"P-8a",JB_CC,"Electronics",JB_H,"T-AGOS",JB_CE,"Electronic Charting Display and Information Systems-Navy (ECDIS-N)",JB_RC,"ALT")</f>
        <v>0</v>
      </c>
      <c r="G142" s="38">
        <f>SUMIFS(JB_26BV,JB_B,1,JB_EX,"P-8a",JB_CC,"Electronics",JB_H,"T-AO",JB_CE,"Electronic Charting Display and Information Systems-Navy (ECDIS-N)",JB_RC,"ALT")</f>
        <v>0</v>
      </c>
      <c r="H142" s="38">
        <f>SUMIFS(JB_26BV,JB_B,1,JB_EX,"P-8a",JB_CC,"Electronics",JB_H,"T-ATS",JB_CE,"Electronic Charting Display and Information Systems-Navy (ECDIS-N)",JB_RC,"ALT")</f>
        <v>0</v>
      </c>
      <c r="I142" s="37">
        <f t="shared" si="4"/>
        <v>1970</v>
      </c>
    </row>
    <row r="143" spans="1:9" ht="10" customHeight="1" x14ac:dyDescent="0.2">
      <c r="A143" s="36" t="s">
        <v>8940</v>
      </c>
      <c r="B143" s="37">
        <f>SUMIFS(JB_26BV,JB_B,1,JB_EX,"P-8a",JB_CC,"Electronics",JB_H,"DDG",JB_CE,"OA-9277A",JB_RC,"ALT")</f>
        <v>0</v>
      </c>
      <c r="C143" s="38">
        <f>SUMIFS(JB_26BV,JB_B,1,JB_EX,"P-8a",JB_CC,"Electronics",JB_H,"FFG",JB_CE,"OA-9277A",JB_RC,"ALT")</f>
        <v>0</v>
      </c>
      <c r="D143" s="38">
        <f>SUMIFS(JB_26BV,JB_B,1,JB_EX,"P-8a",JB_CC,"Electronics",JB_H,"LPD",JB_CE,"OA-9277A",JB_RC,"ALT")</f>
        <v>0</v>
      </c>
      <c r="E143" s="38">
        <f>SUMIFS(JB_26BV,JB_B,1,JB_EX,"P-8a",JB_CC,"Electronics",JB_H,"LHA",JB_CE,"OA-9277A",JB_RC,"ALT")</f>
        <v>0</v>
      </c>
      <c r="F143" s="38">
        <f>SUMIFS(JB_26BV,JB_B,1,JB_EX,"P-8a",JB_CC,"Electronics",JB_H,"T-AGOS",JB_CE,"OA-9277A",JB_RC,"ALT")</f>
        <v>0</v>
      </c>
      <c r="G143" s="38">
        <f>SUMIFS(JB_26BV,JB_B,1,JB_EX,"P-8a",JB_CC,"Electronics",JB_H,"T-AO",JB_CE,"OA-9277A",JB_RC,"ALT")</f>
        <v>1915</v>
      </c>
      <c r="H143" s="38">
        <f>SUMIFS(JB_26BV,JB_B,1,JB_EX,"P-8a",JB_CC,"Electronics",JB_H,"T-ATS",JB_CE,"OA-9277A",JB_RC,"ALT")</f>
        <v>0</v>
      </c>
      <c r="I143" s="37">
        <f t="shared" si="4"/>
        <v>1915</v>
      </c>
    </row>
    <row r="144" spans="1:9" ht="10" customHeight="1" x14ac:dyDescent="0.2">
      <c r="A144" s="36" t="s">
        <v>8941</v>
      </c>
      <c r="B144" s="37">
        <f>SUMIFS(JB_26BV,JB_B,1,JB_EX,"P-8a",JB_CC,"Electronics",JB_H,"DDG",JB_CE,"Nulka Decoy Launching System (DLS)",JB_RC,"ALT")</f>
        <v>0</v>
      </c>
      <c r="C144" s="38">
        <f>SUMIFS(JB_26BV,JB_B,1,JB_EX,"P-8a",JB_CC,"Electronics",JB_H,"FFG",JB_CE,"Nulka Decoy Launching System (DLS)",JB_RC,"ALT")</f>
        <v>0</v>
      </c>
      <c r="D144" s="38">
        <f>SUMIFS(JB_26BV,JB_B,1,JB_EX,"P-8a",JB_CC,"Electronics",JB_H,"LPD",JB_CE,"Nulka Decoy Launching System (DLS)",JB_RC,"ALT")</f>
        <v>1596</v>
      </c>
      <c r="E144" s="38">
        <f>SUMIFS(JB_26BV,JB_B,1,JB_EX,"P-8a",JB_CC,"Electronics",JB_H,"LHA",JB_CE,"Nulka Decoy Launching System (DLS)",JB_RC,"ALT")</f>
        <v>0</v>
      </c>
      <c r="F144" s="38">
        <f>SUMIFS(JB_26BV,JB_B,1,JB_EX,"P-8a",JB_CC,"Electronics",JB_H,"T-AGOS",JB_CE,"Nulka Decoy Launching System (DLS)",JB_RC,"ALT")</f>
        <v>0</v>
      </c>
      <c r="G144" s="38">
        <f>SUMIFS(JB_26BV,JB_B,1,JB_EX,"P-8a",JB_CC,"Electronics",JB_H,"T-AO",JB_CE,"Nulka Decoy Launching System (DLS)",JB_RC,"ALT")</f>
        <v>0</v>
      </c>
      <c r="H144" s="38">
        <f>SUMIFS(JB_26BV,JB_B,1,JB_EX,"P-8a",JB_CC,"Electronics",JB_H,"T-ATS",JB_CE,"Nulka Decoy Launching System (DLS)",JB_RC,"ALT")</f>
        <v>0</v>
      </c>
      <c r="I144" s="37">
        <f t="shared" si="4"/>
        <v>1596</v>
      </c>
    </row>
    <row r="145" spans="1:9" ht="10" customHeight="1" x14ac:dyDescent="0.2">
      <c r="A145" s="36" t="s">
        <v>8942</v>
      </c>
      <c r="B145" s="37">
        <f>SUMIFS(JB_26BV,JB_B,1,JB_EX,"P-8a",JB_CC,"Electronics",JB_H,"DDG",JB_CE,"Battle Force Tactical Network (BFTN)/BFTN Resilient Command and Control System Enhancement (BRSE)",JB_RC,"ALT")</f>
        <v>0</v>
      </c>
      <c r="C145" s="38">
        <f>SUMIFS(JB_26BV,JB_B,1,JB_EX,"P-8a",JB_CC,"Electronics",JB_H,"FFG",JB_CE,"Battle Force Tactical Network (BFTN)/BFTN Resilient Command and Control System Enhancement (BRSE)",JB_RC,"ALT")</f>
        <v>0</v>
      </c>
      <c r="D145" s="38">
        <f>SUMIFS(JB_26BV,JB_B,1,JB_EX,"P-8a",JB_CC,"Electronics",JB_H,"LPD",JB_CE,"Battle Force Tactical Network (BFTN)/BFTN Resilient Command and Control System Enhancement (BRSE)",JB_RC,"ALT")</f>
        <v>0</v>
      </c>
      <c r="E145" s="38">
        <f>SUMIFS(JB_26BV,JB_B,1,JB_EX,"P-8a",JB_CC,"Electronics",JB_H,"LHA",JB_CE,"Battle Force Tactical Network (BFTN)/BFTN Resilient Command and Control System Enhancement (BRSE)",JB_RC,"ALT")</f>
        <v>0</v>
      </c>
      <c r="F145" s="38">
        <f>SUMIFS(JB_26BV,JB_B,1,JB_EX,"P-8a",JB_CC,"Electronics",JB_H,"T-AGOS",JB_CE,"Battle Force Tactical Network (BFTN)/BFTN Resilient Command and Control System Enhancement (BRSE)",JB_RC,"ALT")</f>
        <v>0</v>
      </c>
      <c r="G145" s="38">
        <f>SUMIFS(JB_26BV,JB_B,1,JB_EX,"P-8a",JB_CC,"Electronics",JB_H,"T-AO",JB_CE,"Battle Force Tactical Network (BFTN)/BFTN Resilient Command and Control System Enhancement (BRSE)",JB_RC,"ALT")</f>
        <v>1533</v>
      </c>
      <c r="H145" s="38">
        <f>SUMIFS(JB_26BV,JB_B,1,JB_EX,"P-8a",JB_CC,"Electronics",JB_H,"T-ATS",JB_CE,"Battle Force Tactical Network (BFTN)/BFTN Resilient Command and Control System Enhancement (BRSE)",JB_RC,"ALT")</f>
        <v>0</v>
      </c>
      <c r="I145" s="37">
        <f t="shared" si="4"/>
        <v>1533</v>
      </c>
    </row>
    <row r="146" spans="1:9" ht="10" customHeight="1" x14ac:dyDescent="0.2">
      <c r="A146" s="36" t="s">
        <v>8943</v>
      </c>
      <c r="B146" s="37">
        <f>SUMIFS(JB_26BV,JB_B,1,JB_EX,"P-8a",JB_CC,"Electronics",JB_H,"DDG",JB_CE,"AN/USQ-155 Tactical Variant Switch (TVS)",JB_RC,"ALT")</f>
        <v>0</v>
      </c>
      <c r="C146" s="38">
        <f>SUMIFS(JB_26BV,JB_B,1,JB_EX,"P-8a",JB_CC,"Electronics",JB_H,"FFG",JB_CE,"AN/USQ-155 Tactical Variant Switch (TVS)",JB_RC,"ALT")</f>
        <v>0</v>
      </c>
      <c r="D146" s="38">
        <f>SUMIFS(JB_26BV,JB_B,1,JB_EX,"P-8a",JB_CC,"Electronics",JB_H,"LPD",JB_CE,"AN/USQ-155 Tactical Variant Switch (TVS)",JB_RC,"ALT")</f>
        <v>0</v>
      </c>
      <c r="E146" s="38">
        <f>SUMIFS(JB_26BV,JB_B,1,JB_EX,"P-8a",JB_CC,"Electronics",JB_H,"LHA",JB_CE,"AN/USQ-155 Tactical Variant Switch (TVS)",JB_RC,"ALT")</f>
        <v>0</v>
      </c>
      <c r="F146" s="38">
        <f>SUMIFS(JB_26BV,JB_B,1,JB_EX,"P-8a",JB_CC,"Electronics",JB_H,"T-AGOS",JB_CE,"AN/USQ-155 Tactical Variant Switch (TVS)",JB_RC,"ALT")</f>
        <v>0</v>
      </c>
      <c r="G146" s="38">
        <f>SUMIFS(JB_26BV,JB_B,1,JB_EX,"P-8a",JB_CC,"Electronics",JB_H,"T-AO",JB_CE,"AN/USQ-155 Tactical Variant Switch (TVS)",JB_RC,"ALT")</f>
        <v>1449</v>
      </c>
      <c r="H146" s="38">
        <f>SUMIFS(JB_26BV,JB_B,1,JB_EX,"P-8a",JB_CC,"Electronics",JB_H,"T-ATS",JB_CE,"AN/USQ-155 Tactical Variant Switch (TVS)",JB_RC,"ALT")</f>
        <v>0</v>
      </c>
      <c r="I146" s="37">
        <f t="shared" si="4"/>
        <v>1449</v>
      </c>
    </row>
    <row r="147" spans="1:9" ht="10" customHeight="1" x14ac:dyDescent="0.2">
      <c r="A147" s="36" t="s">
        <v>8944</v>
      </c>
      <c r="B147" s="37">
        <f>SUMIFS(JB_26BV,JB_B,1,JB_EX,"P-8a",JB_CC,"Electronics",JB_H,"DDG",JB_CE,"Advanced Training Domain (ATD)",JB_RC,"ALT")</f>
        <v>0</v>
      </c>
      <c r="C147" s="38">
        <f>SUMIFS(JB_26BV,JB_B,1,JB_EX,"P-8a",JB_CC,"Electronics",JB_H,"FFG",JB_CE,"Advanced Training Domain (ATD)",JB_RC,"ALT")</f>
        <v>0</v>
      </c>
      <c r="D147" s="38">
        <f>SUMIFS(JB_26BV,JB_B,1,JB_EX,"P-8a",JB_CC,"Electronics",JB_H,"LPD",JB_CE,"Advanced Training Domain (ATD)",JB_RC,"ALT")</f>
        <v>1407</v>
      </c>
      <c r="E147" s="38">
        <f>SUMIFS(JB_26BV,JB_B,1,JB_EX,"P-8a",JB_CC,"Electronics",JB_H,"LHA",JB_CE,"Advanced Training Domain (ATD)",JB_RC,"ALT")</f>
        <v>0</v>
      </c>
      <c r="F147" s="38">
        <f>SUMIFS(JB_26BV,JB_B,1,JB_EX,"P-8a",JB_CC,"Electronics",JB_H,"T-AGOS",JB_CE,"Advanced Training Domain (ATD)",JB_RC,"ALT")</f>
        <v>0</v>
      </c>
      <c r="G147" s="38">
        <f>SUMIFS(JB_26BV,JB_B,1,JB_EX,"P-8a",JB_CC,"Electronics",JB_H,"T-AO",JB_CE,"Advanced Training Domain (ATD)",JB_RC,"ALT")</f>
        <v>0</v>
      </c>
      <c r="H147" s="38">
        <f>SUMIFS(JB_26BV,JB_B,1,JB_EX,"P-8a",JB_CC,"Electronics",JB_H,"T-ATS",JB_CE,"Advanced Training Domain (ATD)",JB_RC,"ALT")</f>
        <v>0</v>
      </c>
      <c r="I147" s="37">
        <f t="shared" si="4"/>
        <v>1407</v>
      </c>
    </row>
    <row r="148" spans="1:9" ht="10" customHeight="1" x14ac:dyDescent="0.2">
      <c r="A148" s="36" t="s">
        <v>8945</v>
      </c>
      <c r="B148" s="37">
        <f>SUMIFS(JB_26BV,JB_B,1,JB_EX,"P-8a",JB_CC,"Electronics",JB_H,"DDG",JB_CE,"30 TV",JB_RC,"ALT")</f>
        <v>0</v>
      </c>
      <c r="C148" s="38">
        <f>SUMIFS(JB_26BV,JB_B,1,JB_EX,"P-8a",JB_CC,"Electronics",JB_H,"FFG",JB_CE,"30 TV",JB_RC,"ALT")</f>
        <v>0</v>
      </c>
      <c r="D148" s="38">
        <f>SUMIFS(JB_26BV,JB_B,1,JB_EX,"P-8a",JB_CC,"Electronics",JB_H,"LPD",JB_CE,"30 TV",JB_RC,"ALT")</f>
        <v>0</v>
      </c>
      <c r="E148" s="38">
        <f>SUMIFS(JB_26BV,JB_B,1,JB_EX,"P-8a",JB_CC,"Electronics",JB_H,"LHA",JB_CE,"30 TV",JB_RC,"ALT")</f>
        <v>1326</v>
      </c>
      <c r="F148" s="38">
        <f>SUMIFS(JB_26BV,JB_B,1,JB_EX,"P-8a",JB_CC,"Electronics",JB_H,"T-AGOS",JB_CE,"30 TV",JB_RC,"ALT")</f>
        <v>0</v>
      </c>
      <c r="G148" s="38">
        <f>SUMIFS(JB_26BV,JB_B,1,JB_EX,"P-8a",JB_CC,"Electronics",JB_H,"T-AO",JB_CE,"30 TV",JB_RC,"ALT")</f>
        <v>0</v>
      </c>
      <c r="H148" s="38">
        <f>SUMIFS(JB_26BV,JB_B,1,JB_EX,"P-8a",JB_CC,"Electronics",JB_H,"T-ATS",JB_CE,"30 TV",JB_RC,"ALT")</f>
        <v>0</v>
      </c>
      <c r="I148" s="37">
        <f t="shared" si="4"/>
        <v>1326</v>
      </c>
    </row>
    <row r="149" spans="1:9" ht="10" customHeight="1" x14ac:dyDescent="0.2">
      <c r="A149" s="36" t="s">
        <v>8946</v>
      </c>
      <c r="B149" s="37">
        <f>SUMIFS(JB_26BV,JB_B,1,JB_EX,"P-8a",JB_CC,"Electronics",JB_H,"DDG",JB_CE,"MK 53 NULKA Decoy Launching System (DLS) Mod 3",JB_RC,"ALT")</f>
        <v>0</v>
      </c>
      <c r="C149" s="38">
        <f>SUMIFS(JB_26BV,JB_B,1,JB_EX,"P-8a",JB_CC,"Electronics",JB_H,"FFG",JB_CE,"MK 53 NULKA Decoy Launching System (DLS) Mod 3",JB_RC,"ALT")</f>
        <v>0</v>
      </c>
      <c r="D149" s="38">
        <f>SUMIFS(JB_26BV,JB_B,1,JB_EX,"P-8a",JB_CC,"Electronics",JB_H,"LPD",JB_CE,"MK 53 NULKA Decoy Launching System (DLS) Mod 3",JB_RC,"ALT")</f>
        <v>0</v>
      </c>
      <c r="E149" s="38">
        <f>SUMIFS(JB_26BV,JB_B,1,JB_EX,"P-8a",JB_CC,"Electronics",JB_H,"LHA",JB_CE,"MK 53 NULKA Decoy Launching System (DLS) Mod 3",JB_RC,"ALT")</f>
        <v>1264</v>
      </c>
      <c r="F149" s="38">
        <f>SUMIFS(JB_26BV,JB_B,1,JB_EX,"P-8a",JB_CC,"Electronics",JB_H,"T-AGOS",JB_CE,"MK 53 NULKA Decoy Launching System (DLS) Mod 3",JB_RC,"ALT")</f>
        <v>0</v>
      </c>
      <c r="G149" s="38">
        <f>SUMIFS(JB_26BV,JB_B,1,JB_EX,"P-8a",JB_CC,"Electronics",JB_H,"T-AO",JB_CE,"MK 53 NULKA Decoy Launching System (DLS) Mod 3",JB_RC,"ALT")</f>
        <v>0</v>
      </c>
      <c r="H149" s="38">
        <f>SUMIFS(JB_26BV,JB_B,1,JB_EX,"P-8a",JB_CC,"Electronics",JB_H,"T-ATS",JB_CE,"MK 53 NULKA Decoy Launching System (DLS) Mod 3",JB_RC,"ALT")</f>
        <v>0</v>
      </c>
      <c r="I149" s="37">
        <f t="shared" si="4"/>
        <v>1264</v>
      </c>
    </row>
    <row r="150" spans="1:9" ht="10" customHeight="1" x14ac:dyDescent="0.2">
      <c r="A150" s="36" t="s">
        <v>8947</v>
      </c>
      <c r="B150" s="37">
        <f>SUMIFS(JB_26BV,JB_B,1,JB_EX,"P-8a",JB_CC,"Electronics",JB_H,"DDG",JB_CE,"Next Generation Navigational Radar",JB_RC,"ALT")</f>
        <v>0</v>
      </c>
      <c r="C150" s="38">
        <f>SUMIFS(JB_26BV,JB_B,1,JB_EX,"P-8a",JB_CC,"Electronics",JB_H,"FFG",JB_CE,"Next Generation Navigational Radar",JB_RC,"ALT")</f>
        <v>0</v>
      </c>
      <c r="D150" s="38">
        <f>SUMIFS(JB_26BV,JB_B,1,JB_EX,"P-8a",JB_CC,"Electronics",JB_H,"LPD",JB_CE,"Next Generation Navigational Radar",JB_RC,"ALT")</f>
        <v>0</v>
      </c>
      <c r="E150" s="38">
        <f>SUMIFS(JB_26BV,JB_B,1,JB_EX,"P-8a",JB_CC,"Electronics",JB_H,"LHA",JB_CE,"Next Generation Navigational Radar",JB_RC,"ALT")</f>
        <v>1232</v>
      </c>
      <c r="F150" s="38">
        <f>SUMIFS(JB_26BV,JB_B,1,JB_EX,"P-8a",JB_CC,"Electronics",JB_H,"T-AGOS",JB_CE,"Next Generation Navigational Radar",JB_RC,"ALT")</f>
        <v>0</v>
      </c>
      <c r="G150" s="38">
        <f>SUMIFS(JB_26BV,JB_B,1,JB_EX,"P-8a",JB_CC,"Electronics",JB_H,"T-AO",JB_CE,"Next Generation Navigational Radar",JB_RC,"ALT")</f>
        <v>0</v>
      </c>
      <c r="H150" s="38">
        <f>SUMIFS(JB_26BV,JB_B,1,JB_EX,"P-8a",JB_CC,"Electronics",JB_H,"T-ATS",JB_CE,"Next Generation Navigational Radar",JB_RC,"ALT")</f>
        <v>0</v>
      </c>
      <c r="I150" s="37">
        <f t="shared" si="4"/>
        <v>1232</v>
      </c>
    </row>
    <row r="151" spans="1:9" ht="10" customHeight="1" x14ac:dyDescent="0.2">
      <c r="A151" s="36" t="s">
        <v>8948</v>
      </c>
      <c r="B151" s="37">
        <f>SUMIFS(JB_26BV,JB_B,1,JB_EX,"P-8a",JB_CC,"Electronics",JB_H,"DDG",JB_CE,"AN/USQ-T46(V), Battle Force Tactical Training (BFTT)",JB_RC,"ALT")</f>
        <v>0</v>
      </c>
      <c r="C151" s="38">
        <f>SUMIFS(JB_26BV,JB_B,1,JB_EX,"P-8a",JB_CC,"Electronics",JB_H,"FFG",JB_CE,"AN/USQ-T46(V), Battle Force Tactical Training (BFTT)",JB_RC,"ALT")</f>
        <v>0</v>
      </c>
      <c r="D151" s="38">
        <f>SUMIFS(JB_26BV,JB_B,1,JB_EX,"P-8a",JB_CC,"Electronics",JB_H,"LPD",JB_CE,"AN/USQ-T46(V), Battle Force Tactical Training (BFTT)",JB_RC,"ALT")</f>
        <v>0</v>
      </c>
      <c r="E151" s="38">
        <f>SUMIFS(JB_26BV,JB_B,1,JB_EX,"P-8a",JB_CC,"Electronics",JB_H,"LHA",JB_CE,"AN/USQ-T46(V), Battle Force Tactical Training (BFTT)",JB_RC,"ALT")</f>
        <v>1103</v>
      </c>
      <c r="F151" s="38">
        <f>SUMIFS(JB_26BV,JB_B,1,JB_EX,"P-8a",JB_CC,"Electronics",JB_H,"T-AGOS",JB_CE,"AN/USQ-T46(V), Battle Force Tactical Training (BFTT)",JB_RC,"ALT")</f>
        <v>0</v>
      </c>
      <c r="G151" s="38">
        <f>SUMIFS(JB_26BV,JB_B,1,JB_EX,"P-8a",JB_CC,"Electronics",JB_H,"T-AO",JB_CE,"AN/USQ-T46(V), Battle Force Tactical Training (BFTT)",JB_RC,"ALT")</f>
        <v>0</v>
      </c>
      <c r="H151" s="38">
        <f>SUMIFS(JB_26BV,JB_B,1,JB_EX,"P-8a",JB_CC,"Electronics",JB_H,"T-ATS",JB_CE,"AN/USQ-T46(V), Battle Force Tactical Training (BFTT)",JB_RC,"ALT")</f>
        <v>0</v>
      </c>
      <c r="I151" s="37">
        <f t="shared" si="4"/>
        <v>1103</v>
      </c>
    </row>
    <row r="152" spans="1:9" ht="10" customHeight="1" x14ac:dyDescent="0.2">
      <c r="A152" s="36" t="s">
        <v>8949</v>
      </c>
      <c r="B152" s="37">
        <f>SUMIFS(JB_26BV,JB_B,1,JB_EX,"P-8a",JB_CC,"Electronics",JB_H,"DDG",JB_CE,"COMMON ARRAY COOLING SYSTEM (CACS)",JB_RC,"ALT")</f>
        <v>965</v>
      </c>
      <c r="C152" s="38">
        <f>SUMIFS(JB_26BV,JB_B,1,JB_EX,"P-8a",JB_CC,"Electronics",JB_H,"FFG",JB_CE,"COMMON ARRAY COOLING SYSTEM (CACS)",JB_RC,"ALT")</f>
        <v>0</v>
      </c>
      <c r="D152" s="38">
        <f>SUMIFS(JB_26BV,JB_B,1,JB_EX,"P-8a",JB_CC,"Electronics",JB_H,"LPD",JB_CE,"COMMON ARRAY COOLING SYSTEM (CACS)",JB_RC,"ALT")</f>
        <v>0</v>
      </c>
      <c r="E152" s="38">
        <f>SUMIFS(JB_26BV,JB_B,1,JB_EX,"P-8a",JB_CC,"Electronics",JB_H,"LHA",JB_CE,"COMMON ARRAY COOLING SYSTEM (CACS)",JB_RC,"ALT")</f>
        <v>0</v>
      </c>
      <c r="F152" s="38">
        <f>SUMIFS(JB_26BV,JB_B,1,JB_EX,"P-8a",JB_CC,"Electronics",JB_H,"T-AGOS",JB_CE,"COMMON ARRAY COOLING SYSTEM (CACS)",JB_RC,"ALT")</f>
        <v>0</v>
      </c>
      <c r="G152" s="38">
        <f>SUMIFS(JB_26BV,JB_B,1,JB_EX,"P-8a",JB_CC,"Electronics",JB_H,"T-AO",JB_CE,"COMMON ARRAY COOLING SYSTEM (CACS)",JB_RC,"ALT")</f>
        <v>0</v>
      </c>
      <c r="H152" s="38">
        <f>SUMIFS(JB_26BV,JB_B,1,JB_EX,"P-8a",JB_CC,"Electronics",JB_H,"T-ATS",JB_CE,"COMMON ARRAY COOLING SYSTEM (CACS)",JB_RC,"ALT")</f>
        <v>0</v>
      </c>
      <c r="I152" s="37">
        <f t="shared" si="4"/>
        <v>965</v>
      </c>
    </row>
    <row r="153" spans="1:9" ht="10" customHeight="1" x14ac:dyDescent="0.2">
      <c r="A153" s="36" t="s">
        <v>8950</v>
      </c>
      <c r="B153" s="37">
        <f>SUMIFS(JB_26BV,JB_B,1,JB_EX,"P-8a",JB_CC,"Electronics",JB_H,"DDG",JB_CE,"Digital Photo Lab",JB_RC,"ALT")</f>
        <v>0</v>
      </c>
      <c r="C153" s="38">
        <f>SUMIFS(JB_26BV,JB_B,1,JB_EX,"P-8a",JB_CC,"Electronics",JB_H,"FFG",JB_CE,"Digital Photo Lab",JB_RC,"ALT")</f>
        <v>0</v>
      </c>
      <c r="D153" s="38">
        <f>SUMIFS(JB_26BV,JB_B,1,JB_EX,"P-8a",JB_CC,"Electronics",JB_H,"LPD",JB_CE,"Digital Photo Lab",JB_RC,"ALT")</f>
        <v>0</v>
      </c>
      <c r="E153" s="38">
        <f>SUMIFS(JB_26BV,JB_B,1,JB_EX,"P-8a",JB_CC,"Electronics",JB_H,"LHA",JB_CE,"Digital Photo Lab",JB_RC,"ALT")</f>
        <v>623</v>
      </c>
      <c r="F153" s="38">
        <f>SUMIFS(JB_26BV,JB_B,1,JB_EX,"P-8a",JB_CC,"Electronics",JB_H,"T-AGOS",JB_CE,"Digital Photo Lab",JB_RC,"ALT")</f>
        <v>0</v>
      </c>
      <c r="G153" s="38">
        <f>SUMIFS(JB_26BV,JB_B,1,JB_EX,"P-8a",JB_CC,"Electronics",JB_H,"T-AO",JB_CE,"Digital Photo Lab",JB_RC,"ALT")</f>
        <v>0</v>
      </c>
      <c r="H153" s="38">
        <f>SUMIFS(JB_26BV,JB_B,1,JB_EX,"P-8a",JB_CC,"Electronics",JB_H,"T-ATS",JB_CE,"Digital Photo Lab",JB_RC,"ALT")</f>
        <v>0</v>
      </c>
      <c r="I153" s="37">
        <f t="shared" si="4"/>
        <v>623</v>
      </c>
    </row>
    <row r="154" spans="1:9" ht="10" customHeight="1" x14ac:dyDescent="0.2">
      <c r="A154" s="36" t="s">
        <v>8951</v>
      </c>
      <c r="B154" s="37">
        <f>SUMIFS(JB_26BV,JB_B,1,JB_EX,"P-8a",JB_CC,"Electronics",JB_H,"DDG",JB_CE,"Print Shop",JB_RC,"ALT")</f>
        <v>0</v>
      </c>
      <c r="C154" s="38">
        <f>SUMIFS(JB_26BV,JB_B,1,JB_EX,"P-8a",JB_CC,"Electronics",JB_H,"FFG",JB_CE,"Print Shop",JB_RC,"ALT")</f>
        <v>0</v>
      </c>
      <c r="D154" s="38">
        <f>SUMIFS(JB_26BV,JB_B,1,JB_EX,"P-8a",JB_CC,"Electronics",JB_H,"LPD",JB_CE,"Print Shop",JB_RC,"ALT")</f>
        <v>0</v>
      </c>
      <c r="E154" s="38">
        <f>SUMIFS(JB_26BV,JB_B,1,JB_EX,"P-8a",JB_CC,"Electronics",JB_H,"LHA",JB_CE,"Print Shop",JB_RC,"ALT")</f>
        <v>566</v>
      </c>
      <c r="F154" s="38">
        <f>SUMIFS(JB_26BV,JB_B,1,JB_EX,"P-8a",JB_CC,"Electronics",JB_H,"T-AGOS",JB_CE,"Print Shop",JB_RC,"ALT")</f>
        <v>0</v>
      </c>
      <c r="G154" s="38">
        <f>SUMIFS(JB_26BV,JB_B,1,JB_EX,"P-8a",JB_CC,"Electronics",JB_H,"T-AO",JB_CE,"Print Shop",JB_RC,"ALT")</f>
        <v>0</v>
      </c>
      <c r="H154" s="38">
        <f>SUMIFS(JB_26BV,JB_B,1,JB_EX,"P-8a",JB_CC,"Electronics",JB_H,"T-ATS",JB_CE,"Print Shop",JB_RC,"ALT")</f>
        <v>0</v>
      </c>
      <c r="I154" s="37">
        <f t="shared" si="4"/>
        <v>566</v>
      </c>
    </row>
    <row r="155" spans="1:9" ht="10" customHeight="1" x14ac:dyDescent="0.2">
      <c r="A155" s="36" t="s">
        <v>8952</v>
      </c>
      <c r="B155" s="37">
        <f>SUMIFS(JB_26BV,JB_B,1,JB_EX,"P-8a",JB_CC,"Electronics",JB_H,"DDG",JB_CE,"DHYSL",JB_RC,"ALT")</f>
        <v>0</v>
      </c>
      <c r="C155" s="38">
        <f>SUMIFS(JB_26BV,JB_B,1,JB_EX,"P-8a",JB_CC,"Electronics",JB_H,"FFG",JB_CE,"DHYSL",JB_RC,"ALT")</f>
        <v>0</v>
      </c>
      <c r="D155" s="38">
        <f>SUMIFS(JB_26BV,JB_B,1,JB_EX,"P-8a",JB_CC,"Electronics",JB_H,"LPD",JB_CE,"DHYSL",JB_RC,"ALT")</f>
        <v>420</v>
      </c>
      <c r="E155" s="38">
        <f>SUMIFS(JB_26BV,JB_B,1,JB_EX,"P-8a",JB_CC,"Electronics",JB_H,"LHA",JB_CE,"DHYSL",JB_RC,"ALT")</f>
        <v>0</v>
      </c>
      <c r="F155" s="38">
        <f>SUMIFS(JB_26BV,JB_B,1,JB_EX,"P-8a",JB_CC,"Electronics",JB_H,"T-AGOS",JB_CE,"DHYSL",JB_RC,"ALT")</f>
        <v>0</v>
      </c>
      <c r="G155" s="38">
        <f>SUMIFS(JB_26BV,JB_B,1,JB_EX,"P-8a",JB_CC,"Electronics",JB_H,"T-AO",JB_CE,"DHYSL",JB_RC,"ALT")</f>
        <v>0</v>
      </c>
      <c r="H155" s="38">
        <f>SUMIFS(JB_26BV,JB_B,1,JB_EX,"P-8a",JB_CC,"Electronics",JB_H,"T-ATS",JB_CE,"DHYSL",JB_RC,"ALT")</f>
        <v>0</v>
      </c>
      <c r="I155" s="37">
        <f t="shared" si="4"/>
        <v>420</v>
      </c>
    </row>
    <row r="156" spans="1:9" ht="10" customHeight="1" x14ac:dyDescent="0.2">
      <c r="A156" s="36" t="s">
        <v>8953</v>
      </c>
      <c r="B156" s="37">
        <f>SUMIFS(JB_26BV,JB_B,1,JB_EX,"P-8a",JB_CC,"Electronics",JB_H,"DDG",JB_CE,"AN/UQN-10",JB_RC,"ALT")</f>
        <v>0</v>
      </c>
      <c r="C156" s="38">
        <f>SUMIFS(JB_26BV,JB_B,1,JB_EX,"P-8a",JB_CC,"Electronics",JB_H,"FFG",JB_CE,"AN/UQN-10",JB_RC,"ALT")</f>
        <v>0</v>
      </c>
      <c r="D156" s="38">
        <f>SUMIFS(JB_26BV,JB_B,1,JB_EX,"P-8a",JB_CC,"Electronics",JB_H,"LPD",JB_CE,"AN/UQN-10",JB_RC,"ALT")</f>
        <v>229</v>
      </c>
      <c r="E156" s="38">
        <f>SUMIFS(JB_26BV,JB_B,1,JB_EX,"P-8a",JB_CC,"Electronics",JB_H,"LHA",JB_CE,"AN/UQN-10",JB_RC,"ALT")</f>
        <v>0</v>
      </c>
      <c r="F156" s="38">
        <f>SUMIFS(JB_26BV,JB_B,1,JB_EX,"P-8a",JB_CC,"Electronics",JB_H,"T-AGOS",JB_CE,"AN/UQN-10",JB_RC,"ALT")</f>
        <v>0</v>
      </c>
      <c r="G156" s="38">
        <f>SUMIFS(JB_26BV,JB_B,1,JB_EX,"P-8a",JB_CC,"Electronics",JB_H,"T-AO",JB_CE,"AN/UQN-10",JB_RC,"ALT")</f>
        <v>0</v>
      </c>
      <c r="H156" s="38">
        <f>SUMIFS(JB_26BV,JB_B,1,JB_EX,"P-8a",JB_CC,"Electronics",JB_H,"T-ATS",JB_CE,"AN/UQN-10",JB_RC,"ALT")</f>
        <v>0</v>
      </c>
      <c r="I156" s="37">
        <f t="shared" si="4"/>
        <v>229</v>
      </c>
    </row>
    <row r="157" spans="1:9" ht="10" customHeight="1" x14ac:dyDescent="0.2">
      <c r="A157" s="36" t="s">
        <v>8954</v>
      </c>
      <c r="B157" s="37">
        <f>SUMIFS(JB_26BV,JB_B,1,JB_EX,"P-8a",JB_CC,"Electronics",JB_H,"DDG",JB_CE,"RADIAC",JB_RC,"ALT")</f>
        <v>0</v>
      </c>
      <c r="C157" s="38">
        <f>SUMIFS(JB_26BV,JB_B,1,JB_EX,"P-8a",JB_CC,"Electronics",JB_H,"FFG",JB_CE,"RADIAC",JB_RC,"ALT")</f>
        <v>0</v>
      </c>
      <c r="D157" s="38">
        <f>SUMIFS(JB_26BV,JB_B,1,JB_EX,"P-8a",JB_CC,"Electronics",JB_H,"LPD",JB_CE,"RADIAC",JB_RC,"ALT")</f>
        <v>115</v>
      </c>
      <c r="E157" s="38">
        <f>SUMIFS(JB_26BV,JB_B,1,JB_EX,"P-8a",JB_CC,"Electronics",JB_H,"LHA",JB_CE,"RADIAC",JB_RC,"ALT")</f>
        <v>0</v>
      </c>
      <c r="F157" s="38">
        <f>SUMIFS(JB_26BV,JB_B,1,JB_EX,"P-8a",JB_CC,"Electronics",JB_H,"T-AGOS",JB_CE,"RADIAC",JB_RC,"ALT")</f>
        <v>0</v>
      </c>
      <c r="G157" s="38">
        <f>SUMIFS(JB_26BV,JB_B,1,JB_EX,"P-8a",JB_CC,"Electronics",JB_H,"T-AO",JB_CE,"RADIAC",JB_RC,"ALT")</f>
        <v>0</v>
      </c>
      <c r="H157" s="38">
        <f>SUMIFS(JB_26BV,JB_B,1,JB_EX,"P-8a",JB_CC,"Electronics",JB_H,"T-ATS",JB_CE,"RADIAC",JB_RC,"ALT")</f>
        <v>0</v>
      </c>
      <c r="I157" s="37">
        <f t="shared" si="4"/>
        <v>115</v>
      </c>
    </row>
    <row r="158" spans="1:9" ht="10" customHeight="1" x14ac:dyDescent="0.2">
      <c r="A158" s="16" t="s">
        <v>367</v>
      </c>
      <c r="B158" s="35">
        <f>SUMIFS(JB_26BV,JB_B,1,JB_EX,"P-5c",JB_CC,"Hull, Mechanical, and Electrical",JB_H,"DDG",JB_RC,"ALT")</f>
        <v>154029</v>
      </c>
      <c r="C158" s="17">
        <f>SUMIFS(JB_26BV,JB_B,1,JB_EX,"P-5c",JB_CC,"Hull, Mechanical, and Electrical",JB_H,"FFG",JB_RC,"ALT")</f>
        <v>0</v>
      </c>
      <c r="D158" s="17">
        <f>SUMIFS(JB_26BV,JB_B,1,JB_EX,"P-5c",JB_CC,"Hull, Mechanical, and Electrical",JB_H,"LPD",JB_RC,"ALT")</f>
        <v>20289</v>
      </c>
      <c r="E158" s="17">
        <f>SUMIFS(JB_26BV,JB_B,1,JB_EX,"P-5c",JB_CC,"Hull, Mechanical, and Electrical",JB_H,"LHA",JB_RC,"ALT")</f>
        <v>61882</v>
      </c>
      <c r="F158" s="17">
        <f>SUMIFS(JB_26BV,JB_B,1,JB_EX,"P-5c",JB_CC,"Hull, Mechanical, and Electrical",JB_H,"T-AGOS",JB_RC,"ALT")</f>
        <v>22000</v>
      </c>
      <c r="G158" s="17">
        <f>SUMIFS(JB_26BV,JB_B,1,JB_EX,"P-5c",JB_CC,"Hull, Mechanical, and Electrical",JB_H,"T-AO",JB_RC,"ALT")</f>
        <v>15531</v>
      </c>
      <c r="H158" s="17">
        <f>SUMIFS(JB_26BV,JB_B,1,JB_EX,"P-5c",JB_CC,"Hull, Mechanical, and Electrical",JB_H,"T-ATS",JB_RC,"ALT")</f>
        <v>0</v>
      </c>
      <c r="I158" s="35">
        <f t="shared" si="4"/>
        <v>273731</v>
      </c>
    </row>
    <row r="159" spans="1:9" ht="10" customHeight="1" x14ac:dyDescent="0.2">
      <c r="A159" s="36" t="s">
        <v>8955</v>
      </c>
      <c r="B159" s="37">
        <f>SUMIFS(JB_26BV,JB_B,1,JB_EX,"P-8a",JB_CC,"Hull, Mechanical, and Electrical",JB_H,"DDG",JB_CE,"MISC. HM&amp;E",JB_RC,"ALT")</f>
        <v>52611</v>
      </c>
      <c r="C159" s="38">
        <f>SUMIFS(JB_26BV,JB_B,1,JB_EX,"P-8a",JB_CC,"Hull, Mechanical, and Electrical",JB_H,"FFG",JB_CE,"MISC. HM&amp;E",JB_RC,"ALT")</f>
        <v>0</v>
      </c>
      <c r="D159" s="38">
        <f>SUMIFS(JB_26BV,JB_B,1,JB_EX,"P-8a",JB_CC,"Hull, Mechanical, and Electrical",JB_H,"LPD",JB_CE,"MISC. HM&amp;E",JB_RC,"ALT")</f>
        <v>0</v>
      </c>
      <c r="E159" s="38">
        <f>SUMIFS(JB_26BV,JB_B,1,JB_EX,"P-8a",JB_CC,"Hull, Mechanical, and Electrical",JB_H,"LHA",JB_CE,"MISC. HM&amp;E",JB_RC,"ALT")</f>
        <v>0</v>
      </c>
      <c r="F159" s="38">
        <f>SUMIFS(JB_26BV,JB_B,1,JB_EX,"P-8a",JB_CC,"Hull, Mechanical, and Electrical",JB_H,"T-AGOS",JB_CE,"MISC. HM&amp;E",JB_RC,"ALT")</f>
        <v>0</v>
      </c>
      <c r="G159" s="38">
        <f>SUMIFS(JB_26BV,JB_B,1,JB_EX,"P-8a",JB_CC,"Hull, Mechanical, and Electrical",JB_H,"T-AO",JB_CE,"MISC. HM&amp;E",JB_RC,"ALT")</f>
        <v>0</v>
      </c>
      <c r="H159" s="38">
        <f>SUMIFS(JB_26BV,JB_B,1,JB_EX,"P-8a",JB_CC,"Hull, Mechanical, and Electrical",JB_H,"T-ATS",JB_CE,"MISC. HM&amp;E",JB_RC,"ALT")</f>
        <v>0</v>
      </c>
      <c r="I159" s="37">
        <f t="shared" si="4"/>
        <v>52611</v>
      </c>
    </row>
    <row r="160" spans="1:9" ht="10" customHeight="1" x14ac:dyDescent="0.2">
      <c r="A160" s="36" t="s">
        <v>8956</v>
      </c>
      <c r="B160" s="37">
        <f>SUMIFS(JB_26BV,JB_B,1,JB_EX,"P-8a",JB_CC,"Hull, Mechanical, and Electrical",JB_H,"DDG",JB_CE,"Equipment &amp; Engineering",JB_RC,"ALT")</f>
        <v>0</v>
      </c>
      <c r="C160" s="38">
        <f>SUMIFS(JB_26BV,JB_B,1,JB_EX,"P-8a",JB_CC,"Hull, Mechanical, and Electrical",JB_H,"FFG",JB_CE,"Equipment &amp; Engineering",JB_RC,"ALT")</f>
        <v>0</v>
      </c>
      <c r="D160" s="38">
        <f>SUMIFS(JB_26BV,JB_B,1,JB_EX,"P-8a",JB_CC,"Hull, Mechanical, and Electrical",JB_H,"LPD",JB_CE,"Equipment &amp; Engineering",JB_RC,"ALT")</f>
        <v>0</v>
      </c>
      <c r="E160" s="38">
        <f>SUMIFS(JB_26BV,JB_B,1,JB_EX,"P-8a",JB_CC,"Hull, Mechanical, and Electrical",JB_H,"LHA",JB_CE,"Equipment &amp; Engineering",JB_RC,"ALT")</f>
        <v>47605</v>
      </c>
      <c r="F160" s="38">
        <f>SUMIFS(JB_26BV,JB_B,1,JB_EX,"P-8a",JB_CC,"Hull, Mechanical, and Electrical",JB_H,"T-AGOS",JB_CE,"Equipment &amp; Engineering",JB_RC,"ALT")</f>
        <v>0</v>
      </c>
      <c r="G160" s="38">
        <f>SUMIFS(JB_26BV,JB_B,1,JB_EX,"P-8a",JB_CC,"Hull, Mechanical, and Electrical",JB_H,"T-AO",JB_CE,"Equipment &amp; Engineering",JB_RC,"ALT")</f>
        <v>0</v>
      </c>
      <c r="H160" s="38">
        <f>SUMIFS(JB_26BV,JB_B,1,JB_EX,"P-8a",JB_CC,"Hull, Mechanical, and Electrical",JB_H,"T-ATS",JB_CE,"Equipment &amp; Engineering",JB_RC,"ALT")</f>
        <v>0</v>
      </c>
      <c r="I160" s="37">
        <f t="shared" si="4"/>
        <v>47605</v>
      </c>
    </row>
    <row r="161" spans="1:9" ht="10" customHeight="1" x14ac:dyDescent="0.2">
      <c r="A161" s="36" t="s">
        <v>8957</v>
      </c>
      <c r="B161" s="37">
        <f>SUMIFS(JB_26BV,JB_B,1,JB_EX,"P-8a",JB_CC,"Hull, Mechanical, and Electrical",JB_H,"DDG",JB_CE,"MAIN TURBINE GENERATOR (MTG)",JB_RC,"ALT")</f>
        <v>39412</v>
      </c>
      <c r="C161" s="38">
        <f>SUMIFS(JB_26BV,JB_B,1,JB_EX,"P-8a",JB_CC,"Hull, Mechanical, and Electrical",JB_H,"FFG",JB_CE,"MAIN TURBINE GENERATOR (MTG)",JB_RC,"ALT")</f>
        <v>0</v>
      </c>
      <c r="D161" s="38">
        <f>SUMIFS(JB_26BV,JB_B,1,JB_EX,"P-8a",JB_CC,"Hull, Mechanical, and Electrical",JB_H,"LPD",JB_CE,"MAIN TURBINE GENERATOR (MTG)",JB_RC,"ALT")</f>
        <v>0</v>
      </c>
      <c r="E161" s="38">
        <f>SUMIFS(JB_26BV,JB_B,1,JB_EX,"P-8a",JB_CC,"Hull, Mechanical, and Electrical",JB_H,"LHA",JB_CE,"MAIN TURBINE GENERATOR (MTG)",JB_RC,"ALT")</f>
        <v>0</v>
      </c>
      <c r="F161" s="38">
        <f>SUMIFS(JB_26BV,JB_B,1,JB_EX,"P-8a",JB_CC,"Hull, Mechanical, and Electrical",JB_H,"T-AGOS",JB_CE,"MAIN TURBINE GENERATOR (MTG)",JB_RC,"ALT")</f>
        <v>0</v>
      </c>
      <c r="G161" s="38">
        <f>SUMIFS(JB_26BV,JB_B,1,JB_EX,"P-8a",JB_CC,"Hull, Mechanical, and Electrical",JB_H,"T-AO",JB_CE,"MAIN TURBINE GENERATOR (MTG)",JB_RC,"ALT")</f>
        <v>0</v>
      </c>
      <c r="H161" s="38">
        <f>SUMIFS(JB_26BV,JB_B,1,JB_EX,"P-8a",JB_CC,"Hull, Mechanical, and Electrical",JB_H,"T-ATS",JB_CE,"MAIN TURBINE GENERATOR (MTG)",JB_RC,"ALT")</f>
        <v>0</v>
      </c>
      <c r="I161" s="37">
        <f t="shared" ref="I161:I192" si="5">SUM(B161:H161)</f>
        <v>39412</v>
      </c>
    </row>
    <row r="162" spans="1:9" ht="10" customHeight="1" x14ac:dyDescent="0.2">
      <c r="A162" s="36" t="s">
        <v>8958</v>
      </c>
      <c r="B162" s="37">
        <f>SUMIFS(JB_26BV,JB_B,1,JB_EX,"P-8a",JB_CC,"Hull, Mechanical, and Electrical",JB_H,"DDG",JB_CE,"Integrated Bridge Navigation System",JB_RC,"ALT")</f>
        <v>26975</v>
      </c>
      <c r="C162" s="38">
        <f>SUMIFS(JB_26BV,JB_B,1,JB_EX,"P-8a",JB_CC,"Hull, Mechanical, and Electrical",JB_H,"FFG",JB_CE,"Integrated Bridge Navigation System",JB_RC,"ALT")</f>
        <v>0</v>
      </c>
      <c r="D162" s="38">
        <f>SUMIFS(JB_26BV,JB_B,1,JB_EX,"P-8a",JB_CC,"Hull, Mechanical, and Electrical",JB_H,"LPD",JB_CE,"Integrated Bridge Navigation System",JB_RC,"ALT")</f>
        <v>0</v>
      </c>
      <c r="E162" s="38">
        <f>SUMIFS(JB_26BV,JB_B,1,JB_EX,"P-8a",JB_CC,"Hull, Mechanical, and Electrical",JB_H,"LHA",JB_CE,"Integrated Bridge Navigation System",JB_RC,"ALT")</f>
        <v>0</v>
      </c>
      <c r="F162" s="38">
        <f>SUMIFS(JB_26BV,JB_B,1,JB_EX,"P-8a",JB_CC,"Hull, Mechanical, and Electrical",JB_H,"T-AGOS",JB_CE,"Integrated Bridge Navigation System",JB_RC,"ALT")</f>
        <v>0</v>
      </c>
      <c r="G162" s="38">
        <f>SUMIFS(JB_26BV,JB_B,1,JB_EX,"P-8a",JB_CC,"Hull, Mechanical, and Electrical",JB_H,"T-AO",JB_CE,"Integrated Bridge Navigation System",JB_RC,"ALT")</f>
        <v>0</v>
      </c>
      <c r="H162" s="38">
        <f>SUMIFS(JB_26BV,JB_B,1,JB_EX,"P-8a",JB_CC,"Hull, Mechanical, and Electrical",JB_H,"T-ATS",JB_CE,"Integrated Bridge Navigation System",JB_RC,"ALT")</f>
        <v>0</v>
      </c>
      <c r="I162" s="37">
        <f t="shared" si="5"/>
        <v>26975</v>
      </c>
    </row>
    <row r="163" spans="1:9" ht="10" customHeight="1" x14ac:dyDescent="0.2">
      <c r="A163" s="36" t="s">
        <v>8959</v>
      </c>
      <c r="B163" s="37">
        <f>SUMIFS(JB_26BV,JB_B,1,JB_EX,"P-8a",JB_CC,"Hull, Mechanical, and Electrical",JB_H,"DDG",JB_CE,"STC 3 IVCS",JB_RC,"ALT")</f>
        <v>26240</v>
      </c>
      <c r="C163" s="38">
        <f>SUMIFS(JB_26BV,JB_B,1,JB_EX,"P-8a",JB_CC,"Hull, Mechanical, and Electrical",JB_H,"FFG",JB_CE,"STC 3 IVCS",JB_RC,"ALT")</f>
        <v>0</v>
      </c>
      <c r="D163" s="38">
        <f>SUMIFS(JB_26BV,JB_B,1,JB_EX,"P-8a",JB_CC,"Hull, Mechanical, and Electrical",JB_H,"LPD",JB_CE,"STC 3 IVCS",JB_RC,"ALT")</f>
        <v>0</v>
      </c>
      <c r="E163" s="38">
        <f>SUMIFS(JB_26BV,JB_B,1,JB_EX,"P-8a",JB_CC,"Hull, Mechanical, and Electrical",JB_H,"LHA",JB_CE,"STC 3 IVCS",JB_RC,"ALT")</f>
        <v>0</v>
      </c>
      <c r="F163" s="38">
        <f>SUMIFS(JB_26BV,JB_B,1,JB_EX,"P-8a",JB_CC,"Hull, Mechanical, and Electrical",JB_H,"T-AGOS",JB_CE,"STC 3 IVCS",JB_RC,"ALT")</f>
        <v>0</v>
      </c>
      <c r="G163" s="38">
        <f>SUMIFS(JB_26BV,JB_B,1,JB_EX,"P-8a",JB_CC,"Hull, Mechanical, and Electrical",JB_H,"T-AO",JB_CE,"STC 3 IVCS",JB_RC,"ALT")</f>
        <v>0</v>
      </c>
      <c r="H163" s="38">
        <f>SUMIFS(JB_26BV,JB_B,1,JB_EX,"P-8a",JB_CC,"Hull, Mechanical, and Electrical",JB_H,"T-ATS",JB_CE,"STC 3 IVCS",JB_RC,"ALT")</f>
        <v>0</v>
      </c>
      <c r="I163" s="37">
        <f t="shared" si="5"/>
        <v>26240</v>
      </c>
    </row>
    <row r="164" spans="1:9" ht="10" customHeight="1" x14ac:dyDescent="0.2">
      <c r="A164" s="36" t="s">
        <v>8960</v>
      </c>
      <c r="B164" s="37">
        <f>SUMIFS(JB_26BV,JB_B,1,JB_EX,"P-8a",JB_CC,"Hull, Mechanical, and Electrical",JB_H,"DDG",JB_CE,"Machinery Control System",JB_RC,"ALT")</f>
        <v>20756</v>
      </c>
      <c r="C164" s="38">
        <f>SUMIFS(JB_26BV,JB_B,1,JB_EX,"P-8a",JB_CC,"Hull, Mechanical, and Electrical",JB_H,"FFG",JB_CE,"Machinery Control System",JB_RC,"ALT")</f>
        <v>0</v>
      </c>
      <c r="D164" s="38">
        <f>SUMIFS(JB_26BV,JB_B,1,JB_EX,"P-8a",JB_CC,"Hull, Mechanical, and Electrical",JB_H,"LPD",JB_CE,"Machinery Control System",JB_RC,"ALT")</f>
        <v>0</v>
      </c>
      <c r="E164" s="38">
        <f>SUMIFS(JB_26BV,JB_B,1,JB_EX,"P-8a",JB_CC,"Hull, Mechanical, and Electrical",JB_H,"LHA",JB_CE,"Machinery Control System",JB_RC,"ALT")</f>
        <v>0</v>
      </c>
      <c r="F164" s="38">
        <f>SUMIFS(JB_26BV,JB_B,1,JB_EX,"P-8a",JB_CC,"Hull, Mechanical, and Electrical",JB_H,"T-AGOS",JB_CE,"Machinery Control System",JB_RC,"ALT")</f>
        <v>0</v>
      </c>
      <c r="G164" s="38">
        <f>SUMIFS(JB_26BV,JB_B,1,JB_EX,"P-8a",JB_CC,"Hull, Mechanical, and Electrical",JB_H,"T-AO",JB_CE,"Machinery Control System",JB_RC,"ALT")</f>
        <v>0</v>
      </c>
      <c r="H164" s="38">
        <f>SUMIFS(JB_26BV,JB_B,1,JB_EX,"P-8a",JB_CC,"Hull, Mechanical, and Electrical",JB_H,"T-ATS",JB_CE,"Machinery Control System",JB_RC,"ALT")</f>
        <v>0</v>
      </c>
      <c r="I164" s="37">
        <f t="shared" si="5"/>
        <v>20756</v>
      </c>
    </row>
    <row r="165" spans="1:9" ht="10" customHeight="1" x14ac:dyDescent="0.2">
      <c r="A165" s="36" t="s">
        <v>8961</v>
      </c>
      <c r="B165" s="37">
        <f>SUMIFS(JB_26BV,JB_B,1,JB_EX,"P-8a",JB_CC,"Hull, Mechanical, and Electrical",JB_H,"DDG",JB_CE,"Aircraft Ship Integrated Securing and Traversing System (ASIST)",JB_RC,"ALT")</f>
        <v>0</v>
      </c>
      <c r="C165" s="38">
        <f>SUMIFS(JB_26BV,JB_B,1,JB_EX,"P-8a",JB_CC,"Hull, Mechanical, and Electrical",JB_H,"FFG",JB_CE,"Aircraft Ship Integrated Securing and Traversing System (ASIST)",JB_RC,"ALT")</f>
        <v>17349</v>
      </c>
      <c r="D165" s="38">
        <f>SUMIFS(JB_26BV,JB_B,1,JB_EX,"P-8a",JB_CC,"Hull, Mechanical, and Electrical",JB_H,"LPD",JB_CE,"Aircraft Ship Integrated Securing and Traversing System (ASIST)",JB_RC,"ALT")</f>
        <v>0</v>
      </c>
      <c r="E165" s="38">
        <f>SUMIFS(JB_26BV,JB_B,1,JB_EX,"P-8a",JB_CC,"Hull, Mechanical, and Electrical",JB_H,"LHA",JB_CE,"Aircraft Ship Integrated Securing and Traversing System (ASIST)",JB_RC,"ALT")</f>
        <v>0</v>
      </c>
      <c r="F165" s="38">
        <f>SUMIFS(JB_26BV,JB_B,1,JB_EX,"P-8a",JB_CC,"Hull, Mechanical, and Electrical",JB_H,"T-AGOS",JB_CE,"Aircraft Ship Integrated Securing and Traversing System (ASIST)",JB_RC,"ALT")</f>
        <v>0</v>
      </c>
      <c r="G165" s="38">
        <f>SUMIFS(JB_26BV,JB_B,1,JB_EX,"P-8a",JB_CC,"Hull, Mechanical, and Electrical",JB_H,"T-AO",JB_CE,"Aircraft Ship Integrated Securing and Traversing System (ASIST)",JB_RC,"ALT")</f>
        <v>0</v>
      </c>
      <c r="H165" s="38">
        <f>SUMIFS(JB_26BV,JB_B,1,JB_EX,"P-8a",JB_CC,"Hull, Mechanical, and Electrical",JB_H,"T-ATS",JB_CE,"Aircraft Ship Integrated Securing and Traversing System (ASIST)",JB_RC,"ALT")</f>
        <v>0</v>
      </c>
      <c r="I165" s="37">
        <f t="shared" si="5"/>
        <v>17349</v>
      </c>
    </row>
    <row r="166" spans="1:9" ht="10" customHeight="1" x14ac:dyDescent="0.2">
      <c r="A166" s="36" t="s">
        <v>8962</v>
      </c>
      <c r="B166" s="37">
        <f>SUMIFS(JB_26BV,JB_B,1,JB_EX,"P-8a",JB_CC,"Hull, Mechanical, and Electrical",JB_H,"DDG",JB_CE,"CYBER BDC",JB_RC,"ALT")</f>
        <v>14411</v>
      </c>
      <c r="C166" s="38">
        <f>SUMIFS(JB_26BV,JB_B,1,JB_EX,"P-8a",JB_CC,"Hull, Mechanical, and Electrical",JB_H,"FFG",JB_CE,"CYBER BDC",JB_RC,"ALT")</f>
        <v>0</v>
      </c>
      <c r="D166" s="38">
        <f>SUMIFS(JB_26BV,JB_B,1,JB_EX,"P-8a",JB_CC,"Hull, Mechanical, and Electrical",JB_H,"LPD",JB_CE,"CYBER BDC",JB_RC,"ALT")</f>
        <v>0</v>
      </c>
      <c r="E166" s="38">
        <f>SUMIFS(JB_26BV,JB_B,1,JB_EX,"P-8a",JB_CC,"Hull, Mechanical, and Electrical",JB_H,"LHA",JB_CE,"CYBER BDC",JB_RC,"ALT")</f>
        <v>0</v>
      </c>
      <c r="F166" s="38">
        <f>SUMIFS(JB_26BV,JB_B,1,JB_EX,"P-8a",JB_CC,"Hull, Mechanical, and Electrical",JB_H,"T-AGOS",JB_CE,"CYBER BDC",JB_RC,"ALT")</f>
        <v>0</v>
      </c>
      <c r="G166" s="38">
        <f>SUMIFS(JB_26BV,JB_B,1,JB_EX,"P-8a",JB_CC,"Hull, Mechanical, and Electrical",JB_H,"T-AO",JB_CE,"CYBER BDC",JB_RC,"ALT")</f>
        <v>0</v>
      </c>
      <c r="H166" s="38">
        <f>SUMIFS(JB_26BV,JB_B,1,JB_EX,"P-8a",JB_CC,"Hull, Mechanical, and Electrical",JB_H,"T-ATS",JB_CE,"CYBER BDC",JB_RC,"ALT")</f>
        <v>0</v>
      </c>
      <c r="I166" s="37">
        <f t="shared" si="5"/>
        <v>14411</v>
      </c>
    </row>
    <row r="167" spans="1:9" ht="10" customHeight="1" x14ac:dyDescent="0.2">
      <c r="A167" s="36" t="s">
        <v>8963</v>
      </c>
      <c r="B167" s="37">
        <f>SUMIFS(JB_26BV,JB_B,1,JB_EX,"P-8a",JB_CC,"Hull, Mechanical, and Electrical",JB_H,"DDG",JB_CE,"WSN 12",JB_RC,"ALT")</f>
        <v>13036</v>
      </c>
      <c r="C167" s="38">
        <f>SUMIFS(JB_26BV,JB_B,1,JB_EX,"P-8a",JB_CC,"Hull, Mechanical, and Electrical",JB_H,"FFG",JB_CE,"WSN 12",JB_RC,"ALT")</f>
        <v>0</v>
      </c>
      <c r="D167" s="38">
        <f>SUMIFS(JB_26BV,JB_B,1,JB_EX,"P-8a",JB_CC,"Hull, Mechanical, and Electrical",JB_H,"LPD",JB_CE,"WSN 12",JB_RC,"ALT")</f>
        <v>0</v>
      </c>
      <c r="E167" s="38">
        <f>SUMIFS(JB_26BV,JB_B,1,JB_EX,"P-8a",JB_CC,"Hull, Mechanical, and Electrical",JB_H,"LHA",JB_CE,"WSN 12",JB_RC,"ALT")</f>
        <v>0</v>
      </c>
      <c r="F167" s="38">
        <f>SUMIFS(JB_26BV,JB_B,1,JB_EX,"P-8a",JB_CC,"Hull, Mechanical, and Electrical",JB_H,"T-AGOS",JB_CE,"WSN 12",JB_RC,"ALT")</f>
        <v>0</v>
      </c>
      <c r="G167" s="38">
        <f>SUMIFS(JB_26BV,JB_B,1,JB_EX,"P-8a",JB_CC,"Hull, Mechanical, and Electrical",JB_H,"T-AO",JB_CE,"WSN 12",JB_RC,"ALT")</f>
        <v>0</v>
      </c>
      <c r="H167" s="38">
        <f>SUMIFS(JB_26BV,JB_B,1,JB_EX,"P-8a",JB_CC,"Hull, Mechanical, and Electrical",JB_H,"T-ATS",JB_CE,"WSN 12",JB_RC,"ALT")</f>
        <v>0</v>
      </c>
      <c r="I167" s="37">
        <f t="shared" si="5"/>
        <v>13036</v>
      </c>
    </row>
    <row r="168" spans="1:9" ht="10" customHeight="1" x14ac:dyDescent="0.2">
      <c r="A168" s="36" t="s">
        <v>8964</v>
      </c>
      <c r="B168" s="37">
        <f>SUMIFS(JB_26BV,JB_B,1,JB_EX,"P-8a",JB_CC,"Hull, Mechanical, and Electrical",JB_H,"DDG",JB_CE,"HM&amp;E (NGVLA, Moriah Wind Measurement System (WMS), Aviation Integration)",JB_RC,"ALT")</f>
        <v>12446</v>
      </c>
      <c r="C168" s="38">
        <f>SUMIFS(JB_26BV,JB_B,1,JB_EX,"P-8a",JB_CC,"Hull, Mechanical, and Electrical",JB_H,"FFG",JB_CE,"HM&amp;E (NGVLA, Moriah Wind Measurement System (WMS), Aviation Integration)",JB_RC,"ALT")</f>
        <v>0</v>
      </c>
      <c r="D168" s="38">
        <f>SUMIFS(JB_26BV,JB_B,1,JB_EX,"P-8a",JB_CC,"Hull, Mechanical, and Electrical",JB_H,"LPD",JB_CE,"HM&amp;E (NGVLA, Moriah Wind Measurement System (WMS), Aviation Integration)",JB_RC,"ALT")</f>
        <v>0</v>
      </c>
      <c r="E168" s="38">
        <f>SUMIFS(JB_26BV,JB_B,1,JB_EX,"P-8a",JB_CC,"Hull, Mechanical, and Electrical",JB_H,"LHA",JB_CE,"HM&amp;E (NGVLA, Moriah Wind Measurement System (WMS), Aviation Integration)",JB_RC,"ALT")</f>
        <v>0</v>
      </c>
      <c r="F168" s="38">
        <f>SUMIFS(JB_26BV,JB_B,1,JB_EX,"P-8a",JB_CC,"Hull, Mechanical, and Electrical",JB_H,"T-AGOS",JB_CE,"HM&amp;E (NGVLA, Moriah Wind Measurement System (WMS), Aviation Integration)",JB_RC,"ALT")</f>
        <v>0</v>
      </c>
      <c r="G168" s="38">
        <f>SUMIFS(JB_26BV,JB_B,1,JB_EX,"P-8a",JB_CC,"Hull, Mechanical, and Electrical",JB_H,"T-AO",JB_CE,"HM&amp;E (NGVLA, Moriah Wind Measurement System (WMS), Aviation Integration)",JB_RC,"ALT")</f>
        <v>0</v>
      </c>
      <c r="H168" s="38">
        <f>SUMIFS(JB_26BV,JB_B,1,JB_EX,"P-8a",JB_CC,"Hull, Mechanical, and Electrical",JB_H,"T-ATS",JB_CE,"HM&amp;E (NGVLA, Moriah Wind Measurement System (WMS), Aviation Integration)",JB_RC,"ALT")</f>
        <v>0</v>
      </c>
      <c r="I168" s="37">
        <f t="shared" si="5"/>
        <v>12446</v>
      </c>
    </row>
    <row r="169" spans="1:9" ht="10" customHeight="1" x14ac:dyDescent="0.2">
      <c r="A169" s="36" t="s">
        <v>8965</v>
      </c>
      <c r="B169" s="37">
        <f>SUMIFS(JB_26BV,JB_B,1,JB_EX,"P-8a",JB_CC,"Hull, Mechanical, and Electrical",JB_H,"DDG",JB_CE,"Other HM&amp;E",JB_RC,"ALT")</f>
        <v>0</v>
      </c>
      <c r="C169" s="38">
        <f>SUMIFS(JB_26BV,JB_B,1,JB_EX,"P-8a",JB_CC,"Hull, Mechanical, and Electrical",JB_H,"FFG",JB_CE,"Other HM&amp;E",JB_RC,"ALT")</f>
        <v>11772</v>
      </c>
      <c r="D169" s="38">
        <f>SUMIFS(JB_26BV,JB_B,1,JB_EX,"P-8a",JB_CC,"Hull, Mechanical, and Electrical",JB_H,"LPD",JB_CE,"Other HM&amp;E",JB_RC,"ALT")</f>
        <v>0</v>
      </c>
      <c r="E169" s="38">
        <f>SUMIFS(JB_26BV,JB_B,1,JB_EX,"P-8a",JB_CC,"Hull, Mechanical, and Electrical",JB_H,"LHA",JB_CE,"Other HM&amp;E",JB_RC,"ALT")</f>
        <v>0</v>
      </c>
      <c r="F169" s="38">
        <f>SUMIFS(JB_26BV,JB_B,1,JB_EX,"P-8a",JB_CC,"Hull, Mechanical, and Electrical",JB_H,"T-AGOS",JB_CE,"Other HM&amp;E",JB_RC,"ALT")</f>
        <v>0</v>
      </c>
      <c r="G169" s="38">
        <f>SUMIFS(JB_26BV,JB_B,1,JB_EX,"P-8a",JB_CC,"Hull, Mechanical, and Electrical",JB_H,"T-AO",JB_CE,"Other HM&amp;E",JB_RC,"ALT")</f>
        <v>0</v>
      </c>
      <c r="H169" s="38">
        <f>SUMIFS(JB_26BV,JB_B,1,JB_EX,"P-8a",JB_CC,"Hull, Mechanical, and Electrical",JB_H,"T-ATS",JB_CE,"Other HM&amp;E",JB_RC,"ALT")</f>
        <v>0</v>
      </c>
      <c r="I169" s="37">
        <f t="shared" si="5"/>
        <v>11772</v>
      </c>
    </row>
    <row r="170" spans="1:9" ht="10" customHeight="1" x14ac:dyDescent="0.2">
      <c r="A170" s="36" t="s">
        <v>8966</v>
      </c>
      <c r="B170" s="37">
        <f>SUMIFS(JB_26BV,JB_B,1,JB_EX,"P-8a",JB_CC,"Hull, Mechanical, and Electrical",JB_H,"DDG",JB_CE,"Engineering Services",JB_RC,"ALT")</f>
        <v>0</v>
      </c>
      <c r="C170" s="38">
        <f>SUMIFS(JB_26BV,JB_B,1,JB_EX,"P-8a",JB_CC,"Hull, Mechanical, and Electrical",JB_H,"FFG",JB_CE,"Engineering Services",JB_RC,"ALT")</f>
        <v>0</v>
      </c>
      <c r="D170" s="38">
        <f>SUMIFS(JB_26BV,JB_B,1,JB_EX,"P-8a",JB_CC,"Hull, Mechanical, and Electrical",JB_H,"LPD",JB_CE,"Engineering Services",JB_RC,"ALT")</f>
        <v>0</v>
      </c>
      <c r="E170" s="38">
        <f>SUMIFS(JB_26BV,JB_B,1,JB_EX,"P-8a",JB_CC,"Hull, Mechanical, and Electrical",JB_H,"LHA",JB_CE,"Engineering Services",JB_RC,"ALT")</f>
        <v>0</v>
      </c>
      <c r="F170" s="38">
        <f>SUMIFS(JB_26BV,JB_B,1,JB_EX,"P-8a",JB_CC,"Hull, Mechanical, and Electrical",JB_H,"T-AGOS",JB_CE,"Engineering Services",JB_RC,"ALT")</f>
        <v>0</v>
      </c>
      <c r="G170" s="38">
        <f>SUMIFS(JB_26BV,JB_B,1,JB_EX,"P-8a",JB_CC,"Hull, Mechanical, and Electrical",JB_H,"T-AO",JB_CE,"Engineering Services",JB_RC,"ALT")</f>
        <v>10355</v>
      </c>
      <c r="H170" s="38">
        <f>SUMIFS(JB_26BV,JB_B,1,JB_EX,"P-8a",JB_CC,"Hull, Mechanical, and Electrical",JB_H,"T-ATS",JB_CE,"Engineering Services",JB_RC,"ALT")</f>
        <v>0</v>
      </c>
      <c r="I170" s="37">
        <f t="shared" si="5"/>
        <v>10355</v>
      </c>
    </row>
    <row r="171" spans="1:9" ht="10" customHeight="1" x14ac:dyDescent="0.2">
      <c r="A171" s="36" t="s">
        <v>8967</v>
      </c>
      <c r="B171" s="37">
        <f>SUMIFS(JB_26BV,JB_B,1,JB_EX,"P-8a",JB_CC,"Hull, Mechanical, and Electrical",JB_H,"DDG",JB_CE,"Test &amp; Instrumentation",JB_RC,"ALT")</f>
        <v>0</v>
      </c>
      <c r="C171" s="38">
        <f>SUMIFS(JB_26BV,JB_B,1,JB_EX,"P-8a",JB_CC,"Hull, Mechanical, and Electrical",JB_H,"FFG",JB_CE,"Test &amp; Instrumentation",JB_RC,"ALT")</f>
        <v>0</v>
      </c>
      <c r="D171" s="38">
        <f>SUMIFS(JB_26BV,JB_B,1,JB_EX,"P-8a",JB_CC,"Hull, Mechanical, and Electrical",JB_H,"LPD",JB_CE,"Test &amp; Instrumentation",JB_RC,"ALT")</f>
        <v>0</v>
      </c>
      <c r="E171" s="38">
        <f>SUMIFS(JB_26BV,JB_B,1,JB_EX,"P-8a",JB_CC,"Hull, Mechanical, and Electrical",JB_H,"LHA",JB_CE,"Test &amp; Instrumentation",JB_RC,"ALT")</f>
        <v>9464</v>
      </c>
      <c r="F171" s="38">
        <f>SUMIFS(JB_26BV,JB_B,1,JB_EX,"P-8a",JB_CC,"Hull, Mechanical, and Electrical",JB_H,"T-AGOS",JB_CE,"Test &amp; Instrumentation",JB_RC,"ALT")</f>
        <v>0</v>
      </c>
      <c r="G171" s="38">
        <f>SUMIFS(JB_26BV,JB_B,1,JB_EX,"P-8a",JB_CC,"Hull, Mechanical, and Electrical",JB_H,"T-AO",JB_CE,"Test &amp; Instrumentation",JB_RC,"ALT")</f>
        <v>0</v>
      </c>
      <c r="H171" s="38">
        <f>SUMIFS(JB_26BV,JB_B,1,JB_EX,"P-8a",JB_CC,"Hull, Mechanical, and Electrical",JB_H,"T-ATS",JB_CE,"Test &amp; Instrumentation",JB_RC,"ALT")</f>
        <v>0</v>
      </c>
      <c r="I171" s="37">
        <f t="shared" si="5"/>
        <v>9464</v>
      </c>
    </row>
    <row r="172" spans="1:9" ht="10" customHeight="1" x14ac:dyDescent="0.2">
      <c r="A172" s="36" t="s">
        <v>8968</v>
      </c>
      <c r="B172" s="37">
        <f>SUMIFS(JB_26BV,JB_B,1,JB_EX,"P-8a",JB_CC,"Hull, Mechanical, and Electrical",JB_H,"DDG",JB_CE,"Unclassified Video System (UVS)",JB_RC,"ALT")</f>
        <v>0</v>
      </c>
      <c r="C172" s="38">
        <f>SUMIFS(JB_26BV,JB_B,1,JB_EX,"P-8a",JB_CC,"Hull, Mechanical, and Electrical",JB_H,"FFG",JB_CE,"Unclassified Video System (UVS)",JB_RC,"ALT")</f>
        <v>4853</v>
      </c>
      <c r="D172" s="38">
        <f>SUMIFS(JB_26BV,JB_B,1,JB_EX,"P-8a",JB_CC,"Hull, Mechanical, and Electrical",JB_H,"LPD",JB_CE,"Unclassified Video System (UVS)",JB_RC,"ALT")</f>
        <v>2801</v>
      </c>
      <c r="E172" s="38">
        <f>SUMIFS(JB_26BV,JB_B,1,JB_EX,"P-8a",JB_CC,"Hull, Mechanical, and Electrical",JB_H,"LHA",JB_CE,"Unclassified Video System (UVS)",JB_RC,"ALT")</f>
        <v>0</v>
      </c>
      <c r="F172" s="38">
        <f>SUMIFS(JB_26BV,JB_B,1,JB_EX,"P-8a",JB_CC,"Hull, Mechanical, and Electrical",JB_H,"T-AGOS",JB_CE,"Unclassified Video System (UVS)",JB_RC,"ALT")</f>
        <v>0</v>
      </c>
      <c r="G172" s="38">
        <f>SUMIFS(JB_26BV,JB_B,1,JB_EX,"P-8a",JB_CC,"Hull, Mechanical, and Electrical",JB_H,"T-AO",JB_CE,"Unclassified Video System (UVS)",JB_RC,"ALT")</f>
        <v>0</v>
      </c>
      <c r="H172" s="38">
        <f>SUMIFS(JB_26BV,JB_B,1,JB_EX,"P-8a",JB_CC,"Hull, Mechanical, and Electrical",JB_H,"T-ATS",JB_CE,"Unclassified Video System (UVS)",JB_RC,"ALT")</f>
        <v>0</v>
      </c>
      <c r="I172" s="37">
        <f t="shared" si="5"/>
        <v>7654</v>
      </c>
    </row>
    <row r="173" spans="1:9" ht="10" customHeight="1" x14ac:dyDescent="0.2">
      <c r="A173" s="36" t="s">
        <v>8969</v>
      </c>
      <c r="B173" s="37">
        <f>SUMIFS(JB_26BV,JB_B,1,JB_EX,"P-8a",JB_CC,"Hull, Mechanical, and Electrical",JB_H,"DDG",JB_CE,"INTERIM SPARES",JB_RC,"ALT")</f>
        <v>7500</v>
      </c>
      <c r="C173" s="38">
        <f>SUMIFS(JB_26BV,JB_B,1,JB_EX,"P-8a",JB_CC,"Hull, Mechanical, and Electrical",JB_H,"FFG",JB_CE,"INTERIM SPARES",JB_RC,"ALT")</f>
        <v>0</v>
      </c>
      <c r="D173" s="38">
        <f>SUMIFS(JB_26BV,JB_B,1,JB_EX,"P-8a",JB_CC,"Hull, Mechanical, and Electrical",JB_H,"LPD",JB_CE,"INTERIM SPARES",JB_RC,"ALT")</f>
        <v>0</v>
      </c>
      <c r="E173" s="38">
        <f>SUMIFS(JB_26BV,JB_B,1,JB_EX,"P-8a",JB_CC,"Hull, Mechanical, and Electrical",JB_H,"LHA",JB_CE,"INTERIM SPARES",JB_RC,"ALT")</f>
        <v>0</v>
      </c>
      <c r="F173" s="38">
        <f>SUMIFS(JB_26BV,JB_B,1,JB_EX,"P-8a",JB_CC,"Hull, Mechanical, and Electrical",JB_H,"T-AGOS",JB_CE,"INTERIM SPARES",JB_RC,"ALT")</f>
        <v>0</v>
      </c>
      <c r="G173" s="38">
        <f>SUMIFS(JB_26BV,JB_B,1,JB_EX,"P-8a",JB_CC,"Hull, Mechanical, and Electrical",JB_H,"T-AO",JB_CE,"INTERIM SPARES",JB_RC,"ALT")</f>
        <v>0</v>
      </c>
      <c r="H173" s="38">
        <f>SUMIFS(JB_26BV,JB_B,1,JB_EX,"P-8a",JB_CC,"Hull, Mechanical, and Electrical",JB_H,"T-ATS",JB_CE,"INTERIM SPARES",JB_RC,"ALT")</f>
        <v>0</v>
      </c>
      <c r="I173" s="37">
        <f t="shared" si="5"/>
        <v>7500</v>
      </c>
    </row>
    <row r="174" spans="1:9" ht="10" customHeight="1" x14ac:dyDescent="0.2">
      <c r="A174" s="36" t="s">
        <v>8970</v>
      </c>
      <c r="B174" s="37">
        <f>SUMIFS(JB_26BV,JB_B,1,JB_EX,"P-8a",JB_CC,"Hull, Mechanical, and Electrical",JB_H,"DDG",JB_CE,"Internal Communication (IC) Voice",JB_RC,"ALT")</f>
        <v>0</v>
      </c>
      <c r="C174" s="38">
        <f>SUMIFS(JB_26BV,JB_B,1,JB_EX,"P-8a",JB_CC,"Hull, Mechanical, and Electrical",JB_H,"FFG",JB_CE,"Internal Communication (IC) Voice",JB_RC,"ALT")</f>
        <v>7168</v>
      </c>
      <c r="D174" s="38">
        <f>SUMIFS(JB_26BV,JB_B,1,JB_EX,"P-8a",JB_CC,"Hull, Mechanical, and Electrical",JB_H,"LPD",JB_CE,"Internal Communication (IC) Voice",JB_RC,"ALT")</f>
        <v>0</v>
      </c>
      <c r="E174" s="38">
        <f>SUMIFS(JB_26BV,JB_B,1,JB_EX,"P-8a",JB_CC,"Hull, Mechanical, and Electrical",JB_H,"LHA",JB_CE,"Internal Communication (IC) Voice",JB_RC,"ALT")</f>
        <v>0</v>
      </c>
      <c r="F174" s="38">
        <f>SUMIFS(JB_26BV,JB_B,1,JB_EX,"P-8a",JB_CC,"Hull, Mechanical, and Electrical",JB_H,"T-AGOS",JB_CE,"Internal Communication (IC) Voice",JB_RC,"ALT")</f>
        <v>0</v>
      </c>
      <c r="G174" s="38">
        <f>SUMIFS(JB_26BV,JB_B,1,JB_EX,"P-8a",JB_CC,"Hull, Mechanical, and Electrical",JB_H,"T-AO",JB_CE,"Internal Communication (IC) Voice",JB_RC,"ALT")</f>
        <v>0</v>
      </c>
      <c r="H174" s="38">
        <f>SUMIFS(JB_26BV,JB_B,1,JB_EX,"P-8a",JB_CC,"Hull, Mechanical, and Electrical",JB_H,"T-ATS",JB_CE,"Internal Communication (IC) Voice",JB_RC,"ALT")</f>
        <v>0</v>
      </c>
      <c r="I174" s="37">
        <f t="shared" si="5"/>
        <v>7168</v>
      </c>
    </row>
    <row r="175" spans="1:9" ht="10" customHeight="1" x14ac:dyDescent="0.2">
      <c r="A175" s="36" t="s">
        <v>8971</v>
      </c>
      <c r="B175" s="37">
        <f>SUMIFS(JB_26BV,JB_B,1,JB_EX,"P-8a",JB_CC,"Hull, Mechanical, and Electrical",JB_H,"DDG",JB_CE,"Interior Wireless Communication System (IWCS)",JB_RC,"ALT")</f>
        <v>0</v>
      </c>
      <c r="C175" s="38">
        <f>SUMIFS(JB_26BV,JB_B,1,JB_EX,"P-8a",JB_CC,"Hull, Mechanical, and Electrical",JB_H,"FFG",JB_CE,"Interior Wireless Communication System (IWCS)",JB_RC,"ALT")</f>
        <v>5761</v>
      </c>
      <c r="D175" s="38">
        <f>SUMIFS(JB_26BV,JB_B,1,JB_EX,"P-8a",JB_CC,"Hull, Mechanical, and Electrical",JB_H,"LPD",JB_CE,"Interior Wireless Communication System (IWCS)",JB_RC,"ALT")</f>
        <v>0</v>
      </c>
      <c r="E175" s="38">
        <f>SUMIFS(JB_26BV,JB_B,1,JB_EX,"P-8a",JB_CC,"Hull, Mechanical, and Electrical",JB_H,"LHA",JB_CE,"Interior Wireless Communication System (IWCS)",JB_RC,"ALT")</f>
        <v>0</v>
      </c>
      <c r="F175" s="38">
        <f>SUMIFS(JB_26BV,JB_B,1,JB_EX,"P-8a",JB_CC,"Hull, Mechanical, and Electrical",JB_H,"T-AGOS",JB_CE,"Interior Wireless Communication System (IWCS)",JB_RC,"ALT")</f>
        <v>0</v>
      </c>
      <c r="G175" s="38">
        <f>SUMIFS(JB_26BV,JB_B,1,JB_EX,"P-8a",JB_CC,"Hull, Mechanical, and Electrical",JB_H,"T-AO",JB_CE,"Interior Wireless Communication System (IWCS)",JB_RC,"ALT")</f>
        <v>0</v>
      </c>
      <c r="H175" s="38">
        <f>SUMIFS(JB_26BV,JB_B,1,JB_EX,"P-8a",JB_CC,"Hull, Mechanical, and Electrical",JB_H,"T-ATS",JB_CE,"Interior Wireless Communication System (IWCS)",JB_RC,"ALT")</f>
        <v>0</v>
      </c>
      <c r="I175" s="37">
        <f t="shared" si="5"/>
        <v>5761</v>
      </c>
    </row>
    <row r="176" spans="1:9" ht="10" customHeight="1" x14ac:dyDescent="0.2">
      <c r="A176" s="36" t="s">
        <v>8972</v>
      </c>
      <c r="B176" s="37">
        <f>SUMIFS(JB_26BV,JB_B,1,JB_EX,"P-8a",JB_CC,"Hull, Mechanical, and Electrical",JB_H,"DDG",JB_CE,"SUPSHIP Material/Services",JB_RC,"ALT")</f>
        <v>0</v>
      </c>
      <c r="C176" s="38">
        <f>SUMIFS(JB_26BV,JB_B,1,JB_EX,"P-8a",JB_CC,"Hull, Mechanical, and Electrical",JB_H,"FFG",JB_CE,"SUPSHIP Material/Services",JB_RC,"ALT")</f>
        <v>0</v>
      </c>
      <c r="D176" s="38">
        <f>SUMIFS(JB_26BV,JB_B,1,JB_EX,"P-8a",JB_CC,"Hull, Mechanical, and Electrical",JB_H,"LPD",JB_CE,"SUPSHIP Material/Services",JB_RC,"ALT")</f>
        <v>0</v>
      </c>
      <c r="E176" s="38">
        <f>SUMIFS(JB_26BV,JB_B,1,JB_EX,"P-8a",JB_CC,"Hull, Mechanical, and Electrical",JB_H,"LHA",JB_CE,"SUPSHIP Material/Services",JB_RC,"ALT")</f>
        <v>4813</v>
      </c>
      <c r="F176" s="38">
        <f>SUMIFS(JB_26BV,JB_B,1,JB_EX,"P-8a",JB_CC,"Hull, Mechanical, and Electrical",JB_H,"T-AGOS",JB_CE,"SUPSHIP Material/Services",JB_RC,"ALT")</f>
        <v>0</v>
      </c>
      <c r="G176" s="38">
        <f>SUMIFS(JB_26BV,JB_B,1,JB_EX,"P-8a",JB_CC,"Hull, Mechanical, and Electrical",JB_H,"T-AO",JB_CE,"SUPSHIP Material/Services",JB_RC,"ALT")</f>
        <v>0</v>
      </c>
      <c r="H176" s="38">
        <f>SUMIFS(JB_26BV,JB_B,1,JB_EX,"P-8a",JB_CC,"Hull, Mechanical, and Electrical",JB_H,"T-ATS",JB_CE,"SUPSHIP Material/Services",JB_RC,"ALT")</f>
        <v>0</v>
      </c>
      <c r="I176" s="37">
        <f t="shared" si="5"/>
        <v>4813</v>
      </c>
    </row>
    <row r="177" spans="1:9" ht="10" customHeight="1" x14ac:dyDescent="0.2">
      <c r="A177" s="36" t="s">
        <v>8973</v>
      </c>
      <c r="B177" s="37">
        <f>SUMIFS(JB_26BV,JB_B,1,JB_EX,"P-8a",JB_CC,"Hull, Mechanical, and Electrical",JB_H,"DDG",JB_CE,"Ship Control System-Government (SCS GOV)",JB_RC,"ALT")</f>
        <v>0</v>
      </c>
      <c r="C177" s="38">
        <f>SUMIFS(JB_26BV,JB_B,1,JB_EX,"P-8a",JB_CC,"Hull, Mechanical, and Electrical",JB_H,"FFG",JB_CE,"Ship Control System-Government (SCS GOV)",JB_RC,"ALT")</f>
        <v>4425</v>
      </c>
      <c r="D177" s="38">
        <f>SUMIFS(JB_26BV,JB_B,1,JB_EX,"P-8a",JB_CC,"Hull, Mechanical, and Electrical",JB_H,"LPD",JB_CE,"Ship Control System-Government (SCS GOV)",JB_RC,"ALT")</f>
        <v>0</v>
      </c>
      <c r="E177" s="38">
        <f>SUMIFS(JB_26BV,JB_B,1,JB_EX,"P-8a",JB_CC,"Hull, Mechanical, and Electrical",JB_H,"LHA",JB_CE,"Ship Control System-Government (SCS GOV)",JB_RC,"ALT")</f>
        <v>0</v>
      </c>
      <c r="F177" s="38">
        <f>SUMIFS(JB_26BV,JB_B,1,JB_EX,"P-8a",JB_CC,"Hull, Mechanical, and Electrical",JB_H,"T-AGOS",JB_CE,"Ship Control System-Government (SCS GOV)",JB_RC,"ALT")</f>
        <v>0</v>
      </c>
      <c r="G177" s="38">
        <f>SUMIFS(JB_26BV,JB_B,1,JB_EX,"P-8a",JB_CC,"Hull, Mechanical, and Electrical",JB_H,"T-AO",JB_CE,"Ship Control System-Government (SCS GOV)",JB_RC,"ALT")</f>
        <v>0</v>
      </c>
      <c r="H177" s="38">
        <f>SUMIFS(JB_26BV,JB_B,1,JB_EX,"P-8a",JB_CC,"Hull, Mechanical, and Electrical",JB_H,"T-ATS",JB_CE,"Ship Control System-Government (SCS GOV)",JB_RC,"ALT")</f>
        <v>0</v>
      </c>
      <c r="I177" s="37">
        <f t="shared" si="5"/>
        <v>4425</v>
      </c>
    </row>
    <row r="178" spans="1:9" ht="10" customHeight="1" x14ac:dyDescent="0.2">
      <c r="A178" s="36" t="s">
        <v>8974</v>
      </c>
      <c r="B178" s="37">
        <f>SUMIFS(JB_26BV,JB_B,1,JB_EX,"P-8a",JB_CC,"Hull, Mechanical, and Electrical",JB_H,"DDG",JB_CE,"Advanced Flight Deck Lighting System (AFDLS)",JB_RC,"ALT")</f>
        <v>0</v>
      </c>
      <c r="C178" s="38">
        <f>SUMIFS(JB_26BV,JB_B,1,JB_EX,"P-8a",JB_CC,"Hull, Mechanical, and Electrical",JB_H,"FFG",JB_CE,"Advanced Flight Deck Lighting System (AFDLS)",JB_RC,"ALT")</f>
        <v>4423</v>
      </c>
      <c r="D178" s="38">
        <f>SUMIFS(JB_26BV,JB_B,1,JB_EX,"P-8a",JB_CC,"Hull, Mechanical, and Electrical",JB_H,"LPD",JB_CE,"Advanced Flight Deck Lighting System (AFDLS)",JB_RC,"ALT")</f>
        <v>0</v>
      </c>
      <c r="E178" s="38">
        <f>SUMIFS(JB_26BV,JB_B,1,JB_EX,"P-8a",JB_CC,"Hull, Mechanical, and Electrical",JB_H,"LHA",JB_CE,"Advanced Flight Deck Lighting System (AFDLS)",JB_RC,"ALT")</f>
        <v>0</v>
      </c>
      <c r="F178" s="38">
        <f>SUMIFS(JB_26BV,JB_B,1,JB_EX,"P-8a",JB_CC,"Hull, Mechanical, and Electrical",JB_H,"T-AGOS",JB_CE,"Advanced Flight Deck Lighting System (AFDLS)",JB_RC,"ALT")</f>
        <v>0</v>
      </c>
      <c r="G178" s="38">
        <f>SUMIFS(JB_26BV,JB_B,1,JB_EX,"P-8a",JB_CC,"Hull, Mechanical, and Electrical",JB_H,"T-AO",JB_CE,"Advanced Flight Deck Lighting System (AFDLS)",JB_RC,"ALT")</f>
        <v>0</v>
      </c>
      <c r="H178" s="38">
        <f>SUMIFS(JB_26BV,JB_B,1,JB_EX,"P-8a",JB_CC,"Hull, Mechanical, and Electrical",JB_H,"T-ATS",JB_CE,"Advanced Flight Deck Lighting System (AFDLS)",JB_RC,"ALT")</f>
        <v>0</v>
      </c>
      <c r="I178" s="37">
        <f t="shared" si="5"/>
        <v>4423</v>
      </c>
    </row>
    <row r="179" spans="1:9" ht="10" customHeight="1" x14ac:dyDescent="0.2">
      <c r="A179" s="36" t="s">
        <v>8975</v>
      </c>
      <c r="B179" s="37">
        <f>SUMIFS(JB_26BV,JB_B,1,JB_EX,"P-8a",JB_CC,"Hull, Mechanical, and Electrical",JB_H,"DDG",JB_CE,"Forklift Trucks",JB_RC,"ALT")</f>
        <v>0</v>
      </c>
      <c r="C179" s="38">
        <f>SUMIFS(JB_26BV,JB_B,1,JB_EX,"P-8a",JB_CC,"Hull, Mechanical, and Electrical",JB_H,"FFG",JB_CE,"Forklift Trucks",JB_RC,"ALT")</f>
        <v>0</v>
      </c>
      <c r="D179" s="38">
        <f>SUMIFS(JB_26BV,JB_B,1,JB_EX,"P-8a",JB_CC,"Hull, Mechanical, and Electrical",JB_H,"LPD",JB_CE,"Forklift Trucks",JB_RC,"ALT")</f>
        <v>2424</v>
      </c>
      <c r="E179" s="38">
        <f>SUMIFS(JB_26BV,JB_B,1,JB_EX,"P-8a",JB_CC,"Hull, Mechanical, and Electrical",JB_H,"LHA",JB_CE,"Forklift Trucks",JB_RC,"ALT")</f>
        <v>0</v>
      </c>
      <c r="F179" s="38">
        <f>SUMIFS(JB_26BV,JB_B,1,JB_EX,"P-8a",JB_CC,"Hull, Mechanical, and Electrical",JB_H,"T-AGOS",JB_CE,"Forklift Trucks",JB_RC,"ALT")</f>
        <v>0</v>
      </c>
      <c r="G179" s="38">
        <f>SUMIFS(JB_26BV,JB_B,1,JB_EX,"P-8a",JB_CC,"Hull, Mechanical, and Electrical",JB_H,"T-AO",JB_CE,"Forklift Trucks",JB_RC,"ALT")</f>
        <v>0</v>
      </c>
      <c r="H179" s="38">
        <f>SUMIFS(JB_26BV,JB_B,1,JB_EX,"P-8a",JB_CC,"Hull, Mechanical, and Electrical",JB_H,"T-ATS",JB_CE,"Forklift Trucks",JB_RC,"ALT")</f>
        <v>0</v>
      </c>
      <c r="I179" s="37">
        <f t="shared" si="5"/>
        <v>2424</v>
      </c>
    </row>
    <row r="180" spans="1:9" ht="10" customHeight="1" x14ac:dyDescent="0.2">
      <c r="A180" s="36" t="s">
        <v>8976</v>
      </c>
      <c r="B180" s="37">
        <f>SUMIFS(JB_26BV,JB_B,1,JB_EX,"P-8a",JB_CC,"Hull, Mechanical, and Electrical",JB_H,"DDG",JB_CE,"Logistics Support Services",JB_RC,"ALT")</f>
        <v>0</v>
      </c>
      <c r="C180" s="38">
        <f>SUMIFS(JB_26BV,JB_B,1,JB_EX,"P-8a",JB_CC,"Hull, Mechanical, and Electrical",JB_H,"FFG",JB_CE,"Logistics Support Services",JB_RC,"ALT")</f>
        <v>0</v>
      </c>
      <c r="D180" s="38">
        <f>SUMIFS(JB_26BV,JB_B,1,JB_EX,"P-8a",JB_CC,"Hull, Mechanical, and Electrical",JB_H,"LPD",JB_CE,"Logistics Support Services",JB_RC,"ALT")</f>
        <v>0</v>
      </c>
      <c r="E180" s="38">
        <f>SUMIFS(JB_26BV,JB_B,1,JB_EX,"P-8a",JB_CC,"Hull, Mechanical, and Electrical",JB_H,"LHA",JB_CE,"Logistics Support Services",JB_RC,"ALT")</f>
        <v>0</v>
      </c>
      <c r="F180" s="38">
        <f>SUMIFS(JB_26BV,JB_B,1,JB_EX,"P-8a",JB_CC,"Hull, Mechanical, and Electrical",JB_H,"T-AGOS",JB_CE,"Logistics Support Services",JB_RC,"ALT")</f>
        <v>0</v>
      </c>
      <c r="G180" s="38">
        <f>SUMIFS(JB_26BV,JB_B,1,JB_EX,"P-8a",JB_CC,"Hull, Mechanical, and Electrical",JB_H,"T-AO",JB_CE,"Logistics Support Services",JB_RC,"ALT")</f>
        <v>1729</v>
      </c>
      <c r="H180" s="38">
        <f>SUMIFS(JB_26BV,JB_B,1,JB_EX,"P-8a",JB_CC,"Hull, Mechanical, and Electrical",JB_H,"T-ATS",JB_CE,"Logistics Support Services",JB_RC,"ALT")</f>
        <v>0</v>
      </c>
      <c r="I180" s="37">
        <f t="shared" si="5"/>
        <v>1729</v>
      </c>
    </row>
    <row r="181" spans="1:9" ht="10" customHeight="1" x14ac:dyDescent="0.2">
      <c r="A181" s="36" t="s">
        <v>8977</v>
      </c>
      <c r="B181" s="37">
        <f>SUMIFS(JB_26BV,JB_B,1,JB_EX,"P-8a",JB_CC,"Hull, Mechanical, and Electrical",JB_H,"DDG",JB_CE,"Material Handling Equipment",JB_RC,"ALT")</f>
        <v>0</v>
      </c>
      <c r="C181" s="38">
        <f>SUMIFS(JB_26BV,JB_B,1,JB_EX,"P-8a",JB_CC,"Hull, Mechanical, and Electrical",JB_H,"FFG",JB_CE,"Material Handling Equipment",JB_RC,"ALT")</f>
        <v>0</v>
      </c>
      <c r="D181" s="38">
        <f>SUMIFS(JB_26BV,JB_B,1,JB_EX,"P-8a",JB_CC,"Hull, Mechanical, and Electrical",JB_H,"LPD",JB_CE,"Material Handling Equipment",JB_RC,"ALT")</f>
        <v>0</v>
      </c>
      <c r="E181" s="38">
        <f>SUMIFS(JB_26BV,JB_B,1,JB_EX,"P-8a",JB_CC,"Hull, Mechanical, and Electrical",JB_H,"LHA",JB_CE,"Material Handling Equipment",JB_RC,"ALT")</f>
        <v>0</v>
      </c>
      <c r="F181" s="38">
        <f>SUMIFS(JB_26BV,JB_B,1,JB_EX,"P-8a",JB_CC,"Hull, Mechanical, and Electrical",JB_H,"T-AGOS",JB_CE,"Material Handling Equipment",JB_RC,"ALT")</f>
        <v>0</v>
      </c>
      <c r="G181" s="38">
        <f>SUMIFS(JB_26BV,JB_B,1,JB_EX,"P-8a",JB_CC,"Hull, Mechanical, and Electrical",JB_H,"T-AO",JB_CE,"Material Handling Equipment",JB_RC,"ALT")</f>
        <v>1157</v>
      </c>
      <c r="H181" s="38">
        <f>SUMIFS(JB_26BV,JB_B,1,JB_EX,"P-8a",JB_CC,"Hull, Mechanical, and Electrical",JB_H,"T-ATS",JB_CE,"Material Handling Equipment",JB_RC,"ALT")</f>
        <v>0</v>
      </c>
      <c r="I181" s="37">
        <f t="shared" si="5"/>
        <v>1157</v>
      </c>
    </row>
    <row r="182" spans="1:9" ht="10" customHeight="1" x14ac:dyDescent="0.2">
      <c r="A182" s="36" t="s">
        <v>8978</v>
      </c>
      <c r="B182" s="37">
        <f>SUMIFS(JB_26BV,JB_B,1,JB_EX,"P-8a",JB_CC,"Hull, Mechanical, and Electrical",JB_H,"DDG",JB_CE,"RIGID HULL INFLATABLE BOAT (RHIB)",JB_RC,"ALT")</f>
        <v>1100</v>
      </c>
      <c r="C182" s="38">
        <f>SUMIFS(JB_26BV,JB_B,1,JB_EX,"P-8a",JB_CC,"Hull, Mechanical, and Electrical",JB_H,"FFG",JB_CE,"RIGID HULL INFLATABLE BOAT (RHIB)",JB_RC,"ALT")</f>
        <v>0</v>
      </c>
      <c r="D182" s="38">
        <f>SUMIFS(JB_26BV,JB_B,1,JB_EX,"P-8a",JB_CC,"Hull, Mechanical, and Electrical",JB_H,"LPD",JB_CE,"RIGID HULL INFLATABLE BOAT (RHIB)",JB_RC,"ALT")</f>
        <v>0</v>
      </c>
      <c r="E182" s="38">
        <f>SUMIFS(JB_26BV,JB_B,1,JB_EX,"P-8a",JB_CC,"Hull, Mechanical, and Electrical",JB_H,"LHA",JB_CE,"RIGID HULL INFLATABLE BOAT (RHIB)",JB_RC,"ALT")</f>
        <v>0</v>
      </c>
      <c r="F182" s="38">
        <f>SUMIFS(JB_26BV,JB_B,1,JB_EX,"P-8a",JB_CC,"Hull, Mechanical, and Electrical",JB_H,"T-AGOS",JB_CE,"RIGID HULL INFLATABLE BOAT (RHIB)",JB_RC,"ALT")</f>
        <v>0</v>
      </c>
      <c r="G182" s="38">
        <f>SUMIFS(JB_26BV,JB_B,1,JB_EX,"P-8a",JB_CC,"Hull, Mechanical, and Electrical",JB_H,"T-AO",JB_CE,"RIGID HULL INFLATABLE BOAT (RHIB)",JB_RC,"ALT")</f>
        <v>0</v>
      </c>
      <c r="H182" s="38">
        <f>SUMIFS(JB_26BV,JB_B,1,JB_EX,"P-8a",JB_CC,"Hull, Mechanical, and Electrical",JB_H,"T-ATS",JB_CE,"RIGID HULL INFLATABLE BOAT (RHIB)",JB_RC,"ALT")</f>
        <v>0</v>
      </c>
      <c r="I182" s="37">
        <f t="shared" si="5"/>
        <v>1100</v>
      </c>
    </row>
    <row r="183" spans="1:9" ht="10" customHeight="1" x14ac:dyDescent="0.2">
      <c r="A183" s="36" t="s">
        <v>8979</v>
      </c>
      <c r="B183" s="37">
        <f>SUMIFS(JB_26BV,JB_B,1,JB_EX,"P-8a",JB_CC,"Hull, Mechanical, and Electrical",JB_H,"DDG",JB_CE,"Chemical Warfare Detectors",JB_RC,"ALT")</f>
        <v>0</v>
      </c>
      <c r="C183" s="38">
        <f>SUMIFS(JB_26BV,JB_B,1,JB_EX,"P-8a",JB_CC,"Hull, Mechanical, and Electrical",JB_H,"FFG",JB_CE,"Chemical Warfare Detectors",JB_RC,"ALT")</f>
        <v>0</v>
      </c>
      <c r="D183" s="38">
        <f>SUMIFS(JB_26BV,JB_B,1,JB_EX,"P-8a",JB_CC,"Hull, Mechanical, and Electrical",JB_H,"LPD",JB_CE,"Chemical Warfare Detectors",JB_RC,"ALT")</f>
        <v>1016</v>
      </c>
      <c r="E183" s="38">
        <f>SUMIFS(JB_26BV,JB_B,1,JB_EX,"P-8a",JB_CC,"Hull, Mechanical, and Electrical",JB_H,"LHA",JB_CE,"Chemical Warfare Detectors",JB_RC,"ALT")</f>
        <v>0</v>
      </c>
      <c r="F183" s="38">
        <f>SUMIFS(JB_26BV,JB_B,1,JB_EX,"P-8a",JB_CC,"Hull, Mechanical, and Electrical",JB_H,"T-AGOS",JB_CE,"Chemical Warfare Detectors",JB_RC,"ALT")</f>
        <v>0</v>
      </c>
      <c r="G183" s="38">
        <f>SUMIFS(JB_26BV,JB_B,1,JB_EX,"P-8a",JB_CC,"Hull, Mechanical, and Electrical",JB_H,"T-AO",JB_CE,"Chemical Warfare Detectors",JB_RC,"ALT")</f>
        <v>0</v>
      </c>
      <c r="H183" s="38">
        <f>SUMIFS(JB_26BV,JB_B,1,JB_EX,"P-8a",JB_CC,"Hull, Mechanical, and Electrical",JB_H,"T-ATS",JB_CE,"Chemical Warfare Detectors",JB_RC,"ALT")</f>
        <v>0</v>
      </c>
      <c r="I183" s="37">
        <f t="shared" si="5"/>
        <v>1016</v>
      </c>
    </row>
    <row r="184" spans="1:9" ht="10" customHeight="1" x14ac:dyDescent="0.2">
      <c r="A184" s="36" t="s">
        <v>8980</v>
      </c>
      <c r="B184" s="37">
        <f>SUMIFS(JB_26BV,JB_B,1,JB_EX,"P-8a",JB_CC,"Hull, Mechanical, and Electrical",JB_H,"DDG",JB_CE,"Motor Operated Pilot Valve (MOPV)",JB_RC,"ALT")</f>
        <v>0</v>
      </c>
      <c r="C184" s="38">
        <f>SUMIFS(JB_26BV,JB_B,1,JB_EX,"P-8a",JB_CC,"Hull, Mechanical, and Electrical",JB_H,"FFG",JB_CE,"Motor Operated Pilot Valve (MOPV)",JB_RC,"ALT")</f>
        <v>0</v>
      </c>
      <c r="D184" s="38">
        <f>SUMIFS(JB_26BV,JB_B,1,JB_EX,"P-8a",JB_CC,"Hull, Mechanical, and Electrical",JB_H,"LPD",JB_CE,"Motor Operated Pilot Valve (MOPV)",JB_RC,"ALT")</f>
        <v>839</v>
      </c>
      <c r="E184" s="38">
        <f>SUMIFS(JB_26BV,JB_B,1,JB_EX,"P-8a",JB_CC,"Hull, Mechanical, and Electrical",JB_H,"LHA",JB_CE,"Motor Operated Pilot Valve (MOPV)",JB_RC,"ALT")</f>
        <v>0</v>
      </c>
      <c r="F184" s="38">
        <f>SUMIFS(JB_26BV,JB_B,1,JB_EX,"P-8a",JB_CC,"Hull, Mechanical, and Electrical",JB_H,"T-AGOS",JB_CE,"Motor Operated Pilot Valve (MOPV)",JB_RC,"ALT")</f>
        <v>0</v>
      </c>
      <c r="G184" s="38">
        <f>SUMIFS(JB_26BV,JB_B,1,JB_EX,"P-8a",JB_CC,"Hull, Mechanical, and Electrical",JB_H,"T-AO",JB_CE,"Motor Operated Pilot Valve (MOPV)",JB_RC,"ALT")</f>
        <v>0</v>
      </c>
      <c r="H184" s="38">
        <f>SUMIFS(JB_26BV,JB_B,1,JB_EX,"P-8a",JB_CC,"Hull, Mechanical, and Electrical",JB_H,"T-ATS",JB_CE,"Motor Operated Pilot Valve (MOPV)",JB_RC,"ALT")</f>
        <v>0</v>
      </c>
      <c r="I184" s="37">
        <f t="shared" si="5"/>
        <v>839</v>
      </c>
    </row>
    <row r="185" spans="1:9" ht="10" customHeight="1" x14ac:dyDescent="0.2">
      <c r="A185" s="36" t="s">
        <v>8981</v>
      </c>
      <c r="B185" s="37">
        <f>SUMIFS(JB_26BV,JB_B,1,JB_EX,"P-8a",JB_CC,"Hull, Mechanical, and Electrical",JB_H,"DDG",JB_CE,"Plastic Waste Processing EQP",JB_RC,"ALT")</f>
        <v>0</v>
      </c>
      <c r="C185" s="38">
        <f>SUMIFS(JB_26BV,JB_B,1,JB_EX,"P-8a",JB_CC,"Hull, Mechanical, and Electrical",JB_H,"FFG",JB_CE,"Plastic Waste Processing EQP",JB_RC,"ALT")</f>
        <v>0</v>
      </c>
      <c r="D185" s="38">
        <f>SUMIFS(JB_26BV,JB_B,1,JB_EX,"P-8a",JB_CC,"Hull, Mechanical, and Electrical",JB_H,"LPD",JB_CE,"Plastic Waste Processing EQP",JB_RC,"ALT")</f>
        <v>836</v>
      </c>
      <c r="E185" s="38">
        <f>SUMIFS(JB_26BV,JB_B,1,JB_EX,"P-8a",JB_CC,"Hull, Mechanical, and Electrical",JB_H,"LHA",JB_CE,"Plastic Waste Processing EQP",JB_RC,"ALT")</f>
        <v>0</v>
      </c>
      <c r="F185" s="38">
        <f>SUMIFS(JB_26BV,JB_B,1,JB_EX,"P-8a",JB_CC,"Hull, Mechanical, and Electrical",JB_H,"T-AGOS",JB_CE,"Plastic Waste Processing EQP",JB_RC,"ALT")</f>
        <v>0</v>
      </c>
      <c r="G185" s="38">
        <f>SUMIFS(JB_26BV,JB_B,1,JB_EX,"P-8a",JB_CC,"Hull, Mechanical, and Electrical",JB_H,"T-AO",JB_CE,"Plastic Waste Processing EQP",JB_RC,"ALT")</f>
        <v>0</v>
      </c>
      <c r="H185" s="38">
        <f>SUMIFS(JB_26BV,JB_B,1,JB_EX,"P-8a",JB_CC,"Hull, Mechanical, and Electrical",JB_H,"T-ATS",JB_CE,"Plastic Waste Processing EQP",JB_RC,"ALT")</f>
        <v>0</v>
      </c>
      <c r="I185" s="37">
        <f t="shared" si="5"/>
        <v>836</v>
      </c>
    </row>
    <row r="186" spans="1:9" ht="10" customHeight="1" x14ac:dyDescent="0.2">
      <c r="A186" s="36" t="s">
        <v>8982</v>
      </c>
      <c r="B186" s="37">
        <f>SUMIFS(JB_26BV,JB_B,1,JB_EX,"P-8a",JB_CC,"Hull, Mechanical, and Electrical",JB_H,"DDG",JB_CE,"Boats (Rigid Inflatable Boat, 7 meter)",JB_RC,"ALT")</f>
        <v>0</v>
      </c>
      <c r="C186" s="38">
        <f>SUMIFS(JB_26BV,JB_B,1,JB_EX,"P-8a",JB_CC,"Hull, Mechanical, and Electrical",JB_H,"FFG",JB_CE,"Boats (Rigid Inflatable Boat, 7 meter)",JB_RC,"ALT")</f>
        <v>0</v>
      </c>
      <c r="D186" s="38">
        <f>SUMIFS(JB_26BV,JB_B,1,JB_EX,"P-8a",JB_CC,"Hull, Mechanical, and Electrical",JB_H,"LPD",JB_CE,"Boats (Rigid Inflatable Boat, 7 meter)",JB_RC,"ALT")</f>
        <v>722</v>
      </c>
      <c r="E186" s="38">
        <f>SUMIFS(JB_26BV,JB_B,1,JB_EX,"P-8a",JB_CC,"Hull, Mechanical, and Electrical",JB_H,"LHA",JB_CE,"Boats (Rigid Inflatable Boat, 7 meter)",JB_RC,"ALT")</f>
        <v>0</v>
      </c>
      <c r="F186" s="38">
        <f>SUMIFS(JB_26BV,JB_B,1,JB_EX,"P-8a",JB_CC,"Hull, Mechanical, and Electrical",JB_H,"T-AGOS",JB_CE,"Boats (Rigid Inflatable Boat, 7 meter)",JB_RC,"ALT")</f>
        <v>0</v>
      </c>
      <c r="G186" s="38">
        <f>SUMIFS(JB_26BV,JB_B,1,JB_EX,"P-8a",JB_CC,"Hull, Mechanical, and Electrical",JB_H,"T-AO",JB_CE,"Boats (Rigid Inflatable Boat, 7 meter)",JB_RC,"ALT")</f>
        <v>0</v>
      </c>
      <c r="H186" s="38">
        <f>SUMIFS(JB_26BV,JB_B,1,JB_EX,"P-8a",JB_CC,"Hull, Mechanical, and Electrical",JB_H,"T-ATS",JB_CE,"Boats (Rigid Inflatable Boat, 7 meter)",JB_RC,"ALT")</f>
        <v>0</v>
      </c>
      <c r="I186" s="37">
        <f t="shared" si="5"/>
        <v>722</v>
      </c>
    </row>
    <row r="187" spans="1:9" ht="10" customHeight="1" x14ac:dyDescent="0.2">
      <c r="A187" s="36" t="s">
        <v>8983</v>
      </c>
      <c r="B187" s="37">
        <f>SUMIFS(JB_26BV,JB_B,1,JB_EX,"P-8a",JB_CC,"Hull, Mechanical, and Electrical",JB_H,"DDG",JB_CE,"Military Payroll System",JB_RC,"ALT")</f>
        <v>0</v>
      </c>
      <c r="C187" s="38">
        <f>SUMIFS(JB_26BV,JB_B,1,JB_EX,"P-8a",JB_CC,"Hull, Mechanical, and Electrical",JB_H,"FFG",JB_CE,"Military Payroll System",JB_RC,"ALT")</f>
        <v>0</v>
      </c>
      <c r="D187" s="38">
        <f>SUMIFS(JB_26BV,JB_B,1,JB_EX,"P-8a",JB_CC,"Hull, Mechanical, and Electrical",JB_H,"LPD",JB_CE,"Military Payroll System",JB_RC,"ALT")</f>
        <v>686</v>
      </c>
      <c r="E187" s="38">
        <f>SUMIFS(JB_26BV,JB_B,1,JB_EX,"P-8a",JB_CC,"Hull, Mechanical, and Electrical",JB_H,"LHA",JB_CE,"Military Payroll System",JB_RC,"ALT")</f>
        <v>0</v>
      </c>
      <c r="F187" s="38">
        <f>SUMIFS(JB_26BV,JB_B,1,JB_EX,"P-8a",JB_CC,"Hull, Mechanical, and Electrical",JB_H,"T-AGOS",JB_CE,"Military Payroll System",JB_RC,"ALT")</f>
        <v>0</v>
      </c>
      <c r="G187" s="38">
        <f>SUMIFS(JB_26BV,JB_B,1,JB_EX,"P-8a",JB_CC,"Hull, Mechanical, and Electrical",JB_H,"T-AO",JB_CE,"Military Payroll System",JB_RC,"ALT")</f>
        <v>0</v>
      </c>
      <c r="H187" s="38">
        <f>SUMIFS(JB_26BV,JB_B,1,JB_EX,"P-8a",JB_CC,"Hull, Mechanical, and Electrical",JB_H,"T-ATS",JB_CE,"Military Payroll System",JB_RC,"ALT")</f>
        <v>0</v>
      </c>
      <c r="I187" s="37">
        <f t="shared" si="5"/>
        <v>686</v>
      </c>
    </row>
    <row r="188" spans="1:9" ht="10" customHeight="1" x14ac:dyDescent="0.2">
      <c r="A188" s="36" t="s">
        <v>8984</v>
      </c>
      <c r="B188" s="37">
        <f>SUMIFS(JB_26BV,JB_B,1,JB_EX,"P-8a",JB_CC,"Hull, Mechanical, and Electrical",JB_H,"DDG",JB_CE,"Improved Point Detection System - Lifecycle Replacement (IPDS-LR)",JB_RC,"ALT")</f>
        <v>0</v>
      </c>
      <c r="C188" s="38">
        <f>SUMIFS(JB_26BV,JB_B,1,JB_EX,"P-8a",JB_CC,"Hull, Mechanical, and Electrical",JB_H,"FFG",JB_CE,"Improved Point Detection System - Lifecycle Replacement (IPDS-LR)",JB_RC,"ALT")</f>
        <v>0</v>
      </c>
      <c r="D188" s="38">
        <f>SUMIFS(JB_26BV,JB_B,1,JB_EX,"P-8a",JB_CC,"Hull, Mechanical, and Electrical",JB_H,"LPD",JB_CE,"Improved Point Detection System - Lifecycle Replacement (IPDS-LR)",JB_RC,"ALT")</f>
        <v>0</v>
      </c>
      <c r="E188" s="38">
        <f>SUMIFS(JB_26BV,JB_B,1,JB_EX,"P-8a",JB_CC,"Hull, Mechanical, and Electrical",JB_H,"LHA",JB_CE,"Improved Point Detection System - Lifecycle Replacement (IPDS-LR)",JB_RC,"ALT")</f>
        <v>0</v>
      </c>
      <c r="F188" s="38">
        <f>SUMIFS(JB_26BV,JB_B,1,JB_EX,"P-8a",JB_CC,"Hull, Mechanical, and Electrical",JB_H,"T-AGOS",JB_CE,"Improved Point Detection System - Lifecycle Replacement (IPDS-LR)",JB_RC,"ALT")</f>
        <v>0</v>
      </c>
      <c r="G188" s="38">
        <f>SUMIFS(JB_26BV,JB_B,1,JB_EX,"P-8a",JB_CC,"Hull, Mechanical, and Electrical",JB_H,"T-AO",JB_CE,"Improved Point Detection System - Lifecycle Replacement (IPDS-LR)",JB_RC,"ALT")</f>
        <v>660</v>
      </c>
      <c r="H188" s="38">
        <f>SUMIFS(JB_26BV,JB_B,1,JB_EX,"P-8a",JB_CC,"Hull, Mechanical, and Electrical",JB_H,"T-ATS",JB_CE,"Improved Point Detection System - Lifecycle Replacement (IPDS-LR)",JB_RC,"ALT")</f>
        <v>0</v>
      </c>
      <c r="I188" s="37">
        <f t="shared" si="5"/>
        <v>660</v>
      </c>
    </row>
    <row r="189" spans="1:9" ht="10" customHeight="1" x14ac:dyDescent="0.2">
      <c r="A189" s="36" t="s">
        <v>8985</v>
      </c>
      <c r="B189" s="37">
        <f>SUMIFS(JB_26BV,JB_B,1,JB_EX,"P-8a",JB_CC,"Hull, Mechanical, and Electrical",JB_H,"DDG",JB_CE,"Shipboard Automated Maintenance Module (SAMM)",JB_RC,"ALT")</f>
        <v>0</v>
      </c>
      <c r="C189" s="38">
        <f>SUMIFS(JB_26BV,JB_B,1,JB_EX,"P-8a",JB_CC,"Hull, Mechanical, and Electrical",JB_H,"FFG",JB_CE,"Shipboard Automated Maintenance Module (SAMM)",JB_RC,"ALT")</f>
        <v>0</v>
      </c>
      <c r="D189" s="38">
        <f>SUMIFS(JB_26BV,JB_B,1,JB_EX,"P-8a",JB_CC,"Hull, Mechanical, and Electrical",JB_H,"LPD",JB_CE,"Shipboard Automated Maintenance Module (SAMM)",JB_RC,"ALT")</f>
        <v>0</v>
      </c>
      <c r="E189" s="38">
        <f>SUMIFS(JB_26BV,JB_B,1,JB_EX,"P-8a",JB_CC,"Hull, Mechanical, and Electrical",JB_H,"LHA",JB_CE,"Shipboard Automated Maintenance Module (SAMM)",JB_RC,"ALT")</f>
        <v>0</v>
      </c>
      <c r="F189" s="38">
        <f>SUMIFS(JB_26BV,JB_B,1,JB_EX,"P-8a",JB_CC,"Hull, Mechanical, and Electrical",JB_H,"T-AGOS",JB_CE,"Shipboard Automated Maintenance Module (SAMM)",JB_RC,"ALT")</f>
        <v>0</v>
      </c>
      <c r="G189" s="38">
        <f>SUMIFS(JB_26BV,JB_B,1,JB_EX,"P-8a",JB_CC,"Hull, Mechanical, and Electrical",JB_H,"T-AO",JB_CE,"Shipboard Automated Maintenance Module (SAMM)",JB_RC,"ALT")</f>
        <v>475</v>
      </c>
      <c r="H189" s="38">
        <f>SUMIFS(JB_26BV,JB_B,1,JB_EX,"P-8a",JB_CC,"Hull, Mechanical, and Electrical",JB_H,"T-ATS",JB_CE,"Shipboard Automated Maintenance Module (SAMM)",JB_RC,"ALT")</f>
        <v>0</v>
      </c>
      <c r="I189" s="37">
        <f t="shared" si="5"/>
        <v>475</v>
      </c>
    </row>
    <row r="190" spans="1:9" ht="10" customHeight="1" x14ac:dyDescent="0.2">
      <c r="A190" s="36" t="s">
        <v>8986</v>
      </c>
      <c r="B190" s="37">
        <f>SUMIFS(JB_26BV,JB_B,1,JB_EX,"P-8a",JB_CC,"Hull, Mechanical, and Electrical",JB_H,"DDG",JB_CE,"Oily Water Separator",JB_RC,"ALT")</f>
        <v>0</v>
      </c>
      <c r="C190" s="38">
        <f>SUMIFS(JB_26BV,JB_B,1,JB_EX,"P-8a",JB_CC,"Hull, Mechanical, and Electrical",JB_H,"FFG",JB_CE,"Oily Water Separator",JB_RC,"ALT")</f>
        <v>0</v>
      </c>
      <c r="D190" s="38">
        <f>SUMIFS(JB_26BV,JB_B,1,JB_EX,"P-8a",JB_CC,"Hull, Mechanical, and Electrical",JB_H,"LPD",JB_CE,"Oily Water Separator",JB_RC,"ALT")</f>
        <v>345</v>
      </c>
      <c r="E190" s="38">
        <f>SUMIFS(JB_26BV,JB_B,1,JB_EX,"P-8a",JB_CC,"Hull, Mechanical, and Electrical",JB_H,"LHA",JB_CE,"Oily Water Separator",JB_RC,"ALT")</f>
        <v>0</v>
      </c>
      <c r="F190" s="38">
        <f>SUMIFS(JB_26BV,JB_B,1,JB_EX,"P-8a",JB_CC,"Hull, Mechanical, and Electrical",JB_H,"T-AGOS",JB_CE,"Oily Water Separator",JB_RC,"ALT")</f>
        <v>0</v>
      </c>
      <c r="G190" s="38">
        <f>SUMIFS(JB_26BV,JB_B,1,JB_EX,"P-8a",JB_CC,"Hull, Mechanical, and Electrical",JB_H,"T-AO",JB_CE,"Oily Water Separator",JB_RC,"ALT")</f>
        <v>0</v>
      </c>
      <c r="H190" s="38">
        <f>SUMIFS(JB_26BV,JB_B,1,JB_EX,"P-8a",JB_CC,"Hull, Mechanical, and Electrical",JB_H,"T-ATS",JB_CE,"Oily Water Separator",JB_RC,"ALT")</f>
        <v>0</v>
      </c>
      <c r="I190" s="37">
        <f t="shared" si="5"/>
        <v>345</v>
      </c>
    </row>
    <row r="191" spans="1:9" ht="10" customHeight="1" x14ac:dyDescent="0.2">
      <c r="A191" s="16" t="s">
        <v>370</v>
      </c>
      <c r="B191" s="35">
        <f>SUMIFS(JB_26BV,JB_B,1,JB_EX,"P-5c",JB_CC,"Ordnance",JB_H,"DDG",JB_RC,"ALT")</f>
        <v>3651082</v>
      </c>
      <c r="C191" s="17">
        <f>SUMIFS(JB_26BV,JB_B,1,JB_EX,"P-5c",JB_CC,"Ordnance",JB_H,"FFG",JB_RC,"ALT")</f>
        <v>121197</v>
      </c>
      <c r="D191" s="17">
        <f>SUMIFS(JB_26BV,JB_B,1,JB_EX,"P-5c",JB_CC,"Ordnance",JB_H,"LPD",JB_RC,"ALT")</f>
        <v>101472</v>
      </c>
      <c r="E191" s="17">
        <f>SUMIFS(JB_26BV,JB_B,1,JB_EX,"P-5c",JB_CC,"Ordnance",JB_H,"LHA",JB_RC,"ALT")</f>
        <v>168742</v>
      </c>
      <c r="F191" s="17">
        <f>SUMIFS(JB_26BV,JB_B,1,JB_EX,"P-5c",JB_CC,"Ordnance",JB_H,"T-AGOS",JB_RC,"ALT")</f>
        <v>0</v>
      </c>
      <c r="G191" s="17">
        <f>SUMIFS(JB_26BV,JB_B,1,JB_EX,"P-5c",JB_CC,"Ordnance",JB_H,"T-AO",JB_RC,"ALT")</f>
        <v>0</v>
      </c>
      <c r="H191" s="17">
        <f>SUMIFS(JB_26BV,JB_B,1,JB_EX,"P-5c",JB_CC,"Ordnance",JB_H,"T-ATS",JB_RC,"ALT")</f>
        <v>0</v>
      </c>
      <c r="I191" s="35">
        <f t="shared" si="5"/>
        <v>4042493</v>
      </c>
    </row>
    <row r="192" spans="1:9" ht="10" customHeight="1" x14ac:dyDescent="0.2">
      <c r="A192" s="36" t="s">
        <v>8987</v>
      </c>
      <c r="B192" s="37">
        <f>SUMIFS(JB_26BV,JB_B,1,JB_EX,"P-8a",JB_CC,"Ordnance",JB_H,"DDG",JB_CE,"AN/SPY-6(V)1 (AMDR)",JB_RC,"ALT")</f>
        <v>692876</v>
      </c>
      <c r="C192" s="38">
        <f>SUMIFS(JB_26BV,JB_B,1,JB_EX,"P-8a",JB_CC,"Ordnance",JB_H,"FFG",JB_CE,"AN/SPY-6(V)1 (AMDR)",JB_RC,"ALT")</f>
        <v>0</v>
      </c>
      <c r="D192" s="38">
        <f>SUMIFS(JB_26BV,JB_B,1,JB_EX,"P-8a",JB_CC,"Ordnance",JB_H,"LPD",JB_CE,"AN/SPY-6(V)1 (AMDR)",JB_RC,"ALT")</f>
        <v>0</v>
      </c>
      <c r="E192" s="38">
        <f>SUMIFS(JB_26BV,JB_B,1,JB_EX,"P-8a",JB_CC,"Ordnance",JB_H,"LHA",JB_CE,"AN/SPY-6(V)1 (AMDR)",JB_RC,"ALT")</f>
        <v>0</v>
      </c>
      <c r="F192" s="38">
        <f>SUMIFS(JB_26BV,JB_B,1,JB_EX,"P-8a",JB_CC,"Ordnance",JB_H,"T-AGOS",JB_CE,"AN/SPY-6(V)1 (AMDR)",JB_RC,"ALT")</f>
        <v>0</v>
      </c>
      <c r="G192" s="38">
        <f>SUMIFS(JB_26BV,JB_B,1,JB_EX,"P-8a",JB_CC,"Ordnance",JB_H,"T-AO",JB_CE,"AN/SPY-6(V)1 (AMDR)",JB_RC,"ALT")</f>
        <v>0</v>
      </c>
      <c r="H192" s="38">
        <f>SUMIFS(JB_26BV,JB_B,1,JB_EX,"P-8a",JB_CC,"Ordnance",JB_H,"T-ATS",JB_CE,"AN/SPY-6(V)1 (AMDR)",JB_RC,"ALT")</f>
        <v>0</v>
      </c>
      <c r="I192" s="37">
        <f t="shared" si="5"/>
        <v>692876</v>
      </c>
    </row>
    <row r="193" spans="1:9" ht="10" customHeight="1" x14ac:dyDescent="0.2">
      <c r="A193" s="36" t="s">
        <v>8988</v>
      </c>
      <c r="B193" s="37">
        <f>SUMIFS(JB_26BV,JB_B,1,JB_EX,"P-8a",JB_CC,"Ordnance",JB_H,"DDG",JB_CE,"AEGIS WEAPON SYSTEM (MK-7)",JB_RC,"ALT")</f>
        <v>465717</v>
      </c>
      <c r="C193" s="38">
        <f>SUMIFS(JB_26BV,JB_B,1,JB_EX,"P-8a",JB_CC,"Ordnance",JB_H,"FFG",JB_CE,"AEGIS WEAPON SYSTEM (MK-7)",JB_RC,"ALT")</f>
        <v>0</v>
      </c>
      <c r="D193" s="38">
        <f>SUMIFS(JB_26BV,JB_B,1,JB_EX,"P-8a",JB_CC,"Ordnance",JB_H,"LPD",JB_CE,"AEGIS WEAPON SYSTEM (MK-7)",JB_RC,"ALT")</f>
        <v>0</v>
      </c>
      <c r="E193" s="38">
        <f>SUMIFS(JB_26BV,JB_B,1,JB_EX,"P-8a",JB_CC,"Ordnance",JB_H,"LHA",JB_CE,"AEGIS WEAPON SYSTEM (MK-7)",JB_RC,"ALT")</f>
        <v>0</v>
      </c>
      <c r="F193" s="38">
        <f>SUMIFS(JB_26BV,JB_B,1,JB_EX,"P-8a",JB_CC,"Ordnance",JB_H,"T-AGOS",JB_CE,"AEGIS WEAPON SYSTEM (MK-7)",JB_RC,"ALT")</f>
        <v>0</v>
      </c>
      <c r="G193" s="38">
        <f>SUMIFS(JB_26BV,JB_B,1,JB_EX,"P-8a",JB_CC,"Ordnance",JB_H,"T-AO",JB_CE,"AEGIS WEAPON SYSTEM (MK-7)",JB_RC,"ALT")</f>
        <v>0</v>
      </c>
      <c r="H193" s="38">
        <f>SUMIFS(JB_26BV,JB_B,1,JB_EX,"P-8a",JB_CC,"Ordnance",JB_H,"T-ATS",JB_CE,"AEGIS WEAPON SYSTEM (MK-7)",JB_RC,"ALT")</f>
        <v>0</v>
      </c>
      <c r="I193" s="37">
        <f t="shared" ref="I193:I224" si="6">SUM(B193:H193)</f>
        <v>465717</v>
      </c>
    </row>
    <row r="194" spans="1:9" ht="10" customHeight="1" x14ac:dyDescent="0.2">
      <c r="A194" s="36" t="s">
        <v>8989</v>
      </c>
      <c r="B194" s="37">
        <f>SUMIFS(JB_26BV,JB_B,1,JB_EX,"P-8a",JB_CC,"Ordnance",JB_H,"DDG",JB_CE,"ADVANCED GUN SYSTEM (AGS)",JB_RC,"ALT")</f>
        <v>248596</v>
      </c>
      <c r="C194" s="38">
        <f>SUMIFS(JB_26BV,JB_B,1,JB_EX,"P-8a",JB_CC,"Ordnance",JB_H,"FFG",JB_CE,"ADVANCED GUN SYSTEM (AGS)",JB_RC,"ALT")</f>
        <v>0</v>
      </c>
      <c r="D194" s="38">
        <f>SUMIFS(JB_26BV,JB_B,1,JB_EX,"P-8a",JB_CC,"Ordnance",JB_H,"LPD",JB_CE,"ADVANCED GUN SYSTEM (AGS)",JB_RC,"ALT")</f>
        <v>0</v>
      </c>
      <c r="E194" s="38">
        <f>SUMIFS(JB_26BV,JB_B,1,JB_EX,"P-8a",JB_CC,"Ordnance",JB_H,"LHA",JB_CE,"ADVANCED GUN SYSTEM (AGS)",JB_RC,"ALT")</f>
        <v>0</v>
      </c>
      <c r="F194" s="38">
        <f>SUMIFS(JB_26BV,JB_B,1,JB_EX,"P-8a",JB_CC,"Ordnance",JB_H,"T-AGOS",JB_CE,"ADVANCED GUN SYSTEM (AGS)",JB_RC,"ALT")</f>
        <v>0</v>
      </c>
      <c r="G194" s="38">
        <f>SUMIFS(JB_26BV,JB_B,1,JB_EX,"P-8a",JB_CC,"Ordnance",JB_H,"T-AO",JB_CE,"ADVANCED GUN SYSTEM (AGS)",JB_RC,"ALT")</f>
        <v>0</v>
      </c>
      <c r="H194" s="38">
        <f>SUMIFS(JB_26BV,JB_B,1,JB_EX,"P-8a",JB_CC,"Ordnance",JB_H,"T-ATS",JB_CE,"ADVANCED GUN SYSTEM (AGS)",JB_RC,"ALT")</f>
        <v>0</v>
      </c>
      <c r="I194" s="37">
        <f t="shared" si="6"/>
        <v>248596</v>
      </c>
    </row>
    <row r="195" spans="1:9" ht="10" customHeight="1" x14ac:dyDescent="0.2">
      <c r="A195" s="36" t="s">
        <v>8990</v>
      </c>
      <c r="B195" s="37">
        <f>SUMIFS(JB_26BV,JB_B,1,JB_EX,"P-8a",JB_CC,"Ordnance",JB_H,"DDG",JB_CE,"VLS MK 41",JB_RC,"ALT")</f>
        <v>219986</v>
      </c>
      <c r="C195" s="38">
        <f>SUMIFS(JB_26BV,JB_B,1,JB_EX,"P-8a",JB_CC,"Ordnance",JB_H,"FFG",JB_CE,"VLS MK 41",JB_RC,"ALT")</f>
        <v>0</v>
      </c>
      <c r="D195" s="38">
        <f>SUMIFS(JB_26BV,JB_B,1,JB_EX,"P-8a",JB_CC,"Ordnance",JB_H,"LPD",JB_CE,"VLS MK 41",JB_RC,"ALT")</f>
        <v>0</v>
      </c>
      <c r="E195" s="38">
        <f>SUMIFS(JB_26BV,JB_B,1,JB_EX,"P-8a",JB_CC,"Ordnance",JB_H,"LHA",JB_CE,"VLS MK 41",JB_RC,"ALT")</f>
        <v>0</v>
      </c>
      <c r="F195" s="38">
        <f>SUMIFS(JB_26BV,JB_B,1,JB_EX,"P-8a",JB_CC,"Ordnance",JB_H,"T-AGOS",JB_CE,"VLS MK 41",JB_RC,"ALT")</f>
        <v>0</v>
      </c>
      <c r="G195" s="38">
        <f>SUMIFS(JB_26BV,JB_B,1,JB_EX,"P-8a",JB_CC,"Ordnance",JB_H,"T-AO",JB_CE,"VLS MK 41",JB_RC,"ALT")</f>
        <v>0</v>
      </c>
      <c r="H195" s="38">
        <f>SUMIFS(JB_26BV,JB_B,1,JB_EX,"P-8a",JB_CC,"Ordnance",JB_H,"T-ATS",JB_CE,"VLS MK 41",JB_RC,"ALT")</f>
        <v>0</v>
      </c>
      <c r="I195" s="37">
        <f t="shared" si="6"/>
        <v>219986</v>
      </c>
    </row>
    <row r="196" spans="1:9" ht="10" customHeight="1" x14ac:dyDescent="0.2">
      <c r="A196" s="36" t="s">
        <v>8991</v>
      </c>
      <c r="B196" s="37">
        <f>SUMIFS(JB_26BV,JB_B,1,JB_EX,"P-8a",JB_CC,"Ordnance",JB_H,"DDG",JB_CE,"MISC. ORDNANCE",JB_RC,"ALT")</f>
        <v>178020</v>
      </c>
      <c r="C196" s="38">
        <f>SUMIFS(JB_26BV,JB_B,1,JB_EX,"P-8a",JB_CC,"Ordnance",JB_H,"FFG",JB_CE,"MISC. ORDNANCE",JB_RC,"ALT")</f>
        <v>0</v>
      </c>
      <c r="D196" s="38">
        <f>SUMIFS(JB_26BV,JB_B,1,JB_EX,"P-8a",JB_CC,"Ordnance",JB_H,"LPD",JB_CE,"MISC. ORDNANCE",JB_RC,"ALT")</f>
        <v>0</v>
      </c>
      <c r="E196" s="38">
        <f>SUMIFS(JB_26BV,JB_B,1,JB_EX,"P-8a",JB_CC,"Ordnance",JB_H,"LHA",JB_CE,"MISC. ORDNANCE",JB_RC,"ALT")</f>
        <v>0</v>
      </c>
      <c r="F196" s="38">
        <f>SUMIFS(JB_26BV,JB_B,1,JB_EX,"P-8a",JB_CC,"Ordnance",JB_H,"T-AGOS",JB_CE,"MISC. ORDNANCE",JB_RC,"ALT")</f>
        <v>0</v>
      </c>
      <c r="G196" s="38">
        <f>SUMIFS(JB_26BV,JB_B,1,JB_EX,"P-8a",JB_CC,"Ordnance",JB_H,"T-AO",JB_CE,"MISC. ORDNANCE",JB_RC,"ALT")</f>
        <v>0</v>
      </c>
      <c r="H196" s="38">
        <f>SUMIFS(JB_26BV,JB_B,1,JB_EX,"P-8a",JB_CC,"Ordnance",JB_H,"T-ATS",JB_CE,"MISC. ORDNANCE",JB_RC,"ALT")</f>
        <v>0</v>
      </c>
      <c r="I196" s="37">
        <f t="shared" si="6"/>
        <v>178020</v>
      </c>
    </row>
    <row r="197" spans="1:9" ht="10" customHeight="1" x14ac:dyDescent="0.2">
      <c r="A197" s="36" t="s">
        <v>8992</v>
      </c>
      <c r="B197" s="37">
        <f>SUMIFS(JB_26BV,JB_B,1,JB_EX,"P-8a",JB_CC,"Ordnance",JB_H,"DDG",JB_CE,"MK 45 Light Weight Gun (LWG)",JB_RC,"ALT")</f>
        <v>90752</v>
      </c>
      <c r="C197" s="38">
        <f>SUMIFS(JB_26BV,JB_B,1,JB_EX,"P-8a",JB_CC,"Ordnance",JB_H,"FFG",JB_CE,"MK 45 Light Weight Gun (LWG)",JB_RC,"ALT")</f>
        <v>0</v>
      </c>
      <c r="D197" s="38">
        <f>SUMIFS(JB_26BV,JB_B,1,JB_EX,"P-8a",JB_CC,"Ordnance",JB_H,"LPD",JB_CE,"MK 45 Light Weight Gun (LWG)",JB_RC,"ALT")</f>
        <v>0</v>
      </c>
      <c r="E197" s="38">
        <f>SUMIFS(JB_26BV,JB_B,1,JB_EX,"P-8a",JB_CC,"Ordnance",JB_H,"LHA",JB_CE,"MK 45 Light Weight Gun (LWG)",JB_RC,"ALT")</f>
        <v>0</v>
      </c>
      <c r="F197" s="38">
        <f>SUMIFS(JB_26BV,JB_B,1,JB_EX,"P-8a",JB_CC,"Ordnance",JB_H,"T-AGOS",JB_CE,"MK 45 Light Weight Gun (LWG)",JB_RC,"ALT")</f>
        <v>0</v>
      </c>
      <c r="G197" s="38">
        <f>SUMIFS(JB_26BV,JB_B,1,JB_EX,"P-8a",JB_CC,"Ordnance",JB_H,"T-AO",JB_CE,"MK 45 Light Weight Gun (LWG)",JB_RC,"ALT")</f>
        <v>0</v>
      </c>
      <c r="H197" s="38">
        <f>SUMIFS(JB_26BV,JB_B,1,JB_EX,"P-8a",JB_CC,"Ordnance",JB_H,"T-ATS",JB_CE,"MK 45 Light Weight Gun (LWG)",JB_RC,"ALT")</f>
        <v>0</v>
      </c>
      <c r="I197" s="37">
        <f t="shared" si="6"/>
        <v>90752</v>
      </c>
    </row>
    <row r="198" spans="1:9" ht="10" customHeight="1" x14ac:dyDescent="0.2">
      <c r="A198" s="36" t="s">
        <v>8993</v>
      </c>
      <c r="B198" s="37">
        <f>SUMIFS(JB_26BV,JB_B,1,JB_EX,"P-8a",JB_CC,"Ordnance",JB_H,"DDG",JB_CE,"MK 41 Vertical Launch System (VLS)- 32 Cell",JB_RC,"ALT")</f>
        <v>0</v>
      </c>
      <c r="C198" s="38">
        <f>SUMIFS(JB_26BV,JB_B,1,JB_EX,"P-8a",JB_CC,"Ordnance",JB_H,"FFG",JB_CE,"MK 41 Vertical Launch System (VLS)- 32 Cell",JB_RC,"ALT")</f>
        <v>53315</v>
      </c>
      <c r="D198" s="38">
        <f>SUMIFS(JB_26BV,JB_B,1,JB_EX,"P-8a",JB_CC,"Ordnance",JB_H,"LPD",JB_CE,"MK 41 Vertical Launch System (VLS)- 32 Cell",JB_RC,"ALT")</f>
        <v>0</v>
      </c>
      <c r="E198" s="38">
        <f>SUMIFS(JB_26BV,JB_B,1,JB_EX,"P-8a",JB_CC,"Ordnance",JB_H,"LHA",JB_CE,"MK 41 Vertical Launch System (VLS)- 32 Cell",JB_RC,"ALT")</f>
        <v>0</v>
      </c>
      <c r="F198" s="38">
        <f>SUMIFS(JB_26BV,JB_B,1,JB_EX,"P-8a",JB_CC,"Ordnance",JB_H,"T-AGOS",JB_CE,"MK 41 Vertical Launch System (VLS)- 32 Cell",JB_RC,"ALT")</f>
        <v>0</v>
      </c>
      <c r="G198" s="38">
        <f>SUMIFS(JB_26BV,JB_B,1,JB_EX,"P-8a",JB_CC,"Ordnance",JB_H,"T-AO",JB_CE,"MK 41 Vertical Launch System (VLS)- 32 Cell",JB_RC,"ALT")</f>
        <v>0</v>
      </c>
      <c r="H198" s="38">
        <f>SUMIFS(JB_26BV,JB_B,1,JB_EX,"P-8a",JB_CC,"Ordnance",JB_H,"T-ATS",JB_CE,"MK 41 Vertical Launch System (VLS)- 32 Cell",JB_RC,"ALT")</f>
        <v>0</v>
      </c>
      <c r="I198" s="37">
        <f t="shared" si="6"/>
        <v>53315</v>
      </c>
    </row>
    <row r="199" spans="1:9" ht="10" customHeight="1" x14ac:dyDescent="0.2">
      <c r="A199" s="36" t="s">
        <v>8994</v>
      </c>
      <c r="B199" s="37">
        <f>SUMIFS(JB_26BV,JB_B,1,JB_EX,"P-8a",JB_CC,"Ordnance",JB_H,"DDG",JB_CE,"MK 37 TOMAHAWK",JB_RC,"ALT")</f>
        <v>51003</v>
      </c>
      <c r="C199" s="38">
        <f>SUMIFS(JB_26BV,JB_B,1,JB_EX,"P-8a",JB_CC,"Ordnance",JB_H,"FFG",JB_CE,"MK 37 TOMAHAWK",JB_RC,"ALT")</f>
        <v>0</v>
      </c>
      <c r="D199" s="38">
        <f>SUMIFS(JB_26BV,JB_B,1,JB_EX,"P-8a",JB_CC,"Ordnance",JB_H,"LPD",JB_CE,"MK 37 TOMAHAWK",JB_RC,"ALT")</f>
        <v>0</v>
      </c>
      <c r="E199" s="38">
        <f>SUMIFS(JB_26BV,JB_B,1,JB_EX,"P-8a",JB_CC,"Ordnance",JB_H,"LHA",JB_CE,"MK 37 TOMAHAWK",JB_RC,"ALT")</f>
        <v>0</v>
      </c>
      <c r="F199" s="38">
        <f>SUMIFS(JB_26BV,JB_B,1,JB_EX,"P-8a",JB_CC,"Ordnance",JB_H,"T-AGOS",JB_CE,"MK 37 TOMAHAWK",JB_RC,"ALT")</f>
        <v>0</v>
      </c>
      <c r="G199" s="38">
        <f>SUMIFS(JB_26BV,JB_B,1,JB_EX,"P-8a",JB_CC,"Ordnance",JB_H,"T-AO",JB_CE,"MK 37 TOMAHAWK",JB_RC,"ALT")</f>
        <v>0</v>
      </c>
      <c r="H199" s="38">
        <f>SUMIFS(JB_26BV,JB_B,1,JB_EX,"P-8a",JB_CC,"Ordnance",JB_H,"T-ATS",JB_CE,"MK 37 TOMAHAWK",JB_RC,"ALT")</f>
        <v>0</v>
      </c>
      <c r="I199" s="37">
        <f t="shared" si="6"/>
        <v>51003</v>
      </c>
    </row>
    <row r="200" spans="1:9" ht="10" customHeight="1" x14ac:dyDescent="0.2">
      <c r="A200" s="36" t="s">
        <v>8995</v>
      </c>
      <c r="B200" s="37">
        <f>SUMIFS(JB_26BV,JB_B,1,JB_EX,"P-8a",JB_CC,"Ordnance",JB_H,"DDG",JB_CE,"EASR",JB_RC,"ALT")</f>
        <v>0</v>
      </c>
      <c r="C200" s="38">
        <f>SUMIFS(JB_26BV,JB_B,1,JB_EX,"P-8a",JB_CC,"Ordnance",JB_H,"FFG",JB_CE,"EASR",JB_RC,"ALT")</f>
        <v>0</v>
      </c>
      <c r="D200" s="38">
        <f>SUMIFS(JB_26BV,JB_B,1,JB_EX,"P-8a",JB_CC,"Ordnance",JB_H,"LPD",JB_CE,"EASR",JB_RC,"ALT")</f>
        <v>41004</v>
      </c>
      <c r="E200" s="38">
        <f>SUMIFS(JB_26BV,JB_B,1,JB_EX,"P-8a",JB_CC,"Ordnance",JB_H,"LHA",JB_CE,"EASR",JB_RC,"ALT")</f>
        <v>0</v>
      </c>
      <c r="F200" s="38">
        <f>SUMIFS(JB_26BV,JB_B,1,JB_EX,"P-8a",JB_CC,"Ordnance",JB_H,"T-AGOS",JB_CE,"EASR",JB_RC,"ALT")</f>
        <v>0</v>
      </c>
      <c r="G200" s="38">
        <f>SUMIFS(JB_26BV,JB_B,1,JB_EX,"P-8a",JB_CC,"Ordnance",JB_H,"T-AO",JB_CE,"EASR",JB_RC,"ALT")</f>
        <v>0</v>
      </c>
      <c r="H200" s="38">
        <f>SUMIFS(JB_26BV,JB_B,1,JB_EX,"P-8a",JB_CC,"Ordnance",JB_H,"T-ATS",JB_CE,"EASR",JB_RC,"ALT")</f>
        <v>0</v>
      </c>
      <c r="I200" s="37">
        <f t="shared" si="6"/>
        <v>41004</v>
      </c>
    </row>
    <row r="201" spans="1:9" ht="10" customHeight="1" x14ac:dyDescent="0.2">
      <c r="A201" s="36" t="s">
        <v>8875</v>
      </c>
      <c r="B201" s="37">
        <f>SUMIFS(JB_26BV,JB_B,1,JB_EX,"P-8a",JB_CC,"Ordnance",JB_H,"DDG",JB_CE,"Enterprise Air Surveillance Radar (EASR)",JB_RC,"ALT")</f>
        <v>0</v>
      </c>
      <c r="C201" s="38">
        <f>SUMIFS(JB_26BV,JB_B,1,JB_EX,"P-8a",JB_CC,"Ordnance",JB_H,"FFG",JB_CE,"Enterprise Air Surveillance Radar (EASR)",JB_RC,"ALT")</f>
        <v>0</v>
      </c>
      <c r="D201" s="38">
        <f>SUMIFS(JB_26BV,JB_B,1,JB_EX,"P-8a",JB_CC,"Ordnance",JB_H,"LPD",JB_CE,"Enterprise Air Surveillance Radar (EASR)",JB_RC,"ALT")</f>
        <v>0</v>
      </c>
      <c r="E201" s="38">
        <f>SUMIFS(JB_26BV,JB_B,1,JB_EX,"P-8a",JB_CC,"Ordnance",JB_H,"LHA",JB_CE,"Enterprise Air Surveillance Radar (EASR)",JB_RC,"ALT")</f>
        <v>38262</v>
      </c>
      <c r="F201" s="38">
        <f>SUMIFS(JB_26BV,JB_B,1,JB_EX,"P-8a",JB_CC,"Ordnance",JB_H,"T-AGOS",JB_CE,"Enterprise Air Surveillance Radar (EASR)",JB_RC,"ALT")</f>
        <v>0</v>
      </c>
      <c r="G201" s="38">
        <f>SUMIFS(JB_26BV,JB_B,1,JB_EX,"P-8a",JB_CC,"Ordnance",JB_H,"T-AO",JB_CE,"Enterprise Air Surveillance Radar (EASR)",JB_RC,"ALT")</f>
        <v>0</v>
      </c>
      <c r="H201" s="38">
        <f>SUMIFS(JB_26BV,JB_B,1,JB_EX,"P-8a",JB_CC,"Ordnance",JB_H,"T-ATS",JB_CE,"Enterprise Air Surveillance Radar (EASR)",JB_RC,"ALT")</f>
        <v>0</v>
      </c>
      <c r="I201" s="37">
        <f t="shared" si="6"/>
        <v>38262</v>
      </c>
    </row>
    <row r="202" spans="1:9" ht="10" customHeight="1" x14ac:dyDescent="0.2">
      <c r="A202" s="36" t="s">
        <v>8996</v>
      </c>
      <c r="B202" s="37">
        <f>SUMIFS(JB_26BV,JB_B,1,JB_EX,"P-8a",JB_CC,"Ordnance",JB_H,"DDG",JB_CE,"NATO Sea Sparrow Missile System (NSSMS) MK 57 Mod 14",JB_RC,"ALT")</f>
        <v>0</v>
      </c>
      <c r="C202" s="38">
        <f>SUMIFS(JB_26BV,JB_B,1,JB_EX,"P-8a",JB_CC,"Ordnance",JB_H,"FFG",JB_CE,"NATO Sea Sparrow Missile System (NSSMS) MK 57 Mod 14",JB_RC,"ALT")</f>
        <v>0</v>
      </c>
      <c r="D202" s="38">
        <f>SUMIFS(JB_26BV,JB_B,1,JB_EX,"P-8a",JB_CC,"Ordnance",JB_H,"LPD",JB_CE,"NATO Sea Sparrow Missile System (NSSMS) MK 57 Mod 14",JB_RC,"ALT")</f>
        <v>0</v>
      </c>
      <c r="E202" s="38">
        <f>SUMIFS(JB_26BV,JB_B,1,JB_EX,"P-8a",JB_CC,"Ordnance",JB_H,"LHA",JB_CE,"NATO Sea Sparrow Missile System (NSSMS) MK 57 Mod 14",JB_RC,"ALT")</f>
        <v>34125</v>
      </c>
      <c r="F202" s="38">
        <f>SUMIFS(JB_26BV,JB_B,1,JB_EX,"P-8a",JB_CC,"Ordnance",JB_H,"T-AGOS",JB_CE,"NATO Sea Sparrow Missile System (NSSMS) MK 57 Mod 14",JB_RC,"ALT")</f>
        <v>0</v>
      </c>
      <c r="G202" s="38">
        <f>SUMIFS(JB_26BV,JB_B,1,JB_EX,"P-8a",JB_CC,"Ordnance",JB_H,"T-AO",JB_CE,"NATO Sea Sparrow Missile System (NSSMS) MK 57 Mod 14",JB_RC,"ALT")</f>
        <v>0</v>
      </c>
      <c r="H202" s="38">
        <f>SUMIFS(JB_26BV,JB_B,1,JB_EX,"P-8a",JB_CC,"Ordnance",JB_H,"T-ATS",JB_CE,"NATO Sea Sparrow Missile System (NSSMS) MK 57 Mod 14",JB_RC,"ALT")</f>
        <v>0</v>
      </c>
      <c r="I202" s="37">
        <f t="shared" si="6"/>
        <v>34125</v>
      </c>
    </row>
    <row r="203" spans="1:9" ht="10" customHeight="1" x14ac:dyDescent="0.2">
      <c r="A203" s="36" t="s">
        <v>8997</v>
      </c>
      <c r="B203" s="37">
        <f>SUMIFS(JB_26BV,JB_B,1,JB_EX,"P-8a",JB_CC,"Ordnance",JB_H,"DDG",JB_CE,"SPQ-9B Radar",JB_RC,"ALT")</f>
        <v>32923</v>
      </c>
      <c r="C203" s="38">
        <f>SUMIFS(JB_26BV,JB_B,1,JB_EX,"P-8a",JB_CC,"Ordnance",JB_H,"FFG",JB_CE,"SPQ-9B Radar",JB_RC,"ALT")</f>
        <v>0</v>
      </c>
      <c r="D203" s="38">
        <f>SUMIFS(JB_26BV,JB_B,1,JB_EX,"P-8a",JB_CC,"Ordnance",JB_H,"LPD",JB_CE,"SPQ-9B Radar",JB_RC,"ALT")</f>
        <v>0</v>
      </c>
      <c r="E203" s="38">
        <f>SUMIFS(JB_26BV,JB_B,1,JB_EX,"P-8a",JB_CC,"Ordnance",JB_H,"LHA",JB_CE,"SPQ-9B Radar",JB_RC,"ALT")</f>
        <v>0</v>
      </c>
      <c r="F203" s="38">
        <f>SUMIFS(JB_26BV,JB_B,1,JB_EX,"P-8a",JB_CC,"Ordnance",JB_H,"T-AGOS",JB_CE,"SPQ-9B Radar",JB_RC,"ALT")</f>
        <v>0</v>
      </c>
      <c r="G203" s="38">
        <f>SUMIFS(JB_26BV,JB_B,1,JB_EX,"P-8a",JB_CC,"Ordnance",JB_H,"T-AO",JB_CE,"SPQ-9B Radar",JB_RC,"ALT")</f>
        <v>0</v>
      </c>
      <c r="H203" s="38">
        <f>SUMIFS(JB_26BV,JB_B,1,JB_EX,"P-8a",JB_CC,"Ordnance",JB_H,"T-ATS",JB_CE,"SPQ-9B Radar",JB_RC,"ALT")</f>
        <v>0</v>
      </c>
      <c r="I203" s="37">
        <f t="shared" si="6"/>
        <v>32923</v>
      </c>
    </row>
    <row r="204" spans="1:9" ht="10" customHeight="1" x14ac:dyDescent="0.2">
      <c r="A204" s="36" t="s">
        <v>8998</v>
      </c>
      <c r="B204" s="37">
        <f>SUMIFS(JB_26BV,JB_B,1,JB_EX,"P-8a",JB_CC,"Ordnance",JB_H,"DDG",JB_CE,"MK 48 Gun Weapon System (GWS)",JB_RC,"ALT")</f>
        <v>0</v>
      </c>
      <c r="C204" s="38">
        <f>SUMIFS(JB_26BV,JB_B,1,JB_EX,"P-8a",JB_CC,"Ordnance",JB_H,"FFG",JB_CE,"MK 48 Gun Weapon System (GWS)",JB_RC,"ALT")</f>
        <v>30918</v>
      </c>
      <c r="D204" s="38">
        <f>SUMIFS(JB_26BV,JB_B,1,JB_EX,"P-8a",JB_CC,"Ordnance",JB_H,"LPD",JB_CE,"MK 48 Gun Weapon System (GWS)",JB_RC,"ALT")</f>
        <v>0</v>
      </c>
      <c r="E204" s="38">
        <f>SUMIFS(JB_26BV,JB_B,1,JB_EX,"P-8a",JB_CC,"Ordnance",JB_H,"LHA",JB_CE,"MK 48 Gun Weapon System (GWS)",JB_RC,"ALT")</f>
        <v>0</v>
      </c>
      <c r="F204" s="38">
        <f>SUMIFS(JB_26BV,JB_B,1,JB_EX,"P-8a",JB_CC,"Ordnance",JB_H,"T-AGOS",JB_CE,"MK 48 Gun Weapon System (GWS)",JB_RC,"ALT")</f>
        <v>0</v>
      </c>
      <c r="G204" s="38">
        <f>SUMIFS(JB_26BV,JB_B,1,JB_EX,"P-8a",JB_CC,"Ordnance",JB_H,"T-AO",JB_CE,"MK 48 Gun Weapon System (GWS)",JB_RC,"ALT")</f>
        <v>0</v>
      </c>
      <c r="H204" s="38">
        <f>SUMIFS(JB_26BV,JB_B,1,JB_EX,"P-8a",JB_CC,"Ordnance",JB_H,"T-ATS",JB_CE,"MK 48 Gun Weapon System (GWS)",JB_RC,"ALT")</f>
        <v>0</v>
      </c>
      <c r="I204" s="37">
        <f t="shared" si="6"/>
        <v>30918</v>
      </c>
    </row>
    <row r="205" spans="1:9" ht="10" customHeight="1" x14ac:dyDescent="0.2">
      <c r="A205" s="36" t="s">
        <v>8999</v>
      </c>
      <c r="B205" s="37">
        <f>SUMIFS(JB_26BV,JB_B,1,JB_EX,"P-8a",JB_CC,"Ordnance",JB_H,"DDG",JB_CE,"PHALANX (CIWS)",JB_RC,"ALT")</f>
        <v>29127</v>
      </c>
      <c r="C205" s="38">
        <f>SUMIFS(JB_26BV,JB_B,1,JB_EX,"P-8a",JB_CC,"Ordnance",JB_H,"FFG",JB_CE,"PHALANX (CIWS)",JB_RC,"ALT")</f>
        <v>0</v>
      </c>
      <c r="D205" s="38">
        <f>SUMIFS(JB_26BV,JB_B,1,JB_EX,"P-8a",JB_CC,"Ordnance",JB_H,"LPD",JB_CE,"PHALANX (CIWS)",JB_RC,"ALT")</f>
        <v>0</v>
      </c>
      <c r="E205" s="38">
        <f>SUMIFS(JB_26BV,JB_B,1,JB_EX,"P-8a",JB_CC,"Ordnance",JB_H,"LHA",JB_CE,"PHALANX (CIWS)",JB_RC,"ALT")</f>
        <v>0</v>
      </c>
      <c r="F205" s="38">
        <f>SUMIFS(JB_26BV,JB_B,1,JB_EX,"P-8a",JB_CC,"Ordnance",JB_H,"T-AGOS",JB_CE,"PHALANX (CIWS)",JB_RC,"ALT")</f>
        <v>0</v>
      </c>
      <c r="G205" s="38">
        <f>SUMIFS(JB_26BV,JB_B,1,JB_EX,"P-8a",JB_CC,"Ordnance",JB_H,"T-AO",JB_CE,"PHALANX (CIWS)",JB_RC,"ALT")</f>
        <v>0</v>
      </c>
      <c r="H205" s="38">
        <f>SUMIFS(JB_26BV,JB_B,1,JB_EX,"P-8a",JB_CC,"Ordnance",JB_H,"T-ATS",JB_CE,"PHALANX (CIWS)",JB_RC,"ALT")</f>
        <v>0</v>
      </c>
      <c r="I205" s="37">
        <f t="shared" si="6"/>
        <v>29127</v>
      </c>
    </row>
    <row r="206" spans="1:9" ht="10" customHeight="1" x14ac:dyDescent="0.2">
      <c r="A206" s="36" t="s">
        <v>9000</v>
      </c>
      <c r="B206" s="37">
        <f>SUMIFS(JB_26BV,JB_B,1,JB_EX,"P-8a",JB_CC,"Ordnance",JB_H,"DDG",JB_CE,"DDG 1002 Missile Tubes (CPS)",JB_RC,"ALT")</f>
        <v>26000</v>
      </c>
      <c r="C206" s="38">
        <f>SUMIFS(JB_26BV,JB_B,1,JB_EX,"P-8a",JB_CC,"Ordnance",JB_H,"FFG",JB_CE,"DDG 1002 Missile Tubes (CPS)",JB_RC,"ALT")</f>
        <v>0</v>
      </c>
      <c r="D206" s="38">
        <f>SUMIFS(JB_26BV,JB_B,1,JB_EX,"P-8a",JB_CC,"Ordnance",JB_H,"LPD",JB_CE,"DDG 1002 Missile Tubes (CPS)",JB_RC,"ALT")</f>
        <v>0</v>
      </c>
      <c r="E206" s="38">
        <f>SUMIFS(JB_26BV,JB_B,1,JB_EX,"P-8a",JB_CC,"Ordnance",JB_H,"LHA",JB_CE,"DDG 1002 Missile Tubes (CPS)",JB_RC,"ALT")</f>
        <v>0</v>
      </c>
      <c r="F206" s="38">
        <f>SUMIFS(JB_26BV,JB_B,1,JB_EX,"P-8a",JB_CC,"Ordnance",JB_H,"T-AGOS",JB_CE,"DDG 1002 Missile Tubes (CPS)",JB_RC,"ALT")</f>
        <v>0</v>
      </c>
      <c r="G206" s="38">
        <f>SUMIFS(JB_26BV,JB_B,1,JB_EX,"P-8a",JB_CC,"Ordnance",JB_H,"T-AO",JB_CE,"DDG 1002 Missile Tubes (CPS)",JB_RC,"ALT")</f>
        <v>0</v>
      </c>
      <c r="H206" s="38">
        <f>SUMIFS(JB_26BV,JB_B,1,JB_EX,"P-8a",JB_CC,"Ordnance",JB_H,"T-ATS",JB_CE,"DDG 1002 Missile Tubes (CPS)",JB_RC,"ALT")</f>
        <v>0</v>
      </c>
      <c r="I206" s="37">
        <f t="shared" si="6"/>
        <v>26000</v>
      </c>
    </row>
    <row r="207" spans="1:9" ht="10" customHeight="1" x14ac:dyDescent="0.2">
      <c r="A207" s="36" t="s">
        <v>9001</v>
      </c>
      <c r="B207" s="37">
        <f>SUMIFS(JB_26BV,JB_B,1,JB_EX,"P-8a",JB_CC,"Ordnance",JB_H,"DDG",JB_CE,"MK-38 Gun Weapon System (GWS)",JB_RC,"ALT")</f>
        <v>23031</v>
      </c>
      <c r="C207" s="38">
        <f>SUMIFS(JB_26BV,JB_B,1,JB_EX,"P-8a",JB_CC,"Ordnance",JB_H,"FFG",JB_CE,"MK-38 Gun Weapon System (GWS)",JB_RC,"ALT")</f>
        <v>0</v>
      </c>
      <c r="D207" s="38">
        <f>SUMIFS(JB_26BV,JB_B,1,JB_EX,"P-8a",JB_CC,"Ordnance",JB_H,"LPD",JB_CE,"MK-38 Gun Weapon System (GWS)",JB_RC,"ALT")</f>
        <v>0</v>
      </c>
      <c r="E207" s="38">
        <f>SUMIFS(JB_26BV,JB_B,1,JB_EX,"P-8a",JB_CC,"Ordnance",JB_H,"LHA",JB_CE,"MK-38 Gun Weapon System (GWS)",JB_RC,"ALT")</f>
        <v>0</v>
      </c>
      <c r="F207" s="38">
        <f>SUMIFS(JB_26BV,JB_B,1,JB_EX,"P-8a",JB_CC,"Ordnance",JB_H,"T-AGOS",JB_CE,"MK-38 Gun Weapon System (GWS)",JB_RC,"ALT")</f>
        <v>0</v>
      </c>
      <c r="G207" s="38">
        <f>SUMIFS(JB_26BV,JB_B,1,JB_EX,"P-8a",JB_CC,"Ordnance",JB_H,"T-AO",JB_CE,"MK-38 Gun Weapon System (GWS)",JB_RC,"ALT")</f>
        <v>0</v>
      </c>
      <c r="H207" s="38">
        <f>SUMIFS(JB_26BV,JB_B,1,JB_EX,"P-8a",JB_CC,"Ordnance",JB_H,"T-ATS",JB_CE,"MK-38 Gun Weapon System (GWS)",JB_RC,"ALT")</f>
        <v>0</v>
      </c>
      <c r="I207" s="37">
        <f t="shared" si="6"/>
        <v>23031</v>
      </c>
    </row>
    <row r="208" spans="1:9" ht="10" customHeight="1" x14ac:dyDescent="0.2">
      <c r="A208" s="36" t="s">
        <v>9002</v>
      </c>
      <c r="B208" s="37">
        <f>SUMIFS(JB_26BV,JB_B,1,JB_EX,"P-8a",JB_CC,"Ordnance",JB_H,"DDG",JB_CE,"MK31 Mod 3, Rolling Airframe Missile (RAM) (Tech Refresh)",JB_RC,"ALT")</f>
        <v>0</v>
      </c>
      <c r="C208" s="38">
        <f>SUMIFS(JB_26BV,JB_B,1,JB_EX,"P-8a",JB_CC,"Ordnance",JB_H,"FFG",JB_CE,"MK31 Mod 3, Rolling Airframe Missile (RAM) (Tech Refresh)",JB_RC,"ALT")</f>
        <v>0</v>
      </c>
      <c r="D208" s="38">
        <f>SUMIFS(JB_26BV,JB_B,1,JB_EX,"P-8a",JB_CC,"Ordnance",JB_H,"LPD",JB_CE,"MK31 Mod 3, Rolling Airframe Missile (RAM) (Tech Refresh)",JB_RC,"ALT")</f>
        <v>0</v>
      </c>
      <c r="E208" s="38">
        <f>SUMIFS(JB_26BV,JB_B,1,JB_EX,"P-8a",JB_CC,"Ordnance",JB_H,"LHA",JB_CE,"MK31 Mod 3, Rolling Airframe Missile (RAM) (Tech Refresh)",JB_RC,"ALT")</f>
        <v>22290</v>
      </c>
      <c r="F208" s="38">
        <f>SUMIFS(JB_26BV,JB_B,1,JB_EX,"P-8a",JB_CC,"Ordnance",JB_H,"T-AGOS",JB_CE,"MK31 Mod 3, Rolling Airframe Missile (RAM) (Tech Refresh)",JB_RC,"ALT")</f>
        <v>0</v>
      </c>
      <c r="G208" s="38">
        <f>SUMIFS(JB_26BV,JB_B,1,JB_EX,"P-8a",JB_CC,"Ordnance",JB_H,"T-AO",JB_CE,"MK31 Mod 3, Rolling Airframe Missile (RAM) (Tech Refresh)",JB_RC,"ALT")</f>
        <v>0</v>
      </c>
      <c r="H208" s="38">
        <f>SUMIFS(JB_26BV,JB_B,1,JB_EX,"P-8a",JB_CC,"Ordnance",JB_H,"T-ATS",JB_CE,"MK31 Mod 3, Rolling Airframe Missile (RAM) (Tech Refresh)",JB_RC,"ALT")</f>
        <v>0</v>
      </c>
      <c r="I208" s="37">
        <f t="shared" si="6"/>
        <v>22290</v>
      </c>
    </row>
    <row r="209" spans="1:9" ht="10" customHeight="1" x14ac:dyDescent="0.2">
      <c r="A209" s="36" t="s">
        <v>9003</v>
      </c>
      <c r="B209" s="37">
        <f>SUMIFS(JB_26BV,JB_B,1,JB_EX,"P-8a",JB_CC,"Ordnance",JB_H,"DDG",JB_CE,"RAM BLOCK II",JB_RC,"ALT")</f>
        <v>0</v>
      </c>
      <c r="C209" s="38">
        <f>SUMIFS(JB_26BV,JB_B,1,JB_EX,"P-8a",JB_CC,"Ordnance",JB_H,"FFG",JB_CE,"RAM BLOCK II",JB_RC,"ALT")</f>
        <v>0</v>
      </c>
      <c r="D209" s="38">
        <f>SUMIFS(JB_26BV,JB_B,1,JB_EX,"P-8a",JB_CC,"Ordnance",JB_H,"LPD",JB_CE,"RAM BLOCK II",JB_RC,"ALT")</f>
        <v>19956</v>
      </c>
      <c r="E209" s="38">
        <f>SUMIFS(JB_26BV,JB_B,1,JB_EX,"P-8a",JB_CC,"Ordnance",JB_H,"LHA",JB_CE,"RAM BLOCK II",JB_RC,"ALT")</f>
        <v>0</v>
      </c>
      <c r="F209" s="38">
        <f>SUMIFS(JB_26BV,JB_B,1,JB_EX,"P-8a",JB_CC,"Ordnance",JB_H,"T-AGOS",JB_CE,"RAM BLOCK II",JB_RC,"ALT")</f>
        <v>0</v>
      </c>
      <c r="G209" s="38">
        <f>SUMIFS(JB_26BV,JB_B,1,JB_EX,"P-8a",JB_CC,"Ordnance",JB_H,"T-AO",JB_CE,"RAM BLOCK II",JB_RC,"ALT")</f>
        <v>0</v>
      </c>
      <c r="H209" s="38">
        <f>SUMIFS(JB_26BV,JB_B,1,JB_EX,"P-8a",JB_CC,"Ordnance",JB_H,"T-ATS",JB_CE,"RAM BLOCK II",JB_RC,"ALT")</f>
        <v>0</v>
      </c>
      <c r="I209" s="37">
        <f t="shared" si="6"/>
        <v>19956</v>
      </c>
    </row>
    <row r="210" spans="1:9" ht="10" customHeight="1" x14ac:dyDescent="0.2">
      <c r="A210" s="36" t="s">
        <v>9004</v>
      </c>
      <c r="B210" s="37">
        <f>SUMIFS(JB_26BV,JB_B,1,JB_EX,"P-8a",JB_CC,"Ordnance",JB_H,"DDG",JB_CE,"PHALANX Block 1B MK15 Mod 21 &amp; 22, Close-in Weapon System (CIWS)",JB_RC,"ALT")</f>
        <v>0</v>
      </c>
      <c r="C210" s="38">
        <f>SUMIFS(JB_26BV,JB_B,1,JB_EX,"P-8a",JB_CC,"Ordnance",JB_H,"FFG",JB_CE,"PHALANX Block 1B MK15 Mod 21 &amp; 22, Close-in Weapon System (CIWS)",JB_RC,"ALT")</f>
        <v>0</v>
      </c>
      <c r="D210" s="38">
        <f>SUMIFS(JB_26BV,JB_B,1,JB_EX,"P-8a",JB_CC,"Ordnance",JB_H,"LPD",JB_CE,"PHALANX Block 1B MK15 Mod 21 &amp; 22, Close-in Weapon System (CIWS)",JB_RC,"ALT")</f>
        <v>0</v>
      </c>
      <c r="E210" s="38">
        <f>SUMIFS(JB_26BV,JB_B,1,JB_EX,"P-8a",JB_CC,"Ordnance",JB_H,"LHA",JB_CE,"PHALANX Block 1B MK15 Mod 21 &amp; 22, Close-in Weapon System (CIWS)",JB_RC,"ALT")</f>
        <v>18458</v>
      </c>
      <c r="F210" s="38">
        <f>SUMIFS(JB_26BV,JB_B,1,JB_EX,"P-8a",JB_CC,"Ordnance",JB_H,"T-AGOS",JB_CE,"PHALANX Block 1B MK15 Mod 21 &amp; 22, Close-in Weapon System (CIWS)",JB_RC,"ALT")</f>
        <v>0</v>
      </c>
      <c r="G210" s="38">
        <f>SUMIFS(JB_26BV,JB_B,1,JB_EX,"P-8a",JB_CC,"Ordnance",JB_H,"T-AO",JB_CE,"PHALANX Block 1B MK15 Mod 21 &amp; 22, Close-in Weapon System (CIWS)",JB_RC,"ALT")</f>
        <v>0</v>
      </c>
      <c r="H210" s="38">
        <f>SUMIFS(JB_26BV,JB_B,1,JB_EX,"P-8a",JB_CC,"Ordnance",JB_H,"T-ATS",JB_CE,"PHALANX Block 1B MK15 Mod 21 &amp; 22, Close-in Weapon System (CIWS)",JB_RC,"ALT")</f>
        <v>0</v>
      </c>
      <c r="I210" s="37">
        <f t="shared" si="6"/>
        <v>18458</v>
      </c>
    </row>
    <row r="211" spans="1:9" ht="10" customHeight="1" x14ac:dyDescent="0.2">
      <c r="A211" s="36" t="s">
        <v>9005</v>
      </c>
      <c r="B211" s="37">
        <f>SUMIFS(JB_26BV,JB_B,1,JB_EX,"P-8a",JB_CC,"Ordnance",JB_H,"DDG",JB_CE,"MISCELLANEOUS ORDNANCE",JB_RC,"ALT")</f>
        <v>0</v>
      </c>
      <c r="C211" s="38">
        <f>SUMIFS(JB_26BV,JB_B,1,JB_EX,"P-8a",JB_CC,"Ordnance",JB_H,"FFG",JB_CE,"MISCELLANEOUS ORDNANCE",JB_RC,"ALT")</f>
        <v>0</v>
      </c>
      <c r="D211" s="38">
        <f>SUMIFS(JB_26BV,JB_B,1,JB_EX,"P-8a",JB_CC,"Ordnance",JB_H,"LPD",JB_CE,"MISCELLANEOUS ORDNANCE",JB_RC,"ALT")</f>
        <v>15509</v>
      </c>
      <c r="E211" s="38">
        <f>SUMIFS(JB_26BV,JB_B,1,JB_EX,"P-8a",JB_CC,"Ordnance",JB_H,"LHA",JB_CE,"MISCELLANEOUS ORDNANCE",JB_RC,"ALT")</f>
        <v>2964</v>
      </c>
      <c r="F211" s="38">
        <f>SUMIFS(JB_26BV,JB_B,1,JB_EX,"P-8a",JB_CC,"Ordnance",JB_H,"T-AGOS",JB_CE,"MISCELLANEOUS ORDNANCE",JB_RC,"ALT")</f>
        <v>0</v>
      </c>
      <c r="G211" s="38">
        <f>SUMIFS(JB_26BV,JB_B,1,JB_EX,"P-8a",JB_CC,"Ordnance",JB_H,"T-AO",JB_CE,"MISCELLANEOUS ORDNANCE",JB_RC,"ALT")</f>
        <v>0</v>
      </c>
      <c r="H211" s="38">
        <f>SUMIFS(JB_26BV,JB_B,1,JB_EX,"P-8a",JB_CC,"Ordnance",JB_H,"T-ATS",JB_CE,"MISCELLANEOUS ORDNANCE",JB_RC,"ALT")</f>
        <v>0</v>
      </c>
      <c r="I211" s="37">
        <f t="shared" si="6"/>
        <v>18473</v>
      </c>
    </row>
    <row r="212" spans="1:9" ht="10" customHeight="1" x14ac:dyDescent="0.2">
      <c r="A212" s="36" t="s">
        <v>9006</v>
      </c>
      <c r="B212" s="37">
        <f>SUMIFS(JB_26BV,JB_B,1,JB_EX,"P-8a",JB_CC,"Ordnance",JB_H,"DDG",JB_CE,"AN/SPQ-9B Radar Set",JB_RC,"ALT")</f>
        <v>0</v>
      </c>
      <c r="C212" s="38">
        <f>SUMIFS(JB_26BV,JB_B,1,JB_EX,"P-8a",JB_CC,"Ordnance",JB_H,"FFG",JB_CE,"AN/SPQ-9B Radar Set",JB_RC,"ALT")</f>
        <v>0</v>
      </c>
      <c r="D212" s="38">
        <f>SUMIFS(JB_26BV,JB_B,1,JB_EX,"P-8a",JB_CC,"Ordnance",JB_H,"LPD",JB_CE,"AN/SPQ-9B Radar Set",JB_RC,"ALT")</f>
        <v>7693</v>
      </c>
      <c r="E212" s="38">
        <f>SUMIFS(JB_26BV,JB_B,1,JB_EX,"P-8a",JB_CC,"Ordnance",JB_H,"LHA",JB_CE,"AN/SPQ-9B Radar Set",JB_RC,"ALT")</f>
        <v>7628</v>
      </c>
      <c r="F212" s="38">
        <f>SUMIFS(JB_26BV,JB_B,1,JB_EX,"P-8a",JB_CC,"Ordnance",JB_H,"T-AGOS",JB_CE,"AN/SPQ-9B Radar Set",JB_RC,"ALT")</f>
        <v>0</v>
      </c>
      <c r="G212" s="38">
        <f>SUMIFS(JB_26BV,JB_B,1,JB_EX,"P-8a",JB_CC,"Ordnance",JB_H,"T-AO",JB_CE,"AN/SPQ-9B Radar Set",JB_RC,"ALT")</f>
        <v>0</v>
      </c>
      <c r="H212" s="38">
        <f>SUMIFS(JB_26BV,JB_B,1,JB_EX,"P-8a",JB_CC,"Ordnance",JB_H,"T-ATS",JB_CE,"AN/SPQ-9B Radar Set",JB_RC,"ALT")</f>
        <v>0</v>
      </c>
      <c r="I212" s="37">
        <f t="shared" si="6"/>
        <v>15321</v>
      </c>
    </row>
    <row r="213" spans="1:9" ht="10" customHeight="1" x14ac:dyDescent="0.2">
      <c r="A213" s="36" t="s">
        <v>9007</v>
      </c>
      <c r="B213" s="37">
        <f>SUMIFS(JB_26BV,JB_B,1,JB_EX,"P-8a",JB_CC,"Ordnance",JB_H,"DDG",JB_CE,"Vertical/Stationary Take-Off Landing Optical Landing System (VSTOL OLS)",JB_RC,"ALT")</f>
        <v>0</v>
      </c>
      <c r="C213" s="38">
        <f>SUMIFS(JB_26BV,JB_B,1,JB_EX,"P-8a",JB_CC,"Ordnance",JB_H,"FFG",JB_CE,"Vertical/Stationary Take-Off Landing Optical Landing System (VSTOL OLS)",JB_RC,"ALT")</f>
        <v>0</v>
      </c>
      <c r="D213" s="38">
        <f>SUMIFS(JB_26BV,JB_B,1,JB_EX,"P-8a",JB_CC,"Ordnance",JB_H,"LPD",JB_CE,"Vertical/Stationary Take-Off Landing Optical Landing System (VSTOL OLS)",JB_RC,"ALT")</f>
        <v>0</v>
      </c>
      <c r="E213" s="38">
        <f>SUMIFS(JB_26BV,JB_B,1,JB_EX,"P-8a",JB_CC,"Ordnance",JB_H,"LHA",JB_CE,"Vertical/Stationary Take-Off Landing Optical Landing System (VSTOL OLS)",JB_RC,"ALT")</f>
        <v>15265</v>
      </c>
      <c r="F213" s="38">
        <f>SUMIFS(JB_26BV,JB_B,1,JB_EX,"P-8a",JB_CC,"Ordnance",JB_H,"T-AGOS",JB_CE,"Vertical/Stationary Take-Off Landing Optical Landing System (VSTOL OLS)",JB_RC,"ALT")</f>
        <v>0</v>
      </c>
      <c r="G213" s="38">
        <f>SUMIFS(JB_26BV,JB_B,1,JB_EX,"P-8a",JB_CC,"Ordnance",JB_H,"T-AO",JB_CE,"Vertical/Stationary Take-Off Landing Optical Landing System (VSTOL OLS)",JB_RC,"ALT")</f>
        <v>0</v>
      </c>
      <c r="H213" s="38">
        <f>SUMIFS(JB_26BV,JB_B,1,JB_EX,"P-8a",JB_CC,"Ordnance",JB_H,"T-ATS",JB_CE,"Vertical/Stationary Take-Off Landing Optical Landing System (VSTOL OLS)",JB_RC,"ALT")</f>
        <v>0</v>
      </c>
      <c r="I213" s="37">
        <f t="shared" si="6"/>
        <v>15265</v>
      </c>
    </row>
    <row r="214" spans="1:9" ht="10" customHeight="1" x14ac:dyDescent="0.2">
      <c r="A214" s="36" t="s">
        <v>9008</v>
      </c>
      <c r="B214" s="37">
        <f>SUMIFS(JB_26BV,JB_B,1,JB_EX,"P-8a",JB_CC,"Ordnance",JB_H,"DDG",JB_CE,"DDG 1002 Rubber Boots, Hatches, Shock Isolation (CPS)",JB_RC,"ALT")</f>
        <v>14420</v>
      </c>
      <c r="C214" s="38">
        <f>SUMIFS(JB_26BV,JB_B,1,JB_EX,"P-8a",JB_CC,"Ordnance",JB_H,"FFG",JB_CE,"DDG 1002 Rubber Boots, Hatches, Shock Isolation (CPS)",JB_RC,"ALT")</f>
        <v>0</v>
      </c>
      <c r="D214" s="38">
        <f>SUMIFS(JB_26BV,JB_B,1,JB_EX,"P-8a",JB_CC,"Ordnance",JB_H,"LPD",JB_CE,"DDG 1002 Rubber Boots, Hatches, Shock Isolation (CPS)",JB_RC,"ALT")</f>
        <v>0</v>
      </c>
      <c r="E214" s="38">
        <f>SUMIFS(JB_26BV,JB_B,1,JB_EX,"P-8a",JB_CC,"Ordnance",JB_H,"LHA",JB_CE,"DDG 1002 Rubber Boots, Hatches, Shock Isolation (CPS)",JB_RC,"ALT")</f>
        <v>0</v>
      </c>
      <c r="F214" s="38">
        <f>SUMIFS(JB_26BV,JB_B,1,JB_EX,"P-8a",JB_CC,"Ordnance",JB_H,"T-AGOS",JB_CE,"DDG 1002 Rubber Boots, Hatches, Shock Isolation (CPS)",JB_RC,"ALT")</f>
        <v>0</v>
      </c>
      <c r="G214" s="38">
        <f>SUMIFS(JB_26BV,JB_B,1,JB_EX,"P-8a",JB_CC,"Ordnance",JB_H,"T-AO",JB_CE,"DDG 1002 Rubber Boots, Hatches, Shock Isolation (CPS)",JB_RC,"ALT")</f>
        <v>0</v>
      </c>
      <c r="H214" s="38">
        <f>SUMIFS(JB_26BV,JB_B,1,JB_EX,"P-8a",JB_CC,"Ordnance",JB_H,"T-ATS",JB_CE,"DDG 1002 Rubber Boots, Hatches, Shock Isolation (CPS)",JB_RC,"ALT")</f>
        <v>0</v>
      </c>
      <c r="I214" s="37">
        <f t="shared" si="6"/>
        <v>14420</v>
      </c>
    </row>
    <row r="215" spans="1:9" ht="10" customHeight="1" x14ac:dyDescent="0.2">
      <c r="A215" s="36" t="s">
        <v>9009</v>
      </c>
      <c r="B215" s="37">
        <f>SUMIFS(JB_26BV,JB_B,1,JB_EX,"P-8a",JB_CC,"Ordnance",JB_H,"DDG",JB_CE,"CLOSE-IN GUN SYSTEM (CIGS)",JB_RC,"ALT")</f>
        <v>13795</v>
      </c>
      <c r="C215" s="38">
        <f>SUMIFS(JB_26BV,JB_B,1,JB_EX,"P-8a",JB_CC,"Ordnance",JB_H,"FFG",JB_CE,"CLOSE-IN GUN SYSTEM (CIGS)",JB_RC,"ALT")</f>
        <v>0</v>
      </c>
      <c r="D215" s="38">
        <f>SUMIFS(JB_26BV,JB_B,1,JB_EX,"P-8a",JB_CC,"Ordnance",JB_H,"LPD",JB_CE,"CLOSE-IN GUN SYSTEM (CIGS)",JB_RC,"ALT")</f>
        <v>0</v>
      </c>
      <c r="E215" s="38">
        <f>SUMIFS(JB_26BV,JB_B,1,JB_EX,"P-8a",JB_CC,"Ordnance",JB_H,"LHA",JB_CE,"CLOSE-IN GUN SYSTEM (CIGS)",JB_RC,"ALT")</f>
        <v>0</v>
      </c>
      <c r="F215" s="38">
        <f>SUMIFS(JB_26BV,JB_B,1,JB_EX,"P-8a",JB_CC,"Ordnance",JB_H,"T-AGOS",JB_CE,"CLOSE-IN GUN SYSTEM (CIGS)",JB_RC,"ALT")</f>
        <v>0</v>
      </c>
      <c r="G215" s="38">
        <f>SUMIFS(JB_26BV,JB_B,1,JB_EX,"P-8a",JB_CC,"Ordnance",JB_H,"T-AO",JB_CE,"CLOSE-IN GUN SYSTEM (CIGS)",JB_RC,"ALT")</f>
        <v>0</v>
      </c>
      <c r="H215" s="38">
        <f>SUMIFS(JB_26BV,JB_B,1,JB_EX,"P-8a",JB_CC,"Ordnance",JB_H,"T-ATS",JB_CE,"CLOSE-IN GUN SYSTEM (CIGS)",JB_RC,"ALT")</f>
        <v>0</v>
      </c>
      <c r="I215" s="37">
        <f t="shared" si="6"/>
        <v>13795</v>
      </c>
    </row>
    <row r="216" spans="1:9" ht="10" customHeight="1" x14ac:dyDescent="0.2">
      <c r="A216" s="36" t="s">
        <v>9010</v>
      </c>
      <c r="B216" s="37">
        <f>SUMIFS(JB_26BV,JB_B,1,JB_EX,"P-8a",JB_CC,"Ordnance",JB_H,"DDG",JB_CE,"MK 160 Gun Fire Control System (GFCS)",JB_RC,"ALT")</f>
        <v>11568</v>
      </c>
      <c r="C216" s="38">
        <f>SUMIFS(JB_26BV,JB_B,1,JB_EX,"P-8a",JB_CC,"Ordnance",JB_H,"FFG",JB_CE,"MK 160 Gun Fire Control System (GFCS)",JB_RC,"ALT")</f>
        <v>0</v>
      </c>
      <c r="D216" s="38">
        <f>SUMIFS(JB_26BV,JB_B,1,JB_EX,"P-8a",JB_CC,"Ordnance",JB_H,"LPD",JB_CE,"MK 160 Gun Fire Control System (GFCS)",JB_RC,"ALT")</f>
        <v>0</v>
      </c>
      <c r="E216" s="38">
        <f>SUMIFS(JB_26BV,JB_B,1,JB_EX,"P-8a",JB_CC,"Ordnance",JB_H,"LHA",JB_CE,"MK 160 Gun Fire Control System (GFCS)",JB_RC,"ALT")</f>
        <v>0</v>
      </c>
      <c r="F216" s="38">
        <f>SUMIFS(JB_26BV,JB_B,1,JB_EX,"P-8a",JB_CC,"Ordnance",JB_H,"T-AGOS",JB_CE,"MK 160 Gun Fire Control System (GFCS)",JB_RC,"ALT")</f>
        <v>0</v>
      </c>
      <c r="G216" s="38">
        <f>SUMIFS(JB_26BV,JB_B,1,JB_EX,"P-8a",JB_CC,"Ordnance",JB_H,"T-AO",JB_CE,"MK 160 Gun Fire Control System (GFCS)",JB_RC,"ALT")</f>
        <v>0</v>
      </c>
      <c r="H216" s="38">
        <f>SUMIFS(JB_26BV,JB_B,1,JB_EX,"P-8a",JB_CC,"Ordnance",JB_H,"T-ATS",JB_CE,"MK 160 Gun Fire Control System (GFCS)",JB_RC,"ALT")</f>
        <v>0</v>
      </c>
      <c r="I216" s="37">
        <f t="shared" si="6"/>
        <v>11568</v>
      </c>
    </row>
    <row r="217" spans="1:9" ht="10" customHeight="1" x14ac:dyDescent="0.2">
      <c r="A217" s="36" t="s">
        <v>9011</v>
      </c>
      <c r="B217" s="37">
        <f>SUMIFS(JB_26BV,JB_B,1,JB_EX,"P-8a",JB_CC,"Ordnance",JB_H,"DDG",JB_CE,"ELECTRO-OPTICAL SYSTEM",JB_RC,"ALT")</f>
        <v>11125</v>
      </c>
      <c r="C217" s="38">
        <f>SUMIFS(JB_26BV,JB_B,1,JB_EX,"P-8a",JB_CC,"Ordnance",JB_H,"FFG",JB_CE,"ELECTRO-OPTICAL SYSTEM",JB_RC,"ALT")</f>
        <v>0</v>
      </c>
      <c r="D217" s="38">
        <f>SUMIFS(JB_26BV,JB_B,1,JB_EX,"P-8a",JB_CC,"Ordnance",JB_H,"LPD",JB_CE,"ELECTRO-OPTICAL SYSTEM",JB_RC,"ALT")</f>
        <v>0</v>
      </c>
      <c r="E217" s="38">
        <f>SUMIFS(JB_26BV,JB_B,1,JB_EX,"P-8a",JB_CC,"Ordnance",JB_H,"LHA",JB_CE,"ELECTRO-OPTICAL SYSTEM",JB_RC,"ALT")</f>
        <v>0</v>
      </c>
      <c r="F217" s="38">
        <f>SUMIFS(JB_26BV,JB_B,1,JB_EX,"P-8a",JB_CC,"Ordnance",JB_H,"T-AGOS",JB_CE,"ELECTRO-OPTICAL SYSTEM",JB_RC,"ALT")</f>
        <v>0</v>
      </c>
      <c r="G217" s="38">
        <f>SUMIFS(JB_26BV,JB_B,1,JB_EX,"P-8a",JB_CC,"Ordnance",JB_H,"T-AO",JB_CE,"ELECTRO-OPTICAL SYSTEM",JB_RC,"ALT")</f>
        <v>0</v>
      </c>
      <c r="H217" s="38">
        <f>SUMIFS(JB_26BV,JB_B,1,JB_EX,"P-8a",JB_CC,"Ordnance",JB_H,"T-ATS",JB_CE,"ELECTRO-OPTICAL SYSTEM",JB_RC,"ALT")</f>
        <v>0</v>
      </c>
      <c r="I217" s="37">
        <f t="shared" si="6"/>
        <v>11125</v>
      </c>
    </row>
    <row r="218" spans="1:9" ht="10" customHeight="1" x14ac:dyDescent="0.2">
      <c r="A218" s="36" t="s">
        <v>9012</v>
      </c>
      <c r="B218" s="37">
        <f>SUMIFS(JB_26BV,JB_B,1,JB_EX,"P-8a",JB_CC,"Ordnance",JB_H,"DDG",JB_CE,"MK 32 Surface Vessel Torpedo Tubes (SVTT)",JB_RC,"ALT")</f>
        <v>10513</v>
      </c>
      <c r="C218" s="38">
        <f>SUMIFS(JB_26BV,JB_B,1,JB_EX,"P-8a",JB_CC,"Ordnance",JB_H,"FFG",JB_CE,"MK 32 Surface Vessel Torpedo Tubes (SVTT)",JB_RC,"ALT")</f>
        <v>0</v>
      </c>
      <c r="D218" s="38">
        <f>SUMIFS(JB_26BV,JB_B,1,JB_EX,"P-8a",JB_CC,"Ordnance",JB_H,"LPD",JB_CE,"MK 32 Surface Vessel Torpedo Tubes (SVTT)",JB_RC,"ALT")</f>
        <v>0</v>
      </c>
      <c r="E218" s="38">
        <f>SUMIFS(JB_26BV,JB_B,1,JB_EX,"P-8a",JB_CC,"Ordnance",JB_H,"LHA",JB_CE,"MK 32 Surface Vessel Torpedo Tubes (SVTT)",JB_RC,"ALT")</f>
        <v>0</v>
      </c>
      <c r="F218" s="38">
        <f>SUMIFS(JB_26BV,JB_B,1,JB_EX,"P-8a",JB_CC,"Ordnance",JB_H,"T-AGOS",JB_CE,"MK 32 Surface Vessel Torpedo Tubes (SVTT)",JB_RC,"ALT")</f>
        <v>0</v>
      </c>
      <c r="G218" s="38">
        <f>SUMIFS(JB_26BV,JB_B,1,JB_EX,"P-8a",JB_CC,"Ordnance",JB_H,"T-AO",JB_CE,"MK 32 Surface Vessel Torpedo Tubes (SVTT)",JB_RC,"ALT")</f>
        <v>0</v>
      </c>
      <c r="H218" s="38">
        <f>SUMIFS(JB_26BV,JB_B,1,JB_EX,"P-8a",JB_CC,"Ordnance",JB_H,"T-ATS",JB_CE,"MK 32 Surface Vessel Torpedo Tubes (SVTT)",JB_RC,"ALT")</f>
        <v>0</v>
      </c>
      <c r="I218" s="37">
        <f t="shared" si="6"/>
        <v>10513</v>
      </c>
    </row>
    <row r="219" spans="1:9" ht="10" customHeight="1" x14ac:dyDescent="0.2">
      <c r="A219" s="36" t="s">
        <v>9013</v>
      </c>
      <c r="B219" s="37">
        <f>SUMIFS(JB_26BV,JB_B,1,JB_EX,"P-8a",JB_CC,"Ordnance",JB_H,"DDG",JB_CE,"MK 46 GUN",JB_RC,"ALT")</f>
        <v>0</v>
      </c>
      <c r="C219" s="38">
        <f>SUMIFS(JB_26BV,JB_B,1,JB_EX,"P-8a",JB_CC,"Ordnance",JB_H,"FFG",JB_CE,"MK 46 GUN",JB_RC,"ALT")</f>
        <v>0</v>
      </c>
      <c r="D219" s="38">
        <f>SUMIFS(JB_26BV,JB_B,1,JB_EX,"P-8a",JB_CC,"Ordnance",JB_H,"LPD",JB_CE,"MK 46 GUN",JB_RC,"ALT")</f>
        <v>9778</v>
      </c>
      <c r="E219" s="38">
        <f>SUMIFS(JB_26BV,JB_B,1,JB_EX,"P-8a",JB_CC,"Ordnance",JB_H,"LHA",JB_CE,"MK 46 GUN",JB_RC,"ALT")</f>
        <v>0</v>
      </c>
      <c r="F219" s="38">
        <f>SUMIFS(JB_26BV,JB_B,1,JB_EX,"P-8a",JB_CC,"Ordnance",JB_H,"T-AGOS",JB_CE,"MK 46 GUN",JB_RC,"ALT")</f>
        <v>0</v>
      </c>
      <c r="G219" s="38">
        <f>SUMIFS(JB_26BV,JB_B,1,JB_EX,"P-8a",JB_CC,"Ordnance",JB_H,"T-AO",JB_CE,"MK 46 GUN",JB_RC,"ALT")</f>
        <v>0</v>
      </c>
      <c r="H219" s="38">
        <f>SUMIFS(JB_26BV,JB_B,1,JB_EX,"P-8a",JB_CC,"Ordnance",JB_H,"T-ATS",JB_CE,"MK 46 GUN",JB_RC,"ALT")</f>
        <v>0</v>
      </c>
      <c r="I219" s="37">
        <f t="shared" si="6"/>
        <v>9778</v>
      </c>
    </row>
    <row r="220" spans="1:9" ht="10" customHeight="1" x14ac:dyDescent="0.2">
      <c r="A220" s="36" t="s">
        <v>9014</v>
      </c>
      <c r="B220" s="37">
        <f>SUMIFS(JB_26BV,JB_B,1,JB_EX,"P-8a",JB_CC,"Ordnance",JB_H,"DDG",JB_CE,"Aviation Support",JB_RC,"ALT")</f>
        <v>0</v>
      </c>
      <c r="C220" s="38">
        <f>SUMIFS(JB_26BV,JB_B,1,JB_EX,"P-8a",JB_CC,"Ordnance",JB_H,"FFG",JB_CE,"Aviation Support",JB_RC,"ALT")</f>
        <v>0</v>
      </c>
      <c r="D220" s="38">
        <f>SUMIFS(JB_26BV,JB_B,1,JB_EX,"P-8a",JB_CC,"Ordnance",JB_H,"LPD",JB_CE,"Aviation Support",JB_RC,"ALT")</f>
        <v>0</v>
      </c>
      <c r="E220" s="38">
        <f>SUMIFS(JB_26BV,JB_B,1,JB_EX,"P-8a",JB_CC,"Ordnance",JB_H,"LHA",JB_CE,"Aviation Support",JB_RC,"ALT")</f>
        <v>8202</v>
      </c>
      <c r="F220" s="38">
        <f>SUMIFS(JB_26BV,JB_B,1,JB_EX,"P-8a",JB_CC,"Ordnance",JB_H,"T-AGOS",JB_CE,"Aviation Support",JB_RC,"ALT")</f>
        <v>0</v>
      </c>
      <c r="G220" s="38">
        <f>SUMIFS(JB_26BV,JB_B,1,JB_EX,"P-8a",JB_CC,"Ordnance",JB_H,"T-AO",JB_CE,"Aviation Support",JB_RC,"ALT")</f>
        <v>0</v>
      </c>
      <c r="H220" s="38">
        <f>SUMIFS(JB_26BV,JB_B,1,JB_EX,"P-8a",JB_CC,"Ordnance",JB_H,"T-ATS",JB_CE,"Aviation Support",JB_RC,"ALT")</f>
        <v>0</v>
      </c>
      <c r="I220" s="37">
        <f t="shared" si="6"/>
        <v>8202</v>
      </c>
    </row>
    <row r="221" spans="1:9" ht="10" customHeight="1" x14ac:dyDescent="0.2">
      <c r="A221" s="36" t="s">
        <v>9015</v>
      </c>
      <c r="B221" s="37">
        <f>SUMIFS(JB_26BV,JB_B,1,JB_EX,"P-8a",JB_CC,"Ordnance",JB_H,"DDG",JB_CE,"MK 38 Mod 2 Stabilized Gun Stand Assembly",JB_RC,"ALT")</f>
        <v>0</v>
      </c>
      <c r="C221" s="38">
        <f>SUMIFS(JB_26BV,JB_B,1,JB_EX,"P-8a",JB_CC,"Ordnance",JB_H,"FFG",JB_CE,"MK 38 Mod 2 Stabilized Gun Stand Assembly",JB_RC,"ALT")</f>
        <v>0</v>
      </c>
      <c r="D221" s="38">
        <f>SUMIFS(JB_26BV,JB_B,1,JB_EX,"P-8a",JB_CC,"Ordnance",JB_H,"LPD",JB_CE,"MK 38 Mod 2 Stabilized Gun Stand Assembly",JB_RC,"ALT")</f>
        <v>0</v>
      </c>
      <c r="E221" s="38">
        <f>SUMIFS(JB_26BV,JB_B,1,JB_EX,"P-8a",JB_CC,"Ordnance",JB_H,"LHA",JB_CE,"MK 38 Mod 2 Stabilized Gun Stand Assembly",JB_RC,"ALT")</f>
        <v>7143</v>
      </c>
      <c r="F221" s="38">
        <f>SUMIFS(JB_26BV,JB_B,1,JB_EX,"P-8a",JB_CC,"Ordnance",JB_H,"T-AGOS",JB_CE,"MK 38 Mod 2 Stabilized Gun Stand Assembly",JB_RC,"ALT")</f>
        <v>0</v>
      </c>
      <c r="G221" s="38">
        <f>SUMIFS(JB_26BV,JB_B,1,JB_EX,"P-8a",JB_CC,"Ordnance",JB_H,"T-AO",JB_CE,"MK 38 Mod 2 Stabilized Gun Stand Assembly",JB_RC,"ALT")</f>
        <v>0</v>
      </c>
      <c r="H221" s="38">
        <f>SUMIFS(JB_26BV,JB_B,1,JB_EX,"P-8a",JB_CC,"Ordnance",JB_H,"T-ATS",JB_CE,"MK 38 Mod 2 Stabilized Gun Stand Assembly",JB_RC,"ALT")</f>
        <v>0</v>
      </c>
      <c r="I221" s="37">
        <f t="shared" si="6"/>
        <v>7143</v>
      </c>
    </row>
    <row r="222" spans="1:9" ht="10" customHeight="1" x14ac:dyDescent="0.2">
      <c r="A222" s="36" t="s">
        <v>9016</v>
      </c>
      <c r="B222" s="37">
        <f>SUMIFS(JB_26BV,JB_B,1,JB_EX,"P-8a",JB_CC,"Ordnance",JB_H,"DDG",JB_CE,"Other Ordnance",JB_RC,"ALT")</f>
        <v>0</v>
      </c>
      <c r="C222" s="38">
        <f>SUMIFS(JB_26BV,JB_B,1,JB_EX,"P-8a",JB_CC,"Ordnance",JB_H,"FFG",JB_CE,"Other Ordnance",JB_RC,"ALT")</f>
        <v>6751</v>
      </c>
      <c r="D222" s="38">
        <f>SUMIFS(JB_26BV,JB_B,1,JB_EX,"P-8a",JB_CC,"Ordnance",JB_H,"LPD",JB_CE,"Other Ordnance",JB_RC,"ALT")</f>
        <v>0</v>
      </c>
      <c r="E222" s="38">
        <f>SUMIFS(JB_26BV,JB_B,1,JB_EX,"P-8a",JB_CC,"Ordnance",JB_H,"LHA",JB_CE,"Other Ordnance",JB_RC,"ALT")</f>
        <v>0</v>
      </c>
      <c r="F222" s="38">
        <f>SUMIFS(JB_26BV,JB_B,1,JB_EX,"P-8a",JB_CC,"Ordnance",JB_H,"T-AGOS",JB_CE,"Other Ordnance",JB_RC,"ALT")</f>
        <v>0</v>
      </c>
      <c r="G222" s="38">
        <f>SUMIFS(JB_26BV,JB_B,1,JB_EX,"P-8a",JB_CC,"Ordnance",JB_H,"T-AO",JB_CE,"Other Ordnance",JB_RC,"ALT")</f>
        <v>0</v>
      </c>
      <c r="H222" s="38">
        <f>SUMIFS(JB_26BV,JB_B,1,JB_EX,"P-8a",JB_CC,"Ordnance",JB_H,"T-ATS",JB_CE,"Other Ordnance",JB_RC,"ALT")</f>
        <v>0</v>
      </c>
      <c r="I222" s="37">
        <f t="shared" si="6"/>
        <v>6751</v>
      </c>
    </row>
    <row r="223" spans="1:9" ht="10" customHeight="1" x14ac:dyDescent="0.2">
      <c r="A223" s="36" t="s">
        <v>9017</v>
      </c>
      <c r="B223" s="37">
        <f>SUMIFS(JB_26BV,JB_B,1,JB_EX,"P-8a",JB_CC,"Ordnance",JB_H,"DDG",JB_CE,"ASGSI/HOSS/MWS Fit Control &amp; Inst Land Sys",JB_RC,"ALT")</f>
        <v>0</v>
      </c>
      <c r="C223" s="38">
        <f>SUMIFS(JB_26BV,JB_B,1,JB_EX,"P-8a",JB_CC,"Ordnance",JB_H,"FFG",JB_CE,"ASGSI/HOSS/MWS Fit Control &amp; Inst Land Sys",JB_RC,"ALT")</f>
        <v>0</v>
      </c>
      <c r="D223" s="38">
        <f>SUMIFS(JB_26BV,JB_B,1,JB_EX,"P-8a",JB_CC,"Ordnance",JB_H,"LPD",JB_CE,"ASGSI/HOSS/MWS Fit Control &amp; Inst Land Sys",JB_RC,"ALT")</f>
        <v>3808</v>
      </c>
      <c r="E223" s="38">
        <f>SUMIFS(JB_26BV,JB_B,1,JB_EX,"P-8a",JB_CC,"Ordnance",JB_H,"LHA",JB_CE,"ASGSI/HOSS/MWS Fit Control &amp; Inst Land Sys",JB_RC,"ALT")</f>
        <v>0</v>
      </c>
      <c r="F223" s="38">
        <f>SUMIFS(JB_26BV,JB_B,1,JB_EX,"P-8a",JB_CC,"Ordnance",JB_H,"T-AGOS",JB_CE,"ASGSI/HOSS/MWS Fit Control &amp; Inst Land Sys",JB_RC,"ALT")</f>
        <v>0</v>
      </c>
      <c r="G223" s="38">
        <f>SUMIFS(JB_26BV,JB_B,1,JB_EX,"P-8a",JB_CC,"Ordnance",JB_H,"T-AO",JB_CE,"ASGSI/HOSS/MWS Fit Control &amp; Inst Land Sys",JB_RC,"ALT")</f>
        <v>0</v>
      </c>
      <c r="H223" s="38">
        <f>SUMIFS(JB_26BV,JB_B,1,JB_EX,"P-8a",JB_CC,"Ordnance",JB_H,"T-ATS",JB_CE,"ASGSI/HOSS/MWS Fit Control &amp; Inst Land Sys",JB_RC,"ALT")</f>
        <v>0</v>
      </c>
      <c r="I223" s="37">
        <f t="shared" si="6"/>
        <v>3808</v>
      </c>
    </row>
    <row r="224" spans="1:9" ht="10" customHeight="1" x14ac:dyDescent="0.2">
      <c r="A224" s="36" t="s">
        <v>9018</v>
      </c>
      <c r="B224" s="37">
        <f>SUMIFS(JB_26BV,JB_B,1,JB_EX,"P-8a",JB_CC,"Ordnance",JB_H,"DDG",JB_CE,"Next Generation Surface Search Radar (NGSSR)",JB_RC,"ALT")</f>
        <v>0</v>
      </c>
      <c r="C224" s="38">
        <f>SUMIFS(JB_26BV,JB_B,1,JB_EX,"P-8a",JB_CC,"Ordnance",JB_H,"FFG",JB_CE,"Next Generation Surface Search Radar (NGSSR)",JB_RC,"ALT")</f>
        <v>0</v>
      </c>
      <c r="D224" s="38">
        <f>SUMIFS(JB_26BV,JB_B,1,JB_EX,"P-8a",JB_CC,"Ordnance",JB_H,"LPD",JB_CE,"Next Generation Surface Search Radar (NGSSR)",JB_RC,"ALT")</f>
        <v>3228</v>
      </c>
      <c r="E224" s="38">
        <f>SUMIFS(JB_26BV,JB_B,1,JB_EX,"P-8a",JB_CC,"Ordnance",JB_H,"LHA",JB_CE,"Next Generation Surface Search Radar (NGSSR)",JB_RC,"ALT")</f>
        <v>0</v>
      </c>
      <c r="F224" s="38">
        <f>SUMIFS(JB_26BV,JB_B,1,JB_EX,"P-8a",JB_CC,"Ordnance",JB_H,"T-AGOS",JB_CE,"Next Generation Surface Search Radar (NGSSR)",JB_RC,"ALT")</f>
        <v>0</v>
      </c>
      <c r="G224" s="38">
        <f>SUMIFS(JB_26BV,JB_B,1,JB_EX,"P-8a",JB_CC,"Ordnance",JB_H,"T-AO",JB_CE,"Next Generation Surface Search Radar (NGSSR)",JB_RC,"ALT")</f>
        <v>0</v>
      </c>
      <c r="H224" s="38">
        <f>SUMIFS(JB_26BV,JB_B,1,JB_EX,"P-8a",JB_CC,"Ordnance",JB_H,"T-ATS",JB_CE,"Next Generation Surface Search Radar (NGSSR)",JB_RC,"ALT")</f>
        <v>0</v>
      </c>
      <c r="I224" s="37">
        <f t="shared" si="6"/>
        <v>3228</v>
      </c>
    </row>
    <row r="225" spans="1:9" ht="10" customHeight="1" x14ac:dyDescent="0.2">
      <c r="A225" s="36" t="s">
        <v>9019</v>
      </c>
      <c r="B225" s="37">
        <f>SUMIFS(JB_26BV,JB_B,1,JB_EX,"P-8a",JB_CC,"Ordnance",JB_H,"DDG",JB_CE,"MK 53 Decoy Launching System (DLS) (Nulka)- 4 Launcher",JB_RC,"ALT")</f>
        <v>0</v>
      </c>
      <c r="C225" s="38">
        <f>SUMIFS(JB_26BV,JB_B,1,JB_EX,"P-8a",JB_CC,"Ordnance",JB_H,"FFG",JB_CE,"MK 53 Decoy Launching System (DLS) (Nulka)- 4 Launcher",JB_RC,"ALT")</f>
        <v>3098</v>
      </c>
      <c r="D225" s="38">
        <f>SUMIFS(JB_26BV,JB_B,1,JB_EX,"P-8a",JB_CC,"Ordnance",JB_H,"LPD",JB_CE,"MK 53 Decoy Launching System (DLS) (Nulka)- 4 Launcher",JB_RC,"ALT")</f>
        <v>0</v>
      </c>
      <c r="E225" s="38">
        <f>SUMIFS(JB_26BV,JB_B,1,JB_EX,"P-8a",JB_CC,"Ordnance",JB_H,"LHA",JB_CE,"MK 53 Decoy Launching System (DLS) (Nulka)- 4 Launcher",JB_RC,"ALT")</f>
        <v>0</v>
      </c>
      <c r="F225" s="38">
        <f>SUMIFS(JB_26BV,JB_B,1,JB_EX,"P-8a",JB_CC,"Ordnance",JB_H,"T-AGOS",JB_CE,"MK 53 Decoy Launching System (DLS) (Nulka)- 4 Launcher",JB_RC,"ALT")</f>
        <v>0</v>
      </c>
      <c r="G225" s="38">
        <f>SUMIFS(JB_26BV,JB_B,1,JB_EX,"P-8a",JB_CC,"Ordnance",JB_H,"T-AO",JB_CE,"MK 53 Decoy Launching System (DLS) (Nulka)- 4 Launcher",JB_RC,"ALT")</f>
        <v>0</v>
      </c>
      <c r="H225" s="38">
        <f>SUMIFS(JB_26BV,JB_B,1,JB_EX,"P-8a",JB_CC,"Ordnance",JB_H,"T-ATS",JB_CE,"MK 53 Decoy Launching System (DLS) (Nulka)- 4 Launcher",JB_RC,"ALT")</f>
        <v>0</v>
      </c>
      <c r="I225" s="37">
        <f t="shared" ref="I225:I256" si="7">SUM(B225:H225)</f>
        <v>3098</v>
      </c>
    </row>
    <row r="226" spans="1:9" ht="10" customHeight="1" x14ac:dyDescent="0.2">
      <c r="A226" s="36" t="s">
        <v>9020</v>
      </c>
      <c r="B226" s="37">
        <f>SUMIFS(JB_26BV,JB_B,1,JB_EX,"P-8a",JB_CC,"Ordnance",JB_H,"DDG",JB_CE,"Miscellaneous Ordnance",JB_RC,"ALT")</f>
        <v>0</v>
      </c>
      <c r="C226" s="38">
        <f>SUMIFS(JB_26BV,JB_B,1,JB_EX,"P-8a",JB_CC,"Ordnance",JB_H,"FFG",JB_CE,"Miscellaneous Ordnance",JB_RC,"ALT")</f>
        <v>0</v>
      </c>
      <c r="D226" s="38">
        <f>SUMIFS(JB_26BV,JB_B,1,JB_EX,"P-8a",JB_CC,"Ordnance",JB_H,"LPD",JB_CE,"Miscellaneous Ordnance",JB_RC,"ALT")</f>
        <v>15509</v>
      </c>
      <c r="E226" s="38">
        <f>SUMIFS(JB_26BV,JB_B,1,JB_EX,"P-8a",JB_CC,"Ordnance",JB_H,"LHA",JB_CE,"Miscellaneous Ordnance",JB_RC,"ALT")</f>
        <v>2964</v>
      </c>
      <c r="F226" s="38">
        <f>SUMIFS(JB_26BV,JB_B,1,JB_EX,"P-8a",JB_CC,"Ordnance",JB_H,"T-AGOS",JB_CE,"Miscellaneous Ordnance",JB_RC,"ALT")</f>
        <v>0</v>
      </c>
      <c r="G226" s="38">
        <f>SUMIFS(JB_26BV,JB_B,1,JB_EX,"P-8a",JB_CC,"Ordnance",JB_H,"T-AO",JB_CE,"Miscellaneous Ordnance",JB_RC,"ALT")</f>
        <v>0</v>
      </c>
      <c r="H226" s="38">
        <f>SUMIFS(JB_26BV,JB_B,1,JB_EX,"P-8a",JB_CC,"Ordnance",JB_H,"T-ATS",JB_CE,"Miscellaneous Ordnance",JB_RC,"ALT")</f>
        <v>0</v>
      </c>
      <c r="I226" s="37">
        <f t="shared" si="7"/>
        <v>18473</v>
      </c>
    </row>
    <row r="227" spans="1:9" ht="10" customHeight="1" x14ac:dyDescent="0.2">
      <c r="A227" s="36" t="s">
        <v>9021</v>
      </c>
      <c r="B227" s="37">
        <f>SUMIFS(JB_26BV,JB_B,1,JB_EX,"P-8a",JB_CC,"Ordnance",JB_H,"DDG",JB_CE,"MORIAH",JB_RC,"ALT")</f>
        <v>0</v>
      </c>
      <c r="C227" s="38">
        <f>SUMIFS(JB_26BV,JB_B,1,JB_EX,"P-8a",JB_CC,"Ordnance",JB_H,"FFG",JB_CE,"MORIAH",JB_RC,"ALT")</f>
        <v>0</v>
      </c>
      <c r="D227" s="38">
        <f>SUMIFS(JB_26BV,JB_B,1,JB_EX,"P-8a",JB_CC,"Ordnance",JB_H,"LPD",JB_CE,"MORIAH",JB_RC,"ALT")</f>
        <v>0</v>
      </c>
      <c r="E227" s="38">
        <f>SUMIFS(JB_26BV,JB_B,1,JB_EX,"P-8a",JB_CC,"Ordnance",JB_H,"LHA",JB_CE,"MORIAH",JB_RC,"ALT")</f>
        <v>2395</v>
      </c>
      <c r="F227" s="38">
        <f>SUMIFS(JB_26BV,JB_B,1,JB_EX,"P-8a",JB_CC,"Ordnance",JB_H,"T-AGOS",JB_CE,"MORIAH",JB_RC,"ALT")</f>
        <v>0</v>
      </c>
      <c r="G227" s="38">
        <f>SUMIFS(JB_26BV,JB_B,1,JB_EX,"P-8a",JB_CC,"Ordnance",JB_H,"T-AO",JB_CE,"MORIAH",JB_RC,"ALT")</f>
        <v>0</v>
      </c>
      <c r="H227" s="38">
        <f>SUMIFS(JB_26BV,JB_B,1,JB_EX,"P-8a",JB_CC,"Ordnance",JB_H,"T-ATS",JB_CE,"MORIAH",JB_RC,"ALT")</f>
        <v>0</v>
      </c>
      <c r="I227" s="37">
        <f t="shared" si="7"/>
        <v>2395</v>
      </c>
    </row>
    <row r="228" spans="1:9" ht="10" customHeight="1" x14ac:dyDescent="0.2">
      <c r="A228" s="36" t="s">
        <v>9022</v>
      </c>
      <c r="B228" s="37">
        <f>SUMIFS(JB_26BV,JB_B,1,JB_EX,"P-8a",JB_CC,"Ordnance",JB_H,"DDG",JB_CE,"AN/SPQ-14",JB_RC,"ALT")</f>
        <v>0</v>
      </c>
      <c r="C228" s="38">
        <f>SUMIFS(JB_26BV,JB_B,1,JB_EX,"P-8a",JB_CC,"Ordnance",JB_H,"FFG",JB_CE,"AN/SPQ-14",JB_RC,"ALT")</f>
        <v>0</v>
      </c>
      <c r="D228" s="38">
        <f>SUMIFS(JB_26BV,JB_B,1,JB_EX,"P-8a",JB_CC,"Ordnance",JB_H,"LPD",JB_CE,"AN/SPQ-14",JB_RC,"ALT")</f>
        <v>0</v>
      </c>
      <c r="E228" s="38">
        <f>SUMIFS(JB_26BV,JB_B,1,JB_EX,"P-8a",JB_CC,"Ordnance",JB_H,"LHA",JB_CE,"AN/SPQ-14",JB_RC,"ALT")</f>
        <v>947</v>
      </c>
      <c r="F228" s="38">
        <f>SUMIFS(JB_26BV,JB_B,1,JB_EX,"P-8a",JB_CC,"Ordnance",JB_H,"T-AGOS",JB_CE,"AN/SPQ-14",JB_RC,"ALT")</f>
        <v>0</v>
      </c>
      <c r="G228" s="38">
        <f>SUMIFS(JB_26BV,JB_B,1,JB_EX,"P-8a",JB_CC,"Ordnance",JB_H,"T-AO",JB_CE,"AN/SPQ-14",JB_RC,"ALT")</f>
        <v>0</v>
      </c>
      <c r="H228" s="38">
        <f>SUMIFS(JB_26BV,JB_B,1,JB_EX,"P-8a",JB_CC,"Ordnance",JB_H,"T-ATS",JB_CE,"AN/SPQ-14",JB_RC,"ALT")</f>
        <v>0</v>
      </c>
      <c r="I228" s="37">
        <f t="shared" si="7"/>
        <v>947</v>
      </c>
    </row>
    <row r="229" spans="1:9" ht="10" customHeight="1" x14ac:dyDescent="0.2">
      <c r="A229" s="36" t="s">
        <v>9023</v>
      </c>
      <c r="B229" s="37">
        <f>SUMIFS(JB_26BV,JB_B,1,JB_EX,"P-8a",JB_CC,"Ordnance",JB_H,"DDG",JB_CE,"ORDNANCE HANDLING EQUIPMENT",JB_RC,"ALT")</f>
        <v>0</v>
      </c>
      <c r="C229" s="38">
        <f>SUMIFS(JB_26BV,JB_B,1,JB_EX,"P-8a",JB_CC,"Ordnance",JB_H,"FFG",JB_CE,"ORDNANCE HANDLING EQUIPMENT",JB_RC,"ALT")</f>
        <v>0</v>
      </c>
      <c r="D229" s="38">
        <f>SUMIFS(JB_26BV,JB_B,1,JB_EX,"P-8a",JB_CC,"Ordnance",JB_H,"LPD",JB_CE,"ORDNANCE HANDLING EQUIPMENT",JB_RC,"ALT")</f>
        <v>496</v>
      </c>
      <c r="E229" s="38">
        <f>SUMIFS(JB_26BV,JB_B,1,JB_EX,"P-8a",JB_CC,"Ordnance",JB_H,"LHA",JB_CE,"ORDNANCE HANDLING EQUIPMENT",JB_RC,"ALT")</f>
        <v>0</v>
      </c>
      <c r="F229" s="38">
        <f>SUMIFS(JB_26BV,JB_B,1,JB_EX,"P-8a",JB_CC,"Ordnance",JB_H,"T-AGOS",JB_CE,"ORDNANCE HANDLING EQUIPMENT",JB_RC,"ALT")</f>
        <v>0</v>
      </c>
      <c r="G229" s="38">
        <f>SUMIFS(JB_26BV,JB_B,1,JB_EX,"P-8a",JB_CC,"Ordnance",JB_H,"T-AO",JB_CE,"ORDNANCE HANDLING EQUIPMENT",JB_RC,"ALT")</f>
        <v>0</v>
      </c>
      <c r="H229" s="38">
        <f>SUMIFS(JB_26BV,JB_B,1,JB_EX,"P-8a",JB_CC,"Ordnance",JB_H,"T-ATS",JB_CE,"ORDNANCE HANDLING EQUIPMENT",JB_RC,"ALT")</f>
        <v>0</v>
      </c>
      <c r="I229" s="37">
        <f t="shared" si="7"/>
        <v>496</v>
      </c>
    </row>
    <row r="230" spans="1:9" ht="10" customHeight="1" x14ac:dyDescent="0.2">
      <c r="A230" s="16" t="s">
        <v>373</v>
      </c>
      <c r="B230" s="35">
        <f>SUMIFS(JB_26BV,JB_B,1,JB_EX,"P-5c",JB_CC,"Other Cost",JB_H,"DDG",JB_RC,"ALT")</f>
        <v>170688</v>
      </c>
      <c r="C230" s="17">
        <f>SUMIFS(JB_26BV,JB_B,1,JB_EX,"P-5c",JB_CC,"Other Cost",JB_H,"FFG",JB_RC,"ALT")</f>
        <v>99993</v>
      </c>
      <c r="D230" s="17">
        <f>SUMIFS(JB_26BV,JB_B,1,JB_EX,"P-5c",JB_CC,"Other Cost",JB_H,"LPD",JB_RC,"ALT")</f>
        <v>7674</v>
      </c>
      <c r="E230" s="17">
        <f>SUMIFS(JB_26BV,JB_B,1,JB_EX,"P-5c",JB_CC,"Other Cost",JB_H,"LHA",JB_RC,"ALT")</f>
        <v>69439</v>
      </c>
      <c r="F230" s="17">
        <f>SUMIFS(JB_26BV,JB_B,1,JB_EX,"P-5c",JB_CC,"Other Cost",JB_H,"T-AGOS",JB_RC,"ALT")</f>
        <v>0</v>
      </c>
      <c r="G230" s="17">
        <f>SUMIFS(JB_26BV,JB_B,1,JB_EX,"P-5c",JB_CC,"Other Cost",JB_H,"T-AO",JB_RC,"ALT")</f>
        <v>20000</v>
      </c>
      <c r="H230" s="17">
        <f>SUMIFS(JB_26BV,JB_B,1,JB_EX,"P-5c",JB_CC,"Other Cost",JB_H,"T-ATS",JB_RC,"ALT")</f>
        <v>0</v>
      </c>
      <c r="I230" s="35">
        <f t="shared" si="7"/>
        <v>367794</v>
      </c>
    </row>
    <row r="231" spans="1:9" ht="10" customHeight="1" x14ac:dyDescent="0.2">
      <c r="A231" s="23" t="s">
        <v>9024</v>
      </c>
      <c r="B231" s="34">
        <f t="shared" ref="B231:I231" si="8">B65+B66+B67+B68+B158+B191+B230</f>
        <v>10201368</v>
      </c>
      <c r="C231" s="24">
        <f t="shared" si="8"/>
        <v>2456524</v>
      </c>
      <c r="D231" s="24">
        <f t="shared" si="8"/>
        <v>2070637</v>
      </c>
      <c r="E231" s="24">
        <f t="shared" si="8"/>
        <v>1180374</v>
      </c>
      <c r="F231" s="24">
        <f t="shared" si="8"/>
        <v>726111</v>
      </c>
      <c r="G231" s="24">
        <f t="shared" si="8"/>
        <v>103363</v>
      </c>
      <c r="H231" s="24">
        <f t="shared" si="8"/>
        <v>91005</v>
      </c>
      <c r="I231" s="34">
        <f t="shared" si="8"/>
        <v>16829382</v>
      </c>
    </row>
    <row r="232" spans="1:9" ht="10" customHeight="1" x14ac:dyDescent="0.2"/>
    <row r="233" spans="1:9" ht="10" customHeight="1" x14ac:dyDescent="0.2">
      <c r="A233" s="39" t="s">
        <v>9025</v>
      </c>
      <c r="B233" s="32"/>
      <c r="C233" s="30"/>
      <c r="D233" s="30"/>
      <c r="E233" s="30"/>
      <c r="F233" s="30"/>
      <c r="G233" s="30"/>
      <c r="H233" s="30"/>
      <c r="I233" s="32"/>
    </row>
    <row r="234" spans="1:9" ht="10" customHeight="1" x14ac:dyDescent="0.2">
      <c r="A234" s="15" t="s">
        <v>15</v>
      </c>
      <c r="B234" s="18" t="s">
        <v>120</v>
      </c>
      <c r="C234" s="15" t="s">
        <v>144</v>
      </c>
      <c r="D234" s="15" t="s">
        <v>150</v>
      </c>
      <c r="E234" s="15" t="s">
        <v>168</v>
      </c>
      <c r="F234" s="15" t="s">
        <v>215</v>
      </c>
      <c r="G234" s="15" t="s">
        <v>203</v>
      </c>
      <c r="H234" s="15" t="s">
        <v>227</v>
      </c>
      <c r="I234" s="18" t="s">
        <v>8808</v>
      </c>
    </row>
    <row r="235" spans="1:9" ht="10" customHeight="1" x14ac:dyDescent="0.2">
      <c r="A235" s="16" t="s">
        <v>351</v>
      </c>
      <c r="B235" s="33">
        <f t="shared" ref="B235:I238" si="9">IFERROR(B65/B$231,0)</f>
        <v>1.7227885514962307E-2</v>
      </c>
      <c r="C235" s="28">
        <f t="shared" si="9"/>
        <v>9.2508357337441033E-2</v>
      </c>
      <c r="D235" s="28">
        <f t="shared" si="9"/>
        <v>0</v>
      </c>
      <c r="E235" s="28">
        <f t="shared" si="9"/>
        <v>0.10589863890597387</v>
      </c>
      <c r="F235" s="28">
        <f t="shared" si="9"/>
        <v>0.15687133234450379</v>
      </c>
      <c r="G235" s="28">
        <f t="shared" si="9"/>
        <v>0</v>
      </c>
      <c r="H235" s="28">
        <f t="shared" si="9"/>
        <v>0</v>
      </c>
      <c r="I235" s="33">
        <f t="shared" si="9"/>
        <v>3.8141804612908545E-2</v>
      </c>
    </row>
    <row r="236" spans="1:9" ht="10" customHeight="1" x14ac:dyDescent="0.2">
      <c r="A236" s="16" t="s">
        <v>179</v>
      </c>
      <c r="B236" s="33">
        <f t="shared" si="9"/>
        <v>0.47452135831194403</v>
      </c>
      <c r="C236" s="28">
        <f t="shared" si="9"/>
        <v>0.55474686996748246</v>
      </c>
      <c r="D236" s="28">
        <f t="shared" si="9"/>
        <v>0.80246803278411427</v>
      </c>
      <c r="E236" s="28">
        <f t="shared" si="9"/>
        <v>0.29661615725185408</v>
      </c>
      <c r="F236" s="28">
        <f t="shared" si="9"/>
        <v>0.63428318810760342</v>
      </c>
      <c r="G236" s="28">
        <f t="shared" si="9"/>
        <v>8.0744560432649978E-2</v>
      </c>
      <c r="H236" s="28">
        <f t="shared" si="9"/>
        <v>0.91001593319048402</v>
      </c>
      <c r="I236" s="33">
        <f t="shared" si="9"/>
        <v>0.52093273537911255</v>
      </c>
    </row>
    <row r="237" spans="1:9" ht="10" customHeight="1" x14ac:dyDescent="0.2">
      <c r="A237" s="16" t="s">
        <v>358</v>
      </c>
      <c r="B237" s="33">
        <f t="shared" si="9"/>
        <v>2.6816403447067098E-2</v>
      </c>
      <c r="C237" s="28">
        <f t="shared" si="9"/>
        <v>1.2667899845472709E-2</v>
      </c>
      <c r="D237" s="28">
        <f t="shared" si="9"/>
        <v>1.6903011005791939E-2</v>
      </c>
      <c r="E237" s="28">
        <f t="shared" si="9"/>
        <v>5.9458273394703713E-2</v>
      </c>
      <c r="F237" s="28">
        <f t="shared" si="9"/>
        <v>1.8815305097980888E-2</v>
      </c>
      <c r="G237" s="28">
        <f t="shared" si="9"/>
        <v>7.6429670191461158E-2</v>
      </c>
      <c r="H237" s="28">
        <f t="shared" si="9"/>
        <v>2.7394099225317291E-2</v>
      </c>
      <c r="I237" s="33">
        <f t="shared" si="9"/>
        <v>2.5783537387172029E-2</v>
      </c>
    </row>
    <row r="238" spans="1:9" ht="10" customHeight="1" x14ac:dyDescent="0.2">
      <c r="A238" s="16" t="s">
        <v>361</v>
      </c>
      <c r="B238" s="33">
        <f t="shared" si="9"/>
        <v>9.1702406971300318E-2</v>
      </c>
      <c r="C238" s="28">
        <f t="shared" si="9"/>
        <v>0.25003500881733703</v>
      </c>
      <c r="D238" s="28">
        <f t="shared" si="9"/>
        <v>0.11811920679481724</v>
      </c>
      <c r="E238" s="28">
        <f t="shared" si="9"/>
        <v>0.28381682415912246</v>
      </c>
      <c r="F238" s="28">
        <f t="shared" si="9"/>
        <v>0.15973177654656107</v>
      </c>
      <c r="G238" s="28">
        <f t="shared" si="9"/>
        <v>0.49907607170844498</v>
      </c>
      <c r="H238" s="28">
        <f t="shared" si="9"/>
        <v>6.2589967584198672E-2</v>
      </c>
      <c r="I238" s="33">
        <f t="shared" si="9"/>
        <v>0.13681809587541599</v>
      </c>
    </row>
    <row r="239" spans="1:9" ht="10" customHeight="1" x14ac:dyDescent="0.2">
      <c r="A239" s="16" t="s">
        <v>367</v>
      </c>
      <c r="B239" s="33">
        <f t="shared" ref="B239:I239" si="10">IFERROR(B158/B$231,0)</f>
        <v>1.5098857329722838E-2</v>
      </c>
      <c r="C239" s="28">
        <f t="shared" si="10"/>
        <v>0</v>
      </c>
      <c r="D239" s="28">
        <f t="shared" si="10"/>
        <v>9.7984340084717892E-3</v>
      </c>
      <c r="E239" s="28">
        <f t="shared" si="10"/>
        <v>5.2425756582235798E-2</v>
      </c>
      <c r="F239" s="28">
        <f t="shared" si="10"/>
        <v>3.0298397903350864E-2</v>
      </c>
      <c r="G239" s="28">
        <f t="shared" si="10"/>
        <v>0.15025686173969408</v>
      </c>
      <c r="H239" s="28">
        <f t="shared" si="10"/>
        <v>0</v>
      </c>
      <c r="I239" s="33">
        <f t="shared" si="10"/>
        <v>1.6265065467050425E-2</v>
      </c>
    </row>
    <row r="240" spans="1:9" ht="10" customHeight="1" x14ac:dyDescent="0.2">
      <c r="A240" s="16" t="s">
        <v>370</v>
      </c>
      <c r="B240" s="33">
        <f t="shared" ref="B240:I240" si="11">IFERROR(B191/B$231,0)</f>
        <v>0.35790121481746368</v>
      </c>
      <c r="C240" s="28">
        <f t="shared" si="11"/>
        <v>4.9336786451099193E-2</v>
      </c>
      <c r="D240" s="28">
        <f t="shared" si="11"/>
        <v>4.9005209507991983E-2</v>
      </c>
      <c r="E240" s="28">
        <f t="shared" si="11"/>
        <v>0.14295638501017474</v>
      </c>
      <c r="F240" s="28">
        <f t="shared" si="11"/>
        <v>0</v>
      </c>
      <c r="G240" s="28">
        <f t="shared" si="11"/>
        <v>0</v>
      </c>
      <c r="H240" s="28">
        <f t="shared" si="11"/>
        <v>0</v>
      </c>
      <c r="I240" s="33">
        <f t="shared" si="11"/>
        <v>0.24020448285029122</v>
      </c>
    </row>
    <row r="241" spans="1:9" ht="10" customHeight="1" x14ac:dyDescent="0.2">
      <c r="A241" s="16" t="s">
        <v>373</v>
      </c>
      <c r="B241" s="33">
        <f t="shared" ref="B241:I241" si="12">IFERROR(B230/B$231,0)</f>
        <v>1.6731873607539693E-2</v>
      </c>
      <c r="C241" s="28">
        <f t="shared" si="12"/>
        <v>4.0705077581167537E-2</v>
      </c>
      <c r="D241" s="28">
        <f t="shared" si="12"/>
        <v>3.7061058988127806E-3</v>
      </c>
      <c r="E241" s="28">
        <f t="shared" si="12"/>
        <v>5.8827964695935354E-2</v>
      </c>
      <c r="F241" s="28">
        <f t="shared" si="12"/>
        <v>0</v>
      </c>
      <c r="G241" s="28">
        <f t="shared" si="12"/>
        <v>0.19349283592774977</v>
      </c>
      <c r="H241" s="28">
        <f t="shared" si="12"/>
        <v>0</v>
      </c>
      <c r="I241" s="33">
        <f t="shared" si="12"/>
        <v>2.1854278428049229E-2</v>
      </c>
    </row>
    <row r="242" spans="1:9" ht="10" customHeight="1" x14ac:dyDescent="0.2">
      <c r="A242" s="23" t="s">
        <v>8808</v>
      </c>
      <c r="B242" s="40">
        <v>1</v>
      </c>
      <c r="C242" s="29">
        <v>1</v>
      </c>
      <c r="D242" s="29">
        <v>1</v>
      </c>
      <c r="E242" s="29">
        <v>1</v>
      </c>
      <c r="F242" s="29">
        <v>1</v>
      </c>
      <c r="G242" s="29">
        <v>1</v>
      </c>
      <c r="H242" s="29">
        <v>1</v>
      </c>
      <c r="I242" s="40">
        <v>1</v>
      </c>
    </row>
    <row r="243" spans="1:9" ht="10" customHeight="1" x14ac:dyDescent="0.2"/>
    <row r="244" spans="1:9" ht="10" customHeight="1" x14ac:dyDescent="0.2"/>
    <row r="245" spans="1:9" ht="10" customHeight="1" x14ac:dyDescent="0.2">
      <c r="A245" s="6" t="s">
        <v>9026</v>
      </c>
      <c r="B245" s="7"/>
      <c r="C245" s="7"/>
      <c r="D245" s="7"/>
      <c r="E245" s="7"/>
      <c r="F245" s="7"/>
      <c r="G245" s="7"/>
      <c r="H245" s="7"/>
      <c r="I245" s="7"/>
    </row>
    <row r="246" spans="1:9" ht="10" customHeight="1" x14ac:dyDescent="0.2">
      <c r="A246" s="22" t="s">
        <v>9027</v>
      </c>
    </row>
    <row r="247" spans="1:9" ht="10" customHeight="1" x14ac:dyDescent="0.2">
      <c r="A247" s="30"/>
      <c r="B247" s="31" t="s">
        <v>50</v>
      </c>
      <c r="C247" s="30"/>
      <c r="D247" s="30"/>
      <c r="E247" s="30"/>
      <c r="F247" s="30"/>
      <c r="G247" s="30"/>
      <c r="H247" s="30"/>
      <c r="I247" s="32"/>
    </row>
    <row r="248" spans="1:9" ht="10" customHeight="1" x14ac:dyDescent="0.2">
      <c r="A248" s="15" t="s">
        <v>15</v>
      </c>
      <c r="B248" s="18" t="s">
        <v>120</v>
      </c>
      <c r="C248" s="15" t="s">
        <v>203</v>
      </c>
      <c r="D248" s="15" t="s">
        <v>150</v>
      </c>
      <c r="E248" s="15" t="s">
        <v>168</v>
      </c>
      <c r="F248" s="15" t="s">
        <v>215</v>
      </c>
      <c r="G248" s="15" t="s">
        <v>144</v>
      </c>
      <c r="H248" s="15" t="s">
        <v>227</v>
      </c>
      <c r="I248" s="18" t="s">
        <v>8808</v>
      </c>
    </row>
    <row r="249" spans="1:9" ht="10" customHeight="1" x14ac:dyDescent="0.2">
      <c r="A249" s="26" t="s">
        <v>9028</v>
      </c>
      <c r="B249" s="41">
        <f>SUMIFS(JB_26BV,JB_B,1,JB_H,"DDG",JB_RC,"ADD")</f>
        <v>7213131</v>
      </c>
      <c r="C249" s="27">
        <f>SUMIFS(JB_26BV,JB_B,1,JB_H,"T-AO",JB_RC,"ADD")</f>
        <v>1861705</v>
      </c>
      <c r="D249" s="27">
        <f>SUMIFS(JB_26BV,JB_B,1,JB_H,"LPD",JB_RC,"ADD")</f>
        <v>1110037</v>
      </c>
      <c r="E249" s="27">
        <f>SUMIFS(JB_26BV,JB_B,1,JB_H,"LHA",JB_RC,"ADD")</f>
        <v>634963</v>
      </c>
      <c r="F249" s="27">
        <f>SUMIFS(JB_26BV,JB_B,1,JB_H,"T-AGOS",JB_RC,"ADD")</f>
        <v>612205</v>
      </c>
      <c r="G249" s="27">
        <f>SUMIFS(JB_26BV,JB_B,1,JB_H,"FFG",JB_RC,"ADD")</f>
        <v>242000</v>
      </c>
      <c r="H249" s="27">
        <f>SUMIFS(JB_26BV,JB_B,1,JB_H,"T-ATS",JB_RC,"ADD")</f>
        <v>141500</v>
      </c>
      <c r="I249" s="41">
        <f t="shared" ref="I249:I256" si="13">SUM(B249:H249)</f>
        <v>11815541</v>
      </c>
    </row>
    <row r="250" spans="1:9" ht="10" customHeight="1" x14ac:dyDescent="0.2">
      <c r="A250" s="16" t="s">
        <v>351</v>
      </c>
      <c r="B250" s="35">
        <f>IFERROR(B$249*(SUMIFS(JB_26BV,JB_B,1,JB_EX,"P-5c",JB_CC,"Plan Costs",JB_H,"DDG",JB_RC,"ALT"))/(SUMIFS(JB_26BV,JB_B,1,JB_EX,"P-5c",JB_H,"DDG",JB_RC,"ALT")),0)</f>
        <v>117558.9113996947</v>
      </c>
      <c r="C250" s="17">
        <f>IFERROR(C$249*(SUMIFS(JB_26BV,JB_B,1,JB_EX,"P-5c",JB_CC,"Plan Costs",JB_H,"T-AO",JB_RC,"ALT"))/(SUMIFS(JB_26BV,JB_B,1,JB_EX,"P-5c",JB_H,"T-AO",JB_RC,"ALT")),0)</f>
        <v>0</v>
      </c>
      <c r="D250" s="17">
        <f>IFERROR(D$249*(SUMIFS(JB_26BV,JB_B,1,JB_EX,"P-5c",JB_CC,"Plan Costs",JB_H,"LPD",JB_RC,"ALT"))/(SUMIFS(JB_26BV,JB_B,1,JB_EX,"P-5c",JB_H,"LPD",JB_RC,"ALT")),0)</f>
        <v>0</v>
      </c>
      <c r="E250" s="17">
        <f>IFERROR(E$249*(SUMIFS(JB_26BV,JB_B,1,JB_EX,"P-5c",JB_CC,"Plan Costs",JB_H,"LHA",JB_RC,"ALT"))/(SUMIFS(JB_26BV,JB_B,1,JB_EX,"P-5c",JB_H,"LHA",JB_RC,"ALT")),0)</f>
        <v>67241.717455653881</v>
      </c>
      <c r="F250" s="17">
        <f>IFERROR(F$249*(SUMIFS(JB_26BV,JB_B,1,JB_EX,"P-5c",JB_CC,"Plan Costs",JB_H,"T-AGOS",JB_RC,"ALT"))/(SUMIFS(JB_26BV,JB_B,1,JB_EX,"P-5c",JB_H,"T-AGOS",JB_RC,"ALT")),0)</f>
        <v>96037.414017966948</v>
      </c>
      <c r="G250" s="17">
        <f>IFERROR(G$249*(SUMIFS(JB_26BV,JB_B,1,JB_EX,"P-5c",JB_CC,"Plan Costs",JB_H,"FFG",JB_RC,"ALT"))/(SUMIFS(JB_26BV,JB_B,1,JB_EX,"P-5c",JB_H,"FFG",JB_RC,"ALT")),0)</f>
        <v>20400.552133675406</v>
      </c>
      <c r="H250" s="17">
        <f>IFERROR(H$249*(SUMIFS(JB_26BV,JB_B,1,JB_EX,"P-5c",JB_CC,"Plan Costs",JB_H,"T-ATS",JB_RC,"ALT"))/(SUMIFS(JB_26BV,JB_B,1,JB_EX,"P-5c",JB_H,"T-ATS",JB_RC,"ALT")),0)</f>
        <v>0</v>
      </c>
      <c r="I250" s="35">
        <f t="shared" si="13"/>
        <v>301238.59500699094</v>
      </c>
    </row>
    <row r="251" spans="1:9" ht="10" customHeight="1" x14ac:dyDescent="0.2">
      <c r="A251" s="16" t="s">
        <v>179</v>
      </c>
      <c r="B251" s="35">
        <f>IFERROR(B$249*(SUMIFS(JB_26BV,JB_B,1,JB_EX,"P-5c",JB_CC,"Basic Construction",JB_H,"DDG",JB_RC,"ALT"))/(SUMIFS(JB_26BV,JB_B,1,JB_EX,"P-5c",JB_H,"DDG",JB_RC,"ALT")),0)</f>
        <v>3238018.633836891</v>
      </c>
      <c r="C251" s="17">
        <f>IFERROR(C$249*(SUMIFS(JB_26BV,JB_B,1,JB_EX,"P-5c",JB_CC,"Basic Construction",JB_H,"T-AO",JB_RC,"ALT"))/(SUMIFS(JB_26BV,JB_B,1,JB_EX,"P-5c",JB_H,"T-AO",JB_RC,"ALT")),0)</f>
        <v>137259.62835689046</v>
      </c>
      <c r="D251" s="17">
        <f>IFERROR(D$249*(SUMIFS(JB_26BV,JB_B,1,JB_EX,"P-5c",JB_CC,"Basic Construction",JB_H,"LPD",JB_RC,"ALT"))/(SUMIFS(JB_26BV,JB_B,1,JB_EX,"P-5c",JB_H,"LPD",JB_RC,"ALT")),0)</f>
        <v>890769.20770757983</v>
      </c>
      <c r="E251" s="17">
        <f>IFERROR(E$249*(SUMIFS(JB_26BV,JB_B,1,JB_EX,"P-5c",JB_CC,"Basic Construction",JB_H,"LHA",JB_RC,"ALT"))/(SUMIFS(JB_26BV,JB_B,1,JB_EX,"P-5c",JB_H,"LHA",JB_RC,"ALT")),0)</f>
        <v>188340.28505710902</v>
      </c>
      <c r="F251" s="17">
        <f>IFERROR(F$249*(SUMIFS(JB_26BV,JB_B,1,JB_EX,"P-5c",JB_CC,"Basic Construction",JB_H,"T-AGOS",JB_RC,"ALT"))/(SUMIFS(JB_26BV,JB_B,1,JB_EX,"P-5c",JB_H,"T-AGOS",JB_RC,"ALT")),0)</f>
        <v>388311.33917541534</v>
      </c>
      <c r="G251" s="17">
        <f>IFERROR(G$249*(SUMIFS(JB_26BV,JB_B,1,JB_EX,"P-5c",JB_CC,"Basic Construction",JB_H,"FFG",JB_RC,"ALT"))/(SUMIFS(JB_26BV,JB_B,1,JB_EX,"P-5c",JB_H,"FFG",JB_RC,"ALT")),0)</f>
        <v>122336.43280988706</v>
      </c>
      <c r="H251" s="17">
        <f>IFERROR(H$249*(SUMIFS(JB_26BV,JB_B,1,JB_EX,"P-5c",JB_CC,"Basic Construction",JB_H,"T-ATS",JB_RC,"ALT"))/(SUMIFS(JB_26BV,JB_B,1,JB_EX,"P-5c",JB_H,"T-ATS",JB_RC,"ALT")),0)</f>
        <v>128767.25454645349</v>
      </c>
      <c r="I251" s="35">
        <f t="shared" si="13"/>
        <v>5093802.7814902263</v>
      </c>
    </row>
    <row r="252" spans="1:9" ht="10" customHeight="1" x14ac:dyDescent="0.2">
      <c r="A252" s="16" t="s">
        <v>358</v>
      </c>
      <c r="B252" s="35">
        <f>IFERROR(B$249*(SUMIFS(JB_26BV,JB_B,1,JB_EX,"P-5c",JB_CC,"Change Orders",JB_H,"DDG",JB_RC,"ALT"))/(SUMIFS(JB_26BV,JB_B,1,JB_EX,"P-5c",JB_H,"DDG",JB_RC,"ALT")),0)</f>
        <v>182988.63166662541</v>
      </c>
      <c r="C252" s="17">
        <f>IFERROR(C$249*(SUMIFS(JB_26BV,JB_B,1,JB_EX,"P-5c",JB_CC,"Change Orders",JB_H,"T-AO",JB_RC,"ALT"))/(SUMIFS(JB_26BV,JB_B,1,JB_EX,"P-5c",JB_H,"T-AO",JB_RC,"ALT")),0)</f>
        <v>129924.64222614841</v>
      </c>
      <c r="D252" s="17">
        <f>IFERROR(D$249*(SUMIFS(JB_26BV,JB_B,1,JB_EX,"P-5c",JB_CC,"Change Orders",JB_H,"LPD",JB_RC,"ALT"))/(SUMIFS(JB_26BV,JB_B,1,JB_EX,"P-5c",JB_H,"LPD",JB_RC,"ALT")),0)</f>
        <v>18762.967627836264</v>
      </c>
      <c r="E252" s="17">
        <f>IFERROR(E$249*(SUMIFS(JB_26BV,JB_B,1,JB_EX,"P-5c",JB_CC,"Change Orders",JB_H,"LHA",JB_RC,"ALT"))/(SUMIFS(JB_26BV,JB_B,1,JB_EX,"P-5c",JB_H,"LHA",JB_RC,"ALT")),0)</f>
        <v>37753.803649521251</v>
      </c>
      <c r="F252" s="17">
        <f>IFERROR(F$249*(SUMIFS(JB_26BV,JB_B,1,JB_EX,"P-5c",JB_CC,"Change Orders",JB_H,"T-AGOS",JB_RC,"ALT"))/(SUMIFS(JB_26BV,JB_B,1,JB_EX,"P-5c",JB_H,"T-AGOS",JB_RC,"ALT")),0)</f>
        <v>11518.823857509389</v>
      </c>
      <c r="G252" s="17">
        <f>IFERROR(G$249*(SUMIFS(JB_26BV,JB_B,1,JB_EX,"P-5c",JB_CC,"Change Orders",JB_H,"FFG",JB_RC,"ALT"))/(SUMIFS(JB_26BV,JB_B,1,JB_EX,"P-5c",JB_H,"FFG",JB_RC,"ALT")),0)</f>
        <v>2793.6086928780542</v>
      </c>
      <c r="H252" s="17">
        <f>IFERROR(H$249*(SUMIFS(JB_26BV,JB_B,1,JB_EX,"P-5c",JB_CC,"Change Orders",JB_H,"T-ATS",JB_RC,"ALT"))/(SUMIFS(JB_26BV,JB_B,1,JB_EX,"P-5c",JB_H,"T-ATS",JB_RC,"ALT")),0)</f>
        <v>3876.2650403823964</v>
      </c>
      <c r="I252" s="35">
        <f t="shared" si="13"/>
        <v>387618.74276090122</v>
      </c>
    </row>
    <row r="253" spans="1:9" ht="10" customHeight="1" x14ac:dyDescent="0.2">
      <c r="A253" s="16" t="s">
        <v>361</v>
      </c>
      <c r="B253" s="35">
        <f>IFERROR(B$249*(SUMIFS(JB_26BV,JB_B,1,JB_EX,"P-5c",JB_CC,"Electronics",JB_H,"DDG",JB_RC,"ALT"))/(SUMIFS(JB_26BV,JB_B,1,JB_EX,"P-5c",JB_H,"DDG",JB_RC,"ALT")),0)</f>
        <v>625754.97886348865</v>
      </c>
      <c r="C253" s="17">
        <f>IFERROR(C$249*(SUMIFS(JB_26BV,JB_B,1,JB_EX,"P-5c",JB_CC,"Electronics",JB_H,"T-AO",JB_RC,"ALT"))/(SUMIFS(JB_26BV,JB_B,1,JB_EX,"P-5c",JB_H,"T-AO",JB_RC,"ALT")),0)</f>
        <v>848391.46757950529</v>
      </c>
      <c r="D253" s="17">
        <f>IFERROR(D$249*(SUMIFS(JB_26BV,JB_B,1,JB_EX,"P-5c",JB_CC,"Electronics",JB_H,"LPD",JB_RC,"ALT"))/(SUMIFS(JB_26BV,JB_B,1,JB_EX,"P-5c",JB_H,"LPD",JB_RC,"ALT")),0)</f>
        <v>131116.68995289857</v>
      </c>
      <c r="E253" s="17">
        <f>IFERROR(E$249*(SUMIFS(JB_26BV,JB_B,1,JB_EX,"P-5c",JB_CC,"Electronics",JB_H,"LHA",JB_RC,"ALT"))/(SUMIFS(JB_26BV,JB_B,1,JB_EX,"P-5c",JB_H,"LHA",JB_RC,"ALT")),0)</f>
        <v>180213.18211854887</v>
      </c>
      <c r="F253" s="17">
        <f>IFERROR(F$249*(SUMIFS(JB_26BV,JB_B,1,JB_EX,"P-5c",JB_CC,"Electronics",JB_H,"T-AGOS",JB_RC,"ALT"))/(SUMIFS(JB_26BV,JB_B,1,JB_EX,"P-5c",JB_H,"T-AGOS",JB_RC,"ALT")),0)</f>
        <v>97788.592260687423</v>
      </c>
      <c r="G253" s="17">
        <f>IFERROR(G$249*(SUMIFS(JB_26BV,JB_B,1,JB_EX,"P-5c",JB_CC,"Electronics",JB_H,"FFG",JB_RC,"ALT"))/(SUMIFS(JB_26BV,JB_B,1,JB_EX,"P-5c",JB_H,"FFG",JB_RC,"ALT")),0)</f>
        <v>55139.366641392073</v>
      </c>
      <c r="H253" s="17">
        <f>IFERROR(H$249*(SUMIFS(JB_26BV,JB_B,1,JB_EX,"P-5c",JB_CC,"Electronics",JB_H,"T-ATS",JB_RC,"ALT"))/(SUMIFS(JB_26BV,JB_B,1,JB_EX,"P-5c",JB_H,"T-ATS",JB_RC,"ALT")),0)</f>
        <v>8856.4804131641122</v>
      </c>
      <c r="I253" s="35">
        <f t="shared" si="13"/>
        <v>1947260.7578296845</v>
      </c>
    </row>
    <row r="254" spans="1:9" ht="10" customHeight="1" x14ac:dyDescent="0.2">
      <c r="A254" s="16" t="s">
        <v>367</v>
      </c>
      <c r="B254" s="35">
        <f>IFERROR(B$249*(SUMIFS(JB_26BV,JB_B,1,JB_EX,"P-5c",JB_CC,"Hull, Mechanical, and Electrical",JB_H,"DDG",JB_RC,"ALT"))/(SUMIFS(JB_26BV,JB_B,1,JB_EX,"P-5c",JB_H,"DDG",JB_RC,"ALT")),0)</f>
        <v>103030.9395497165</v>
      </c>
      <c r="C254" s="17">
        <f>IFERROR(C$249*(SUMIFS(JB_26BV,JB_B,1,JB_EX,"P-5c",JB_CC,"Hull, Mechanical, and Electrical",JB_H,"T-AO",JB_RC,"ALT"))/(SUMIFS(JB_26BV,JB_B,1,JB_EX,"P-5c",JB_H,"T-AO",JB_RC,"ALT")),0)</f>
        <v>255425.26815371026</v>
      </c>
      <c r="D254" s="17">
        <f>IFERROR(D$249*(SUMIFS(JB_26BV,JB_B,1,JB_EX,"P-5c",JB_CC,"Hull, Mechanical, and Electrical",JB_H,"LPD",JB_RC,"ALT"))/(SUMIFS(JB_26BV,JB_B,1,JB_EX,"P-5c",JB_H,"LPD",JB_RC,"ALT")),0)</f>
        <v>10876.624291462</v>
      </c>
      <c r="E254" s="17">
        <f>IFERROR(E$249*(SUMIFS(JB_26BV,JB_B,1,JB_EX,"P-5c",JB_CC,"Hull, Mechanical, and Electrical",JB_H,"LHA",JB_RC,"ALT"))/(SUMIFS(JB_26BV,JB_B,1,JB_EX,"P-5c",JB_H,"LHA",JB_RC,"ALT")),0)</f>
        <v>33288.415676726188</v>
      </c>
      <c r="F254" s="17">
        <f>IFERROR(F$249*(SUMIFS(JB_26BV,JB_B,1,JB_EX,"P-5c",JB_CC,"Hull, Mechanical, and Electrical",JB_H,"T-AGOS",JB_RC,"ALT"))/(SUMIFS(JB_26BV,JB_B,1,JB_EX,"P-5c",JB_H,"T-AGOS",JB_RC,"ALT")),0)</f>
        <v>18548.830688420916</v>
      </c>
      <c r="G254" s="17">
        <f>IFERROR(G$249*(SUMIFS(JB_26BV,JB_B,1,JB_EX,"P-5c",JB_CC,"Hull, Mechanical, and Electrical",JB_H,"FFG",JB_RC,"ALT"))/(SUMIFS(JB_26BV,JB_B,1,JB_EX,"P-5c",JB_H,"FFG",JB_RC,"ALT")),0)</f>
        <v>0</v>
      </c>
      <c r="H254" s="17">
        <f>IFERROR(H$249*(SUMIFS(JB_26BV,JB_B,1,JB_EX,"P-5c",JB_CC,"Hull, Mechanical, and Electrical",JB_H,"T-ATS",JB_RC,"ALT"))/(SUMIFS(JB_26BV,JB_B,1,JB_EX,"P-5c",JB_H,"T-ATS",JB_RC,"ALT")),0)</f>
        <v>0</v>
      </c>
      <c r="I254" s="35">
        <f t="shared" si="13"/>
        <v>421170.0783600359</v>
      </c>
    </row>
    <row r="255" spans="1:9" ht="10" customHeight="1" x14ac:dyDescent="0.2">
      <c r="A255" s="16" t="s">
        <v>370</v>
      </c>
      <c r="B255" s="35">
        <f>IFERROR(B$249*(SUMIFS(JB_26BV,JB_B,1,JB_EX,"P-5c",JB_CC,"Ordnance",JB_H,"DDG",JB_RC,"ALT"))/(SUMIFS(JB_26BV,JB_B,1,JB_EX,"P-5c",JB_H,"DDG",JB_RC,"ALT")),0)</f>
        <v>2442231.0657931818</v>
      </c>
      <c r="C255" s="17">
        <f>IFERROR(C$249*(SUMIFS(JB_26BV,JB_B,1,JB_EX,"P-5c",JB_CC,"Ordnance",JB_H,"T-AO",JB_RC,"ALT"))/(SUMIFS(JB_26BV,JB_B,1,JB_EX,"P-5c",JB_H,"T-AO",JB_RC,"ALT")),0)</f>
        <v>0</v>
      </c>
      <c r="D255" s="17">
        <f>IFERROR(D$249*(SUMIFS(JB_26BV,JB_B,1,JB_EX,"P-5c",JB_CC,"Ordnance",JB_H,"LPD",JB_RC,"ALT"))/(SUMIFS(JB_26BV,JB_B,1,JB_EX,"P-5c",JB_H,"LPD",JB_RC,"ALT")),0)</f>
        <v>54397.595746622901</v>
      </c>
      <c r="E255" s="17">
        <f>IFERROR(E$249*(SUMIFS(JB_26BV,JB_B,1,JB_EX,"P-5c",JB_CC,"Ordnance",JB_H,"LHA",JB_RC,"ALT"))/(SUMIFS(JB_26BV,JB_B,1,JB_EX,"P-5c",JB_H,"LHA",JB_RC,"ALT")),0)</f>
        <v>90772.015095215582</v>
      </c>
      <c r="F255" s="17">
        <f>IFERROR(F$249*(SUMIFS(JB_26BV,JB_B,1,JB_EX,"P-5c",JB_CC,"Ordnance",JB_H,"T-AGOS",JB_RC,"ALT"))/(SUMIFS(JB_26BV,JB_B,1,JB_EX,"P-5c",JB_H,"T-AGOS",JB_RC,"ALT")),0)</f>
        <v>0</v>
      </c>
      <c r="G255" s="17">
        <f>IFERROR(G$249*(SUMIFS(JB_26BV,JB_B,1,JB_EX,"P-5c",JB_CC,"Ordnance",JB_H,"FFG",JB_RC,"ALT"))/(SUMIFS(JB_26BV,JB_B,1,JB_EX,"P-5c",JB_H,"FFG",JB_RC,"ALT")),0)</f>
        <v>10880.073034183024</v>
      </c>
      <c r="H255" s="17">
        <f>IFERROR(H$249*(SUMIFS(JB_26BV,JB_B,1,JB_EX,"P-5c",JB_CC,"Ordnance",JB_H,"T-ATS",JB_RC,"ALT"))/(SUMIFS(JB_26BV,JB_B,1,JB_EX,"P-5c",JB_H,"T-ATS",JB_RC,"ALT")),0)</f>
        <v>0</v>
      </c>
      <c r="I255" s="35">
        <f t="shared" si="13"/>
        <v>2598280.7496692035</v>
      </c>
    </row>
    <row r="256" spans="1:9" ht="10" customHeight="1" x14ac:dyDescent="0.2">
      <c r="A256" s="16" t="s">
        <v>373</v>
      </c>
      <c r="B256" s="35">
        <f>IFERROR(B$249*(SUMIFS(JB_26BV,JB_B,1,JB_EX,"P-5c",JB_CC,"Other Cost",JB_H,"DDG",JB_RC,"ALT"))/(SUMIFS(JB_26BV,JB_B,1,JB_EX,"P-5c",JB_H,"DDG",JB_RC,"ALT")),0)</f>
        <v>114174.24647217088</v>
      </c>
      <c r="C256" s="17">
        <f>IFERROR(C$249*(SUMIFS(JB_26BV,JB_B,1,JB_EX,"P-5c",JB_CC,"Other Cost",JB_H,"T-AO",JB_RC,"ALT"))/(SUMIFS(JB_26BV,JB_B,1,JB_EX,"P-5c",JB_H,"T-AO",JB_RC,"ALT")),0)</f>
        <v>328923.1448763251</v>
      </c>
      <c r="D256" s="17">
        <f>IFERROR(D$249*(SUMIFS(JB_26BV,JB_B,1,JB_EX,"P-5c",JB_CC,"Other Cost",JB_H,"LPD",JB_RC,"ALT"))/(SUMIFS(JB_26BV,JB_B,1,JB_EX,"P-5c",JB_H,"LPD",JB_RC,"ALT")),0)</f>
        <v>4113.9146736004432</v>
      </c>
      <c r="E256" s="17">
        <f>IFERROR(E$249*(SUMIFS(JB_26BV,JB_B,1,JB_EX,"P-5c",JB_CC,"Other Cost",JB_H,"LHA",JB_RC,"ALT"))/(SUMIFS(JB_26BV,JB_B,1,JB_EX,"P-5c",JB_H,"LHA",JB_RC,"ALT")),0)</f>
        <v>37353.5809472252</v>
      </c>
      <c r="F256" s="17">
        <f>IFERROR(F$249*(SUMIFS(JB_26BV,JB_B,1,JB_EX,"P-5c",JB_CC,"Other Cost",JB_H,"T-AGOS",JB_RC,"ALT"))/(SUMIFS(JB_26BV,JB_B,1,JB_EX,"P-5c",JB_H,"T-AGOS",JB_RC,"ALT")),0)</f>
        <v>0</v>
      </c>
      <c r="G256" s="17">
        <f>IFERROR(G$249*(SUMIFS(JB_26BV,JB_B,1,JB_EX,"P-5c",JB_CC,"Other Cost",JB_H,"FFG",JB_RC,"ALT"))/(SUMIFS(JB_26BV,JB_B,1,JB_EX,"P-5c",JB_H,"FFG",JB_RC,"ALT")),0)</f>
        <v>8976.5517538145596</v>
      </c>
      <c r="H256" s="17">
        <f>IFERROR(H$249*(SUMIFS(JB_26BV,JB_B,1,JB_EX,"P-5c",JB_CC,"Other Cost",JB_H,"T-ATS",JB_RC,"ALT"))/(SUMIFS(JB_26BV,JB_B,1,JB_EX,"P-5c",JB_H,"T-ATS",JB_RC,"ALT")),0)</f>
        <v>0</v>
      </c>
      <c r="I256" s="35">
        <f t="shared" si="13"/>
        <v>493541.43872313621</v>
      </c>
    </row>
    <row r="257" spans="1:9" ht="10" customHeight="1" x14ac:dyDescent="0.2">
      <c r="A257" s="23" t="s">
        <v>9029</v>
      </c>
      <c r="B257" s="34">
        <f t="shared" ref="B257:I257" si="14">SUM(B250:B256)</f>
        <v>6823757.407581768</v>
      </c>
      <c r="C257" s="24">
        <f t="shared" si="14"/>
        <v>1699924.1511925794</v>
      </c>
      <c r="D257" s="24">
        <f t="shared" si="14"/>
        <v>1110036.9999999998</v>
      </c>
      <c r="E257" s="24">
        <f t="shared" si="14"/>
        <v>634963</v>
      </c>
      <c r="F257" s="24">
        <f t="shared" si="14"/>
        <v>612205</v>
      </c>
      <c r="G257" s="24">
        <f t="shared" si="14"/>
        <v>220526.58506583018</v>
      </c>
      <c r="H257" s="24">
        <f t="shared" si="14"/>
        <v>141500</v>
      </c>
      <c r="I257" s="34">
        <f t="shared" si="14"/>
        <v>11242913.143840179</v>
      </c>
    </row>
    <row r="258" spans="1:9" ht="10" customHeight="1" x14ac:dyDescent="0.2"/>
    <row r="259" spans="1:9" ht="10" customHeight="1" x14ac:dyDescent="0.2"/>
    <row r="260" spans="1:9" ht="10" customHeight="1" x14ac:dyDescent="0.2">
      <c r="A260" s="6" t="s">
        <v>9030</v>
      </c>
      <c r="B260" s="7"/>
      <c r="C260" s="7"/>
      <c r="D260" s="7"/>
      <c r="E260" s="7"/>
      <c r="F260" s="7"/>
      <c r="G260" s="7"/>
      <c r="H260" s="7"/>
      <c r="I260" s="7"/>
    </row>
    <row r="261" spans="1:9" ht="10" customHeight="1" x14ac:dyDescent="0.2">
      <c r="A261" s="30"/>
      <c r="B261" s="31" t="s">
        <v>50</v>
      </c>
      <c r="C261" s="30"/>
      <c r="D261" s="30"/>
      <c r="E261" s="30"/>
      <c r="F261" s="30"/>
      <c r="G261" s="30"/>
      <c r="H261" s="30"/>
      <c r="I261" s="32"/>
    </row>
    <row r="262" spans="1:9" ht="10" customHeight="1" x14ac:dyDescent="0.2">
      <c r="A262" s="15" t="s">
        <v>15</v>
      </c>
      <c r="B262" s="18" t="s">
        <v>120</v>
      </c>
      <c r="C262" s="15" t="s">
        <v>203</v>
      </c>
      <c r="D262" s="15" t="s">
        <v>150</v>
      </c>
      <c r="E262" s="15" t="s">
        <v>168</v>
      </c>
      <c r="F262" s="15" t="s">
        <v>215</v>
      </c>
      <c r="G262" s="15" t="s">
        <v>144</v>
      </c>
      <c r="H262" s="15" t="s">
        <v>227</v>
      </c>
      <c r="I262" s="18" t="s">
        <v>8808</v>
      </c>
    </row>
    <row r="263" spans="1:9" ht="10" customHeight="1" x14ac:dyDescent="0.2">
      <c r="A263" s="16" t="s">
        <v>351</v>
      </c>
      <c r="B263" s="33">
        <f>IFERROR((SUMIFS(JB_26BV,JB_B,1,JB_EX,"P-5c",JB_CC,"Plan Costs",JB_H,"DDG",JB_RC,"ALT"))/(SUMIFS(JB_26BV,JB_B,1,JB_EX,"P-5c",JB_H,"DDG",JB_RC,"ALT")),0)</f>
        <v>1.6297903282180056E-2</v>
      </c>
      <c r="C263" s="28">
        <f>IFERROR((SUMIFS(JB_26BV,JB_B,1,JB_EX,"P-5c",JB_CC,"Plan Costs",JB_H,"T-AO",JB_RC,"ALT"))/(SUMIFS(JB_26BV,JB_B,1,JB_EX,"P-5c",JB_H,"T-AO",JB_RC,"ALT")),0)</f>
        <v>0</v>
      </c>
      <c r="D263" s="28">
        <f>IFERROR((SUMIFS(JB_26BV,JB_B,1,JB_EX,"P-5c",JB_CC,"Plan Costs",JB_H,"LPD",JB_RC,"ALT"))/(SUMIFS(JB_26BV,JB_B,1,JB_EX,"P-5c",JB_H,"LPD",JB_RC,"ALT")),0)</f>
        <v>0</v>
      </c>
      <c r="E263" s="28">
        <f>IFERROR((SUMIFS(JB_26BV,JB_B,1,JB_EX,"P-5c",JB_CC,"Plan Costs",JB_H,"LHA",JB_RC,"ALT"))/(SUMIFS(JB_26BV,JB_B,1,JB_EX,"P-5c",JB_H,"LHA",JB_RC,"ALT")),0)</f>
        <v>0.10589863890597387</v>
      </c>
      <c r="F263" s="28">
        <f>IFERROR((SUMIFS(JB_26BV,JB_B,1,JB_EX,"P-5c",JB_CC,"Plan Costs",JB_H,"T-AGOS",JB_RC,"ALT"))/(SUMIFS(JB_26BV,JB_B,1,JB_EX,"P-5c",JB_H,"T-AGOS",JB_RC,"ALT")),0)</f>
        <v>0.15687133234450379</v>
      </c>
      <c r="G263" s="28">
        <f>IFERROR((SUMIFS(JB_26BV,JB_B,1,JB_EX,"P-5c",JB_CC,"Plan Costs",JB_H,"FFG",JB_RC,"ALT"))/(SUMIFS(JB_26BV,JB_B,1,JB_EX,"P-5c",JB_H,"FFG",JB_RC,"ALT")),0)</f>
        <v>8.4299802205270266E-2</v>
      </c>
      <c r="H263" s="28">
        <f>IFERROR((SUMIFS(JB_26BV,JB_B,1,JB_EX,"P-5c",JB_CC,"Plan Costs",JB_H,"T-ATS",JB_RC,"ALT"))/(SUMIFS(JB_26BV,JB_B,1,JB_EX,"P-5c",JB_H,"T-ATS",JB_RC,"ALT")),0)</f>
        <v>0</v>
      </c>
      <c r="I263" s="33">
        <f t="shared" ref="I263:I269" si="15">IFERROR(SUMPRODUCT(B263:H263,B$270:H$270)/I$270,0)</f>
        <v>2.5495116559367949E-2</v>
      </c>
    </row>
    <row r="264" spans="1:9" ht="10" customHeight="1" x14ac:dyDescent="0.2">
      <c r="A264" s="16" t="s">
        <v>179</v>
      </c>
      <c r="B264" s="33">
        <f>IFERROR((SUMIFS(JB_26BV,JB_B,1,JB_EX,"P-5c",JB_CC,"Basic Construction",JB_H,"DDG",JB_RC,"ALT"))/(SUMIFS(JB_26BV,JB_B,1,JB_EX,"P-5c",JB_H,"DDG",JB_RC,"ALT")),0)</f>
        <v>0.44890611772292655</v>
      </c>
      <c r="C264" s="28">
        <f>IFERROR((SUMIFS(JB_26BV,JB_B,1,JB_EX,"P-5c",JB_CC,"Basic Construction",JB_H,"T-AO",JB_RC,"ALT"))/(SUMIFS(JB_26BV,JB_B,1,JB_EX,"P-5c",JB_H,"T-AO",JB_RC,"ALT")),0)</f>
        <v>7.3727915194346294E-2</v>
      </c>
      <c r="D264" s="28">
        <f>IFERROR((SUMIFS(JB_26BV,JB_B,1,JB_EX,"P-5c",JB_CC,"Basic Construction",JB_H,"LPD",JB_RC,"ALT"))/(SUMIFS(JB_26BV,JB_B,1,JB_EX,"P-5c",JB_H,"LPD",JB_RC,"ALT")),0)</f>
        <v>0.80246803278411427</v>
      </c>
      <c r="E264" s="28">
        <f>IFERROR((SUMIFS(JB_26BV,JB_B,1,JB_EX,"P-5c",JB_CC,"Basic Construction",JB_H,"LHA",JB_RC,"ALT"))/(SUMIFS(JB_26BV,JB_B,1,JB_EX,"P-5c",JB_H,"LHA",JB_RC,"ALT")),0)</f>
        <v>0.29661615725185408</v>
      </c>
      <c r="F264" s="28">
        <f>IFERROR((SUMIFS(JB_26BV,JB_B,1,JB_EX,"P-5c",JB_CC,"Basic Construction",JB_H,"T-AGOS",JB_RC,"ALT"))/(SUMIFS(JB_26BV,JB_B,1,JB_EX,"P-5c",JB_H,"T-AGOS",JB_RC,"ALT")),0)</f>
        <v>0.63428318810760342</v>
      </c>
      <c r="G264" s="28">
        <f>IFERROR((SUMIFS(JB_26BV,JB_B,1,JB_EX,"P-5c",JB_CC,"Basic Construction",JB_H,"FFG",JB_RC,"ALT"))/(SUMIFS(JB_26BV,JB_B,1,JB_EX,"P-5c",JB_H,"FFG",JB_RC,"ALT")),0)</f>
        <v>0.50552244962763249</v>
      </c>
      <c r="H264" s="28">
        <f>IFERROR((SUMIFS(JB_26BV,JB_B,1,JB_EX,"P-5c",JB_CC,"Basic Construction",JB_H,"T-ATS",JB_RC,"ALT"))/(SUMIFS(JB_26BV,JB_B,1,JB_EX,"P-5c",JB_H,"T-ATS",JB_RC,"ALT")),0)</f>
        <v>0.91001593319048402</v>
      </c>
      <c r="I264" s="33">
        <f t="shared" si="15"/>
        <v>0.43111041479101347</v>
      </c>
    </row>
    <row r="265" spans="1:9" ht="10" customHeight="1" x14ac:dyDescent="0.2">
      <c r="A265" s="16" t="s">
        <v>358</v>
      </c>
      <c r="B265" s="33">
        <f>IFERROR((SUMIFS(JB_26BV,JB_B,1,JB_EX,"P-5c",JB_CC,"Change Orders",JB_H,"DDG",JB_RC,"ALT"))/(SUMIFS(JB_26BV,JB_B,1,JB_EX,"P-5c",JB_H,"DDG",JB_RC,"ALT")),0)</f>
        <v>2.5368821343550448E-2</v>
      </c>
      <c r="C265" s="28">
        <f>IFERROR((SUMIFS(JB_26BV,JB_B,1,JB_EX,"P-5c",JB_CC,"Change Orders",JB_H,"T-AO",JB_RC,"ALT"))/(SUMIFS(JB_26BV,JB_B,1,JB_EX,"P-5c",JB_H,"T-AO",JB_RC,"ALT")),0)</f>
        <v>6.9787985865724378E-2</v>
      </c>
      <c r="D265" s="28">
        <f>IFERROR((SUMIFS(JB_26BV,JB_B,1,JB_EX,"P-5c",JB_CC,"Change Orders",JB_H,"LPD",JB_RC,"ALT"))/(SUMIFS(JB_26BV,JB_B,1,JB_EX,"P-5c",JB_H,"LPD",JB_RC,"ALT")),0)</f>
        <v>1.6903011005791939E-2</v>
      </c>
      <c r="E265" s="28">
        <f>IFERROR((SUMIFS(JB_26BV,JB_B,1,JB_EX,"P-5c",JB_CC,"Change Orders",JB_H,"LHA",JB_RC,"ALT"))/(SUMIFS(JB_26BV,JB_B,1,JB_EX,"P-5c",JB_H,"LHA",JB_RC,"ALT")),0)</f>
        <v>5.9458273394703713E-2</v>
      </c>
      <c r="F265" s="28">
        <f>IFERROR((SUMIFS(JB_26BV,JB_B,1,JB_EX,"P-5c",JB_CC,"Change Orders",JB_H,"T-AGOS",JB_RC,"ALT"))/(SUMIFS(JB_26BV,JB_B,1,JB_EX,"P-5c",JB_H,"T-AGOS",JB_RC,"ALT")),0)</f>
        <v>1.8815305097980888E-2</v>
      </c>
      <c r="G265" s="28">
        <f>IFERROR((SUMIFS(JB_26BV,JB_B,1,JB_EX,"P-5c",JB_CC,"Change Orders",JB_H,"FFG",JB_RC,"ALT"))/(SUMIFS(JB_26BV,JB_B,1,JB_EX,"P-5c",JB_H,"FFG",JB_RC,"ALT")),0)</f>
        <v>1.1543837573876257E-2</v>
      </c>
      <c r="H265" s="28">
        <f>IFERROR((SUMIFS(JB_26BV,JB_B,1,JB_EX,"P-5c",JB_CC,"Change Orders",JB_H,"T-ATS",JB_RC,"ALT"))/(SUMIFS(JB_26BV,JB_B,1,JB_EX,"P-5c",JB_H,"T-ATS",JB_RC,"ALT")),0)</f>
        <v>2.7394099225317291E-2</v>
      </c>
      <c r="I265" s="33">
        <f t="shared" si="15"/>
        <v>3.280583959387904E-2</v>
      </c>
    </row>
    <row r="266" spans="1:9" ht="10" customHeight="1" x14ac:dyDescent="0.2">
      <c r="A266" s="16" t="s">
        <v>361</v>
      </c>
      <c r="B266" s="33">
        <f>IFERROR((SUMIFS(JB_26BV,JB_B,1,JB_EX,"P-5c",JB_CC,"Electronics",JB_H,"DDG",JB_RC,"ALT"))/(SUMIFS(JB_26BV,JB_B,1,JB_EX,"P-5c",JB_H,"DDG",JB_RC,"ALT")),0)</f>
        <v>8.6752199407370889E-2</v>
      </c>
      <c r="C266" s="28">
        <f>IFERROR((SUMIFS(JB_26BV,JB_B,1,JB_EX,"P-5c",JB_CC,"Electronics",JB_H,"T-AO",JB_RC,"ALT"))/(SUMIFS(JB_26BV,JB_B,1,JB_EX,"P-5c",JB_H,"T-AO",JB_RC,"ALT")),0)</f>
        <v>0.4557067137809187</v>
      </c>
      <c r="D266" s="28">
        <f>IFERROR((SUMIFS(JB_26BV,JB_B,1,JB_EX,"P-5c",JB_CC,"Electronics",JB_H,"LPD",JB_RC,"ALT"))/(SUMIFS(JB_26BV,JB_B,1,JB_EX,"P-5c",JB_H,"LPD",JB_RC,"ALT")),0)</f>
        <v>0.11811920679481724</v>
      </c>
      <c r="E266" s="28">
        <f>IFERROR((SUMIFS(JB_26BV,JB_B,1,JB_EX,"P-5c",JB_CC,"Electronics",JB_H,"LHA",JB_RC,"ALT"))/(SUMIFS(JB_26BV,JB_B,1,JB_EX,"P-5c",JB_H,"LHA",JB_RC,"ALT")),0)</f>
        <v>0.28381682415912246</v>
      </c>
      <c r="F266" s="28">
        <f>IFERROR((SUMIFS(JB_26BV,JB_B,1,JB_EX,"P-5c",JB_CC,"Electronics",JB_H,"T-AGOS",JB_RC,"ALT"))/(SUMIFS(JB_26BV,JB_B,1,JB_EX,"P-5c",JB_H,"T-AGOS",JB_RC,"ALT")),0)</f>
        <v>0.15973177654656107</v>
      </c>
      <c r="G266" s="28">
        <f>IFERROR((SUMIFS(JB_26BV,JB_B,1,JB_EX,"P-5c",JB_CC,"Electronics",JB_H,"FFG",JB_RC,"ALT"))/(SUMIFS(JB_26BV,JB_B,1,JB_EX,"P-5c",JB_H,"FFG",JB_RC,"ALT")),0)</f>
        <v>0.22784862248509119</v>
      </c>
      <c r="H266" s="28">
        <f>IFERROR((SUMIFS(JB_26BV,JB_B,1,JB_EX,"P-5c",JB_CC,"Electronics",JB_H,"T-ATS",JB_RC,"ALT"))/(SUMIFS(JB_26BV,JB_B,1,JB_EX,"P-5c",JB_H,"T-ATS",JB_RC,"ALT")),0)</f>
        <v>6.2589967584198672E-2</v>
      </c>
      <c r="I266" s="33">
        <f t="shared" si="15"/>
        <v>0.16480504429121651</v>
      </c>
    </row>
    <row r="267" spans="1:9" ht="10" customHeight="1" x14ac:dyDescent="0.2">
      <c r="A267" s="16" t="s">
        <v>367</v>
      </c>
      <c r="B267" s="33">
        <f>IFERROR((SUMIFS(JB_26BV,JB_B,1,JB_EX,"P-5c",JB_CC,"Hull, Mechanical, and Electrical",JB_H,"DDG",JB_RC,"ALT"))/(SUMIFS(JB_26BV,JB_B,1,JB_EX,"P-5c",JB_H,"DDG",JB_RC,"ALT")),0)</f>
        <v>1.428380263019159E-2</v>
      </c>
      <c r="C267" s="28">
        <f>IFERROR((SUMIFS(JB_26BV,JB_B,1,JB_EX,"P-5c",JB_CC,"Hull, Mechanical, and Electrical",JB_H,"T-AO",JB_RC,"ALT"))/(SUMIFS(JB_26BV,JB_B,1,JB_EX,"P-5c",JB_H,"T-AO",JB_RC,"ALT")),0)</f>
        <v>0.13719964664310955</v>
      </c>
      <c r="D267" s="28">
        <f>IFERROR((SUMIFS(JB_26BV,JB_B,1,JB_EX,"P-5c",JB_CC,"Hull, Mechanical, and Electrical",JB_H,"LPD",JB_RC,"ALT"))/(SUMIFS(JB_26BV,JB_B,1,JB_EX,"P-5c",JB_H,"LPD",JB_RC,"ALT")),0)</f>
        <v>9.7984340084717892E-3</v>
      </c>
      <c r="E267" s="28">
        <f>IFERROR((SUMIFS(JB_26BV,JB_B,1,JB_EX,"P-5c",JB_CC,"Hull, Mechanical, and Electrical",JB_H,"LHA",JB_RC,"ALT"))/(SUMIFS(JB_26BV,JB_B,1,JB_EX,"P-5c",JB_H,"LHA",JB_RC,"ALT")),0)</f>
        <v>5.2425756582235798E-2</v>
      </c>
      <c r="F267" s="28">
        <f>IFERROR((SUMIFS(JB_26BV,JB_B,1,JB_EX,"P-5c",JB_CC,"Hull, Mechanical, and Electrical",JB_H,"T-AGOS",JB_RC,"ALT"))/(SUMIFS(JB_26BV,JB_B,1,JB_EX,"P-5c",JB_H,"T-AGOS",JB_RC,"ALT")),0)</f>
        <v>3.0298397903350864E-2</v>
      </c>
      <c r="G267" s="28">
        <f>IFERROR((SUMIFS(JB_26BV,JB_B,1,JB_EX,"P-5c",JB_CC,"Hull, Mechanical, and Electrical",JB_H,"FFG",JB_RC,"ALT"))/(SUMIFS(JB_26BV,JB_B,1,JB_EX,"P-5c",JB_H,"FFG",JB_RC,"ALT")),0)</f>
        <v>0</v>
      </c>
      <c r="H267" s="28">
        <f>IFERROR((SUMIFS(JB_26BV,JB_B,1,JB_EX,"P-5c",JB_CC,"Hull, Mechanical, and Electrical",JB_H,"T-ATS",JB_RC,"ALT"))/(SUMIFS(JB_26BV,JB_B,1,JB_EX,"P-5c",JB_H,"T-ATS",JB_RC,"ALT")),0)</f>
        <v>0</v>
      </c>
      <c r="I267" s="33">
        <f t="shared" si="15"/>
        <v>3.5645433278089923E-2</v>
      </c>
    </row>
    <row r="268" spans="1:9" ht="10" customHeight="1" x14ac:dyDescent="0.2">
      <c r="A268" s="16" t="s">
        <v>370</v>
      </c>
      <c r="B268" s="33">
        <f>IFERROR((SUMIFS(JB_26BV,JB_B,1,JB_EX,"P-5c",JB_CC,"Ordnance",JB_H,"DDG",JB_RC,"ALT"))/(SUMIFS(JB_26BV,JB_B,1,JB_EX,"P-5c",JB_H,"DDG",JB_RC,"ALT")),0)</f>
        <v>0.33858127154396361</v>
      </c>
      <c r="C268" s="28">
        <f>IFERROR((SUMIFS(JB_26BV,JB_B,1,JB_EX,"P-5c",JB_CC,"Ordnance",JB_H,"T-AO",JB_RC,"ALT"))/(SUMIFS(JB_26BV,JB_B,1,JB_EX,"P-5c",JB_H,"T-AO",JB_RC,"ALT")),0)</f>
        <v>0</v>
      </c>
      <c r="D268" s="28">
        <f>IFERROR((SUMIFS(JB_26BV,JB_B,1,JB_EX,"P-5c",JB_CC,"Ordnance",JB_H,"LPD",JB_RC,"ALT"))/(SUMIFS(JB_26BV,JB_B,1,JB_EX,"P-5c",JB_H,"LPD",JB_RC,"ALT")),0)</f>
        <v>4.9005209507991983E-2</v>
      </c>
      <c r="E268" s="28">
        <f>IFERROR((SUMIFS(JB_26BV,JB_B,1,JB_EX,"P-5c",JB_CC,"Ordnance",JB_H,"LHA",JB_RC,"ALT"))/(SUMIFS(JB_26BV,JB_B,1,JB_EX,"P-5c",JB_H,"LHA",JB_RC,"ALT")),0)</f>
        <v>0.14295638501017474</v>
      </c>
      <c r="F268" s="28">
        <f>IFERROR((SUMIFS(JB_26BV,JB_B,1,JB_EX,"P-5c",JB_CC,"Ordnance",JB_H,"T-AGOS",JB_RC,"ALT"))/(SUMIFS(JB_26BV,JB_B,1,JB_EX,"P-5c",JB_H,"T-AGOS",JB_RC,"ALT")),0)</f>
        <v>0</v>
      </c>
      <c r="G268" s="28">
        <f>IFERROR((SUMIFS(JB_26BV,JB_B,1,JB_EX,"P-5c",JB_CC,"Ordnance",JB_H,"FFG",JB_RC,"ALT"))/(SUMIFS(JB_26BV,JB_B,1,JB_EX,"P-5c",JB_H,"FFG",JB_RC,"ALT")),0)</f>
        <v>4.495897948009514E-2</v>
      </c>
      <c r="H268" s="28">
        <f>IFERROR((SUMIFS(JB_26BV,JB_B,1,JB_EX,"P-5c",JB_CC,"Ordnance",JB_H,"T-ATS",JB_RC,"ALT"))/(SUMIFS(JB_26BV,JB_B,1,JB_EX,"P-5c",JB_H,"T-ATS",JB_RC,"ALT")),0)</f>
        <v>0</v>
      </c>
      <c r="I268" s="33">
        <f t="shared" si="15"/>
        <v>0.2199036632913553</v>
      </c>
    </row>
    <row r="269" spans="1:9" ht="10" customHeight="1" x14ac:dyDescent="0.2">
      <c r="A269" s="16" t="s">
        <v>373</v>
      </c>
      <c r="B269" s="33">
        <f>IFERROR((SUMIFS(JB_26BV,JB_B,1,JB_EX,"P-5c",JB_CC,"Other Cost",JB_H,"DDG",JB_RC,"ALT"))/(SUMIFS(JB_26BV,JB_B,1,JB_EX,"P-5c",JB_H,"DDG",JB_RC,"ALT")),0)</f>
        <v>1.5828666701349369E-2</v>
      </c>
      <c r="C269" s="28">
        <f>IFERROR((SUMIFS(JB_26BV,JB_B,1,JB_EX,"P-5c",JB_CC,"Other Cost",JB_H,"T-AO",JB_RC,"ALT"))/(SUMIFS(JB_26BV,JB_B,1,JB_EX,"P-5c",JB_H,"T-AO",JB_RC,"ALT")),0)</f>
        <v>0.17667844522968199</v>
      </c>
      <c r="D269" s="28">
        <f>IFERROR((SUMIFS(JB_26BV,JB_B,1,JB_EX,"P-5c",JB_CC,"Other Cost",JB_H,"LPD",JB_RC,"ALT"))/(SUMIFS(JB_26BV,JB_B,1,JB_EX,"P-5c",JB_H,"LPD",JB_RC,"ALT")),0)</f>
        <v>3.7061058988127806E-3</v>
      </c>
      <c r="E269" s="28">
        <f>IFERROR((SUMIFS(JB_26BV,JB_B,1,JB_EX,"P-5c",JB_CC,"Other Cost",JB_H,"LHA",JB_RC,"ALT"))/(SUMIFS(JB_26BV,JB_B,1,JB_EX,"P-5c",JB_H,"LHA",JB_RC,"ALT")),0)</f>
        <v>5.8827964695935354E-2</v>
      </c>
      <c r="F269" s="28">
        <f>IFERROR((SUMIFS(JB_26BV,JB_B,1,JB_EX,"P-5c",JB_CC,"Other Cost",JB_H,"T-AGOS",JB_RC,"ALT"))/(SUMIFS(JB_26BV,JB_B,1,JB_EX,"P-5c",JB_H,"T-AGOS",JB_RC,"ALT")),0)</f>
        <v>0</v>
      </c>
      <c r="G269" s="28">
        <f>IFERROR((SUMIFS(JB_26BV,JB_B,1,JB_EX,"P-5c",JB_CC,"Other Cost",JB_H,"FFG",JB_RC,"ALT"))/(SUMIFS(JB_26BV,JB_B,1,JB_EX,"P-5c",JB_H,"FFG",JB_RC,"ALT")),0)</f>
        <v>3.7093189065349419E-2</v>
      </c>
      <c r="H269" s="28">
        <f>IFERROR((SUMIFS(JB_26BV,JB_B,1,JB_EX,"P-5c",JB_CC,"Other Cost",JB_H,"T-ATS",JB_RC,"ALT"))/(SUMIFS(JB_26BV,JB_B,1,JB_EX,"P-5c",JB_H,"T-ATS",JB_RC,"ALT")),0)</f>
        <v>0</v>
      </c>
      <c r="I269" s="33">
        <f t="shared" si="15"/>
        <v>4.1770532447319694E-2</v>
      </c>
    </row>
    <row r="270" spans="1:9" ht="10" customHeight="1" x14ac:dyDescent="0.2">
      <c r="A270" s="23" t="s">
        <v>8840</v>
      </c>
      <c r="B270" s="34">
        <f>SUMIFS(JB_26BV,JB_B,1,JB_H,"DDG",JB_RC,"ADD")</f>
        <v>7213131</v>
      </c>
      <c r="C270" s="24">
        <f>SUMIFS(JB_26BV,JB_B,1,JB_H,"T-AO",JB_RC,"ADD")</f>
        <v>1861705</v>
      </c>
      <c r="D270" s="24">
        <f>SUMIFS(JB_26BV,JB_B,1,JB_H,"LPD",JB_RC,"ADD")</f>
        <v>1110037</v>
      </c>
      <c r="E270" s="24">
        <f>SUMIFS(JB_26BV,JB_B,1,JB_H,"LHA",JB_RC,"ADD")</f>
        <v>634963</v>
      </c>
      <c r="F270" s="24">
        <f>SUMIFS(JB_26BV,JB_B,1,JB_H,"T-AGOS",JB_RC,"ADD")</f>
        <v>612205</v>
      </c>
      <c r="G270" s="24">
        <f>SUMIFS(JB_26BV,JB_B,1,JB_H,"FFG",JB_RC,"ADD")</f>
        <v>242000</v>
      </c>
      <c r="H270" s="24">
        <f>SUMIFS(JB_26BV,JB_B,1,JB_H,"T-ATS",JB_RC,"ADD")</f>
        <v>141500</v>
      </c>
      <c r="I270" s="34">
        <f>SUM(B270:H270)</f>
        <v>11815541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L6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9031</v>
      </c>
      <c r="B1" s="21"/>
      <c r="C1" s="21"/>
      <c r="D1" s="21"/>
      <c r="E1" s="21"/>
      <c r="F1" s="21"/>
      <c r="G1" s="21"/>
      <c r="H1" s="21"/>
      <c r="I1" s="21"/>
      <c r="J1" s="21"/>
      <c r="K1" s="21"/>
      <c r="L1" s="21"/>
    </row>
    <row r="2" spans="1:12" ht="10" customHeight="1" x14ac:dyDescent="0.2">
      <c r="A2" s="22" t="s">
        <v>9032</v>
      </c>
    </row>
    <row r="3" spans="1:12" ht="10" customHeight="1" x14ac:dyDescent="0.2"/>
    <row r="4" spans="1:12" ht="10" customHeight="1" x14ac:dyDescent="0.2">
      <c r="A4" s="6" t="s">
        <v>9033</v>
      </c>
      <c r="B4" s="7"/>
    </row>
    <row r="5" spans="1:12" ht="10" customHeight="1" x14ac:dyDescent="0.2">
      <c r="A5" s="16" t="s">
        <v>9034</v>
      </c>
      <c r="B5" s="17">
        <f>SUMIFS(JB_26BV,JB_B,2,JB_RC,"ADD")+SUMIFS(JB_26BV,JB_B,3,JB_RC,"ADD")+SUMIFS(JB_26BV,JB_B,4,JB_RC,"ADD")+SUMIFS(JB_26BV,JB_B,5,JB_RC,"ADD")+SUMIFS(JB_26BV,JB_B,6,JB_RC,"ADD")+SUMIFS(JB_26BV,JB_B,7,JB_RC,"ADD")</f>
        <v>185615155</v>
      </c>
    </row>
    <row r="6" spans="1:12" ht="10" customHeight="1" x14ac:dyDescent="0.2">
      <c r="A6" s="16" t="s">
        <v>9035</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8825</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8826</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16" t="s">
        <v>8827</v>
      </c>
      <c r="B9" s="17">
        <f>-(SUMIFS(JB_26BV,JB_B,2,JB_V,"Boats",JB_RC,"ADD")+SUMIFS(JB_26BV,JB_B,3,JB_V,"Boats",JB_RC,"ADD")+SUMIFS(JB_26BV,JB_B,4,JB_V,"Boats",JB_RC,"ADD")+SUMIFS(JB_26BV,JB_B,5,JB_V,"Boats",JB_RC,"ADD")+SUMIFS(JB_26BV,JB_B,6,JB_V,"Boats",JB_RC,"ADD")+SUMIFS(JB_26BV,JB_B,7,JB_V,"Boats",JB_RC,"ADD"))</f>
        <v>0</v>
      </c>
    </row>
    <row r="10" spans="1:12" ht="10" customHeight="1" x14ac:dyDescent="0.2">
      <c r="A10" s="16" t="s">
        <v>8828</v>
      </c>
      <c r="B10" s="17">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0</v>
      </c>
    </row>
    <row r="11" spans="1:12" ht="10" customHeight="1" x14ac:dyDescent="0.2">
      <c r="A11" s="23" t="s">
        <v>9036</v>
      </c>
      <c r="B11" s="24">
        <f>SUM(B5:B10)</f>
        <v>24621788</v>
      </c>
    </row>
    <row r="12" spans="1:12" ht="10" customHeight="1" x14ac:dyDescent="0.2"/>
    <row r="13" spans="1:12" ht="10" customHeight="1" x14ac:dyDescent="0.2"/>
    <row r="14" spans="1:12" ht="10" customHeight="1" x14ac:dyDescent="0.2">
      <c r="A14" s="6" t="s">
        <v>9037</v>
      </c>
      <c r="B14" s="7"/>
      <c r="C14" s="7"/>
    </row>
    <row r="15" spans="1:12" ht="10" customHeight="1" x14ac:dyDescent="0.2">
      <c r="A15" s="15" t="s">
        <v>8799</v>
      </c>
      <c r="B15" s="15" t="s">
        <v>8800</v>
      </c>
      <c r="C15" s="15" t="s">
        <v>8832</v>
      </c>
    </row>
    <row r="16" spans="1:12" ht="10" customHeight="1" x14ac:dyDescent="0.2">
      <c r="A16" s="16" t="s">
        <v>4328</v>
      </c>
      <c r="B16" s="17">
        <f>SUMIFS(JB_26BV,JB_B,2,JB_V,"Auxiliary Ships",JB_RC,"ADD")+SUMIFS(JB_26BV,JB_B,2,JB_V,"Combatant Ships",JB_RC,"ADD")+SUMIFS(JB_26BV,JB_B,2,JB_V,"Cutters",JB_RC,"ADD")+SUMIFS(JB_26BV,JB_B,2,JB_V,"Unmanned Maritime Platforms",JB_RC,"ADD")</f>
        <v>11777059</v>
      </c>
      <c r="C16" s="28">
        <f t="shared" ref="C16:C21" si="0">IFERROR(B16/B$22,0)</f>
        <v>0.4783185932719427</v>
      </c>
    </row>
    <row r="17" spans="1:4" ht="10" customHeight="1" x14ac:dyDescent="0.2">
      <c r="A17" s="16" t="s">
        <v>9038</v>
      </c>
      <c r="B17" s="17">
        <f>SUMIFS(JB_26BV,JB_B,3,JB_V,"Auxiliary Ships",JB_RC,"ADD")+SUMIFS(JB_26BV,JB_B,3,JB_V,"Combatant Ships",JB_RC,"ADD")+SUMIFS(JB_26BV,JB_B,3,JB_V,"Cutters",JB_RC,"ADD")+SUMIFS(JB_26BV,JB_B,3,JB_V,"Unmanned Maritime Platforms",JB_RC,"ADD")</f>
        <v>207938</v>
      </c>
      <c r="C17" s="28">
        <f t="shared" si="0"/>
        <v>8.445284314851545E-3</v>
      </c>
    </row>
    <row r="18" spans="1:4" ht="10" customHeight="1" x14ac:dyDescent="0.2">
      <c r="A18" s="16" t="s">
        <v>9039</v>
      </c>
      <c r="B18" s="17">
        <f>SUMIFS(JB_26BV,JB_B,4,JB_V,"Auxiliary Ships",JB_RC,"ADD")+SUMIFS(JB_26BV,JB_B,4,JB_V,"Combatant Ships",JB_RC,"ADD")+SUMIFS(JB_26BV,JB_B,4,JB_V,"Cutters",JB_RC,"ADD")+SUMIFS(JB_26BV,JB_B,4,JB_V,"Unmanned Maritime Platforms",JB_RC,"ADD")</f>
        <v>10844235</v>
      </c>
      <c r="C18" s="28">
        <f t="shared" si="0"/>
        <v>0.44043247387232803</v>
      </c>
    </row>
    <row r="19" spans="1:4" ht="10" customHeight="1" x14ac:dyDescent="0.2">
      <c r="A19" s="16" t="s">
        <v>9040</v>
      </c>
      <c r="B19" s="17">
        <f>SUMIFS(JB_26BV,JB_B,5,JB_V,"Auxiliary Ships",JB_RC,"ADD")+SUMIFS(JB_26BV,JB_B,5,JB_V,"Combatant Ships",JB_RC,"ADD")+SUMIFS(JB_26BV,JB_B,5,JB_V,"Cutters",JB_RC,"ADD")+SUMIFS(JB_26BV,JB_B,5,JB_V,"Unmanned Maritime Platforms",JB_RC,"ADD")</f>
        <v>1598287</v>
      </c>
      <c r="C19" s="28">
        <f t="shared" si="0"/>
        <v>6.4913522933427906E-2</v>
      </c>
    </row>
    <row r="20" spans="1:4" ht="10" customHeight="1" x14ac:dyDescent="0.2">
      <c r="A20" s="16" t="s">
        <v>9041</v>
      </c>
      <c r="B20" s="17">
        <f>SUMIFS(JB_26BV,JB_B,6,JB_V,"Auxiliary Ships",JB_RC,"ADD")+SUMIFS(JB_26BV,JB_B,6,JB_V,"Combatant Ships",JB_RC,"ADD")+SUMIFS(JB_26BV,JB_B,6,JB_V,"Cutters",JB_RC,"ADD")+SUMIFS(JB_26BV,JB_B,6,JB_V,"Unmanned Maritime Platforms",JB_RC,"ADD")</f>
        <v>156196</v>
      </c>
      <c r="C20" s="28">
        <f t="shared" si="0"/>
        <v>6.3438122365443161E-3</v>
      </c>
    </row>
    <row r="21" spans="1:4" ht="10" customHeight="1" x14ac:dyDescent="0.2">
      <c r="A21" s="16" t="s">
        <v>5514</v>
      </c>
      <c r="B21" s="17">
        <f>SUMIFS(JB_26BV,JB_B,7,JB_V,"Auxiliary Ships",JB_RC,"ADD")+SUMIFS(JB_26BV,JB_B,7,JB_V,"Combatant Ships",JB_RC,"ADD")+SUMIFS(JB_26BV,JB_B,7,JB_V,"Cutters",JB_RC,"ADD")+SUMIFS(JB_26BV,JB_B,7,JB_V,"Unmanned Maritime Platforms",JB_RC,"ADD")</f>
        <v>38073</v>
      </c>
      <c r="C21" s="28">
        <f t="shared" si="0"/>
        <v>1.5463133709054762E-3</v>
      </c>
    </row>
    <row r="22" spans="1:4" ht="10" customHeight="1" x14ac:dyDescent="0.2">
      <c r="A22" s="23" t="s">
        <v>9036</v>
      </c>
      <c r="B22" s="24">
        <f>SUM(B16:B21)</f>
        <v>24621788</v>
      </c>
      <c r="C22" s="29">
        <v>1</v>
      </c>
    </row>
    <row r="23" spans="1:4" ht="10" customHeight="1" x14ac:dyDescent="0.2"/>
    <row r="24" spans="1:4" ht="10" customHeight="1" x14ac:dyDescent="0.2"/>
    <row r="25" spans="1:4" ht="10" customHeight="1" x14ac:dyDescent="0.2">
      <c r="A25" s="6" t="s">
        <v>9042</v>
      </c>
      <c r="B25" s="7"/>
      <c r="C25" s="7"/>
      <c r="D25" s="7"/>
    </row>
    <row r="26" spans="1:4" ht="10" customHeight="1" x14ac:dyDescent="0.2">
      <c r="A26" s="15" t="s">
        <v>20</v>
      </c>
      <c r="B26" s="15" t="s">
        <v>8831</v>
      </c>
      <c r="C26" s="15" t="s">
        <v>8800</v>
      </c>
      <c r="D26" s="15" t="s">
        <v>8832</v>
      </c>
    </row>
    <row r="27" spans="1:4" ht="10" customHeight="1" x14ac:dyDescent="0.2">
      <c r="A27" s="16" t="s">
        <v>52</v>
      </c>
      <c r="B27" s="16" t="s">
        <v>50</v>
      </c>
      <c r="C27" s="17">
        <f>SUMIFS(JB_26BV,JB_B,2,JB_W,"Submarines",JB_RC,"ADD")+SUMIFS(JB_26BV,JB_B,3,JB_W,"Submarines",JB_RC,"ADD")+SUMIFS(JB_26BV,JB_B,4,JB_W,"Submarines",JB_RC,"ADD")+SUMIFS(JB_26BV,JB_B,5,JB_W,"Submarines",JB_RC,"ADD")+SUMIFS(JB_26BV,JB_B,6,JB_W,"Submarines",JB_RC,"ADD")+SUMIFS(JB_26BV,JB_B,7,JB_W,"Submarines",JB_RC,"ADD")</f>
        <v>11566492</v>
      </c>
      <c r="D27" s="28">
        <f t="shared" ref="D27:D54" si="1">IFERROR(C27/C$55,0)</f>
        <v>0.46976653360836346</v>
      </c>
    </row>
    <row r="28" spans="1:4" ht="10" customHeight="1" x14ac:dyDescent="0.2">
      <c r="A28" s="16" t="s">
        <v>119</v>
      </c>
      <c r="B28" s="16" t="s">
        <v>50</v>
      </c>
      <c r="C28"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8" s="28">
        <f t="shared" si="1"/>
        <v>0.24904450481012996</v>
      </c>
    </row>
    <row r="29" spans="1:4" ht="10" customHeight="1" x14ac:dyDescent="0.2">
      <c r="A29" s="16" t="s">
        <v>69</v>
      </c>
      <c r="B29" s="16" t="s">
        <v>50</v>
      </c>
      <c r="C29"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9" s="28">
        <f t="shared" si="1"/>
        <v>0.2097122678499222</v>
      </c>
    </row>
    <row r="30" spans="1:4" ht="10" customHeight="1" x14ac:dyDescent="0.2">
      <c r="A30" s="16" t="s">
        <v>149</v>
      </c>
      <c r="B30" s="16" t="s">
        <v>50</v>
      </c>
      <c r="C30"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30" s="28">
        <f t="shared" si="1"/>
        <v>6.3772094861672915E-2</v>
      </c>
    </row>
    <row r="31" spans="1:4" ht="10" customHeight="1" x14ac:dyDescent="0.2">
      <c r="A31" s="16" t="s">
        <v>182</v>
      </c>
      <c r="B31" s="16" t="s">
        <v>50</v>
      </c>
      <c r="C31"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31" s="28">
        <f t="shared" si="1"/>
        <v>2.5073321238896218E-3</v>
      </c>
    </row>
    <row r="32" spans="1:4" ht="10" customHeight="1" x14ac:dyDescent="0.2">
      <c r="A32" s="16" t="s">
        <v>4856</v>
      </c>
      <c r="B32" s="16" t="s">
        <v>50</v>
      </c>
      <c r="C32"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2" s="28">
        <f t="shared" si="1"/>
        <v>1.6833870878914237E-3</v>
      </c>
    </row>
    <row r="33" spans="1:4" ht="10" customHeight="1" x14ac:dyDescent="0.2">
      <c r="A33" s="16" t="s">
        <v>214</v>
      </c>
      <c r="B33" s="16" t="s">
        <v>50</v>
      </c>
      <c r="C33"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3" s="28">
        <f t="shared" si="1"/>
        <v>1.2659113139955555E-3</v>
      </c>
    </row>
    <row r="34" spans="1:4" ht="10" customHeight="1" x14ac:dyDescent="0.2">
      <c r="A34" s="16" t="s">
        <v>4684</v>
      </c>
      <c r="B34" s="16" t="s">
        <v>50</v>
      </c>
      <c r="C34" s="17">
        <f>SUMIFS(JB_26BV,JB_B,2,JB_W,"Mine Warfare",JB_RC,"ADD")+SUMIFS(JB_26BV,JB_B,3,JB_W,"Mine Warfare",JB_RC,"ADD")+SUMIFS(JB_26BV,JB_B,4,JB_W,"Mine Warfare",JB_RC,"ADD")+SUMIFS(JB_26BV,JB_B,5,JB_W,"Mine Warfare",JB_RC,"ADD")+SUMIFS(JB_26BV,JB_B,6,JB_W,"Mine Warfare",JB_RC,"ADD")+SUMIFS(JB_26BV,JB_B,7,JB_W,"Mine Warfare",JB_RC,"ADD")</f>
        <v>24349</v>
      </c>
      <c r="D34" s="28">
        <f t="shared" si="1"/>
        <v>9.8892086959728514E-4</v>
      </c>
    </row>
    <row r="35" spans="1:4" ht="10" customHeight="1" x14ac:dyDescent="0.2">
      <c r="A35" s="16" t="s">
        <v>5269</v>
      </c>
      <c r="B35" s="16" t="s">
        <v>50</v>
      </c>
      <c r="C35"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35" s="28">
        <f t="shared" si="1"/>
        <v>0</v>
      </c>
    </row>
    <row r="36" spans="1:4" ht="10" customHeight="1" x14ac:dyDescent="0.2">
      <c r="A36" s="16" t="s">
        <v>4963</v>
      </c>
      <c r="B36" s="16" t="s">
        <v>50</v>
      </c>
      <c r="C36"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36" s="28">
        <f t="shared" si="1"/>
        <v>0</v>
      </c>
    </row>
    <row r="37" spans="1:4" ht="10" customHeight="1" x14ac:dyDescent="0.2">
      <c r="A37" s="16" t="s">
        <v>202</v>
      </c>
      <c r="B37" s="16" t="s">
        <v>190</v>
      </c>
      <c r="C37"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7" s="28">
        <f t="shared" si="1"/>
        <v>0</v>
      </c>
    </row>
    <row r="38" spans="1:4" ht="10" customHeight="1" x14ac:dyDescent="0.2">
      <c r="A38" s="16" t="s">
        <v>5026</v>
      </c>
      <c r="B38" s="16" t="s">
        <v>190</v>
      </c>
      <c r="C38" s="17">
        <f>SUMIFS(JB_26BV,JB_B,2,JB_W,"Hospital Ship",JB_RC,"ADD")+SUMIFS(JB_26BV,JB_B,3,JB_W,"Hospital Ship",JB_RC,"ADD")+SUMIFS(JB_26BV,JB_B,4,JB_W,"Hospital Ship",JB_RC,"ADD")+SUMIFS(JB_26BV,JB_B,5,JB_W,"Hospital Ship",JB_RC,"ADD")+SUMIFS(JB_26BV,JB_B,6,JB_W,"Hospital Ship",JB_RC,"ADD")+SUMIFS(JB_26BV,JB_B,7,JB_W,"Hospital Ship",JB_RC,"ADD")</f>
        <v>0</v>
      </c>
      <c r="D38" s="28">
        <f t="shared" si="1"/>
        <v>0</v>
      </c>
    </row>
    <row r="39" spans="1:4" ht="10" customHeight="1" x14ac:dyDescent="0.2">
      <c r="A39" s="16" t="s">
        <v>233</v>
      </c>
      <c r="B39" s="16" t="s">
        <v>190</v>
      </c>
      <c r="C39"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39" s="28">
        <f t="shared" si="1"/>
        <v>0</v>
      </c>
    </row>
    <row r="40" spans="1:4" ht="10" customHeight="1" x14ac:dyDescent="0.2">
      <c r="A40" s="16" t="s">
        <v>5413</v>
      </c>
      <c r="B40" s="16" t="s">
        <v>50</v>
      </c>
      <c r="C40"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40" s="28">
        <f t="shared" si="1"/>
        <v>0</v>
      </c>
    </row>
    <row r="41" spans="1:4" ht="10" customHeight="1" x14ac:dyDescent="0.2">
      <c r="A41" s="16" t="s">
        <v>245</v>
      </c>
      <c r="B41" s="16" t="s">
        <v>50</v>
      </c>
      <c r="C41"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1" s="28">
        <f t="shared" si="1"/>
        <v>0</v>
      </c>
    </row>
    <row r="42" spans="1:4" ht="10" customHeight="1" x14ac:dyDescent="0.2">
      <c r="A42" s="16" t="s">
        <v>226</v>
      </c>
      <c r="B42" s="16" t="s">
        <v>190</v>
      </c>
      <c r="C42"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42" s="28">
        <f t="shared" si="1"/>
        <v>0</v>
      </c>
    </row>
    <row r="43" spans="1:4" ht="10" customHeight="1" x14ac:dyDescent="0.2">
      <c r="A43" s="16" t="s">
        <v>4676</v>
      </c>
      <c r="B43" s="16" t="s">
        <v>50</v>
      </c>
      <c r="C43"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43" s="28">
        <f t="shared" si="1"/>
        <v>0</v>
      </c>
    </row>
    <row r="44" spans="1:4" ht="10" customHeight="1" x14ac:dyDescent="0.2">
      <c r="A44" s="16" t="s">
        <v>5274</v>
      </c>
      <c r="B44" s="16" t="s">
        <v>50</v>
      </c>
      <c r="C44" s="17">
        <f>SUMIFS(JB_26BV,JB_B,2,JB_W,"Crane Ship",JB_RC,"ADD")+SUMIFS(JB_26BV,JB_B,3,JB_W,"Crane Ship",JB_RC,"ADD")+SUMIFS(JB_26BV,JB_B,4,JB_W,"Crane Ship",JB_RC,"ADD")+SUMIFS(JB_26BV,JB_B,5,JB_W,"Crane Ship",JB_RC,"ADD")+SUMIFS(JB_26BV,JB_B,6,JB_W,"Crane Ship",JB_RC,"ADD")+SUMIFS(JB_26BV,JB_B,7,JB_W,"Crane Ship",JB_RC,"ADD")</f>
        <v>0</v>
      </c>
      <c r="D44" s="28">
        <f t="shared" si="1"/>
        <v>0</v>
      </c>
    </row>
    <row r="45" spans="1:4" ht="10" customHeight="1" x14ac:dyDescent="0.2">
      <c r="A45" s="16" t="s">
        <v>5016</v>
      </c>
      <c r="B45" s="16" t="s">
        <v>50</v>
      </c>
      <c r="C45"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45" s="28">
        <f t="shared" si="1"/>
        <v>0</v>
      </c>
    </row>
    <row r="46" spans="1:4" ht="10" customHeight="1" x14ac:dyDescent="0.2">
      <c r="A46" s="16" t="s">
        <v>4982</v>
      </c>
      <c r="B46" s="16" t="s">
        <v>50</v>
      </c>
      <c r="C46"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6" s="28">
        <f t="shared" si="1"/>
        <v>0</v>
      </c>
    </row>
    <row r="47" spans="1:4" ht="10" customHeight="1" x14ac:dyDescent="0.2">
      <c r="A47" s="16" t="s">
        <v>4643</v>
      </c>
      <c r="B47" s="16" t="s">
        <v>50</v>
      </c>
      <c r="C47"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47" s="28">
        <f t="shared" si="1"/>
        <v>0</v>
      </c>
    </row>
    <row r="48" spans="1:4" ht="10" customHeight="1" x14ac:dyDescent="0.2">
      <c r="A48" s="16" t="s">
        <v>6807</v>
      </c>
      <c r="B48" s="16" t="s">
        <v>6805</v>
      </c>
      <c r="C48"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8" s="28">
        <f t="shared" si="1"/>
        <v>1.2590474745375925E-3</v>
      </c>
    </row>
    <row r="49" spans="1:11" ht="10" customHeight="1" x14ac:dyDescent="0.2">
      <c r="A49" s="16" t="s">
        <v>8196</v>
      </c>
      <c r="B49" s="16" t="s">
        <v>6805</v>
      </c>
      <c r="C49"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49" s="28">
        <f t="shared" si="1"/>
        <v>0</v>
      </c>
    </row>
    <row r="50" spans="1:11" ht="10" customHeight="1" x14ac:dyDescent="0.2">
      <c r="A50" s="16" t="s">
        <v>8207</v>
      </c>
      <c r="B50" s="16" t="s">
        <v>6805</v>
      </c>
      <c r="C50"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0" s="28">
        <f t="shared" si="1"/>
        <v>0</v>
      </c>
    </row>
    <row r="51" spans="1:11" ht="10" customHeight="1" x14ac:dyDescent="0.2">
      <c r="A51" s="16" t="s">
        <v>8203</v>
      </c>
      <c r="B51" s="16" t="s">
        <v>6805</v>
      </c>
      <c r="C51"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1" s="28">
        <f t="shared" si="1"/>
        <v>0</v>
      </c>
    </row>
    <row r="52" spans="1:11" ht="10" customHeight="1" x14ac:dyDescent="0.2">
      <c r="A52" s="16" t="s">
        <v>8182</v>
      </c>
      <c r="B52" s="16" t="s">
        <v>6805</v>
      </c>
      <c r="C52"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52" s="28">
        <f t="shared" si="1"/>
        <v>0</v>
      </c>
    </row>
    <row r="53" spans="1:11" ht="10" customHeight="1" x14ac:dyDescent="0.2">
      <c r="A53" s="16" t="s">
        <v>8188</v>
      </c>
      <c r="B53" s="16" t="s">
        <v>6805</v>
      </c>
      <c r="C53"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3" s="28">
        <f t="shared" si="1"/>
        <v>0</v>
      </c>
    </row>
    <row r="54" spans="1:11" ht="10" customHeight="1" x14ac:dyDescent="0.2">
      <c r="A54" s="16" t="s">
        <v>8169</v>
      </c>
      <c r="B54" s="16" t="s">
        <v>6805</v>
      </c>
      <c r="C54"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4" s="28">
        <f t="shared" si="1"/>
        <v>0</v>
      </c>
    </row>
    <row r="55" spans="1:11" ht="10" customHeight="1" x14ac:dyDescent="0.2">
      <c r="A55" s="23" t="s">
        <v>9036</v>
      </c>
      <c r="B55" s="23"/>
      <c r="C55" s="24">
        <f>SUM(C27:C54)</f>
        <v>24621788</v>
      </c>
      <c r="D55" s="29">
        <v>1</v>
      </c>
    </row>
    <row r="56" spans="1:11" ht="10" customHeight="1" x14ac:dyDescent="0.2"/>
    <row r="57" spans="1:11" ht="10" customHeight="1" x14ac:dyDescent="0.2"/>
    <row r="58" spans="1:11" ht="10" customHeight="1" x14ac:dyDescent="0.2">
      <c r="A58" s="6" t="s">
        <v>9043</v>
      </c>
      <c r="B58" s="7"/>
      <c r="C58" s="7"/>
      <c r="D58" s="7"/>
      <c r="E58" s="7"/>
      <c r="F58" s="7"/>
      <c r="G58" s="7"/>
      <c r="H58" s="7"/>
      <c r="I58" s="7"/>
      <c r="J58" s="7"/>
      <c r="K58" s="7"/>
    </row>
    <row r="59" spans="1:11" ht="10" customHeight="1" x14ac:dyDescent="0.2">
      <c r="A59" s="30"/>
      <c r="B59" s="31" t="s">
        <v>50</v>
      </c>
      <c r="C59" s="30"/>
      <c r="D59" s="30"/>
      <c r="E59" s="30"/>
      <c r="F59" s="30"/>
      <c r="G59" s="30"/>
      <c r="H59" s="30"/>
      <c r="I59" s="30"/>
      <c r="J59" s="31" t="s">
        <v>6805</v>
      </c>
      <c r="K59" s="32"/>
    </row>
    <row r="60" spans="1:11" ht="10" customHeight="1" x14ac:dyDescent="0.2">
      <c r="A60" s="15" t="s">
        <v>8799</v>
      </c>
      <c r="B60" s="18" t="s">
        <v>52</v>
      </c>
      <c r="C60" s="15" t="s">
        <v>119</v>
      </c>
      <c r="D60" s="15" t="s">
        <v>69</v>
      </c>
      <c r="E60" s="15" t="s">
        <v>149</v>
      </c>
      <c r="F60" s="15" t="s">
        <v>182</v>
      </c>
      <c r="G60" s="15" t="s">
        <v>4856</v>
      </c>
      <c r="H60" s="15" t="s">
        <v>214</v>
      </c>
      <c r="I60" s="15" t="s">
        <v>4684</v>
      </c>
      <c r="J60" s="18" t="s">
        <v>6807</v>
      </c>
      <c r="K60" s="18" t="s">
        <v>8808</v>
      </c>
    </row>
    <row r="61" spans="1:11" ht="10" customHeight="1" x14ac:dyDescent="0.2">
      <c r="A61" s="16" t="s">
        <v>4328</v>
      </c>
      <c r="B61" s="33">
        <f>IFERROR((SUMIFS(JB_26BV,JB_B,2,JB_W,"Submarines",JB_RC,"ADD"))/B$67,0)</f>
        <v>0.54625213936948214</v>
      </c>
      <c r="C61" s="28">
        <f>IFERROR((SUMIFS(JB_26BV,JB_B,2,JB_W,"Surface Combatants",JB_RC,"ADD"))/C$67,0)</f>
        <v>0.26936061309335196</v>
      </c>
      <c r="D61" s="28">
        <f>IFERROR((SUMIFS(JB_26BV,JB_B,2,JB_W,"Aircraft Carriers",JB_RC,"ADD"))/D$67,0)</f>
        <v>0.60086364050987984</v>
      </c>
      <c r="E61" s="28">
        <f>IFERROR((SUMIFS(JB_26BV,JB_B,2,JB_W,"Amphibious Warfare Ships",JB_RC,"ADD"))/E$67,0)</f>
        <v>0.40471142535615273</v>
      </c>
      <c r="F61" s="28">
        <f>IFERROR((SUMIFS(JB_26BV,JB_B,2,JB_W,"Expeditionary &amp; Seabasing Ships",JB_RC,"ADD"))/F$67,0)</f>
        <v>0.38328338867741152</v>
      </c>
      <c r="G61" s="28">
        <f>IFERROR((SUMIFS(JB_26BV,JB_B,2,JB_W,"Command Ships",JB_RC,"ADD"))/G$67,0)</f>
        <v>0.53493534066782478</v>
      </c>
      <c r="H61" s="28">
        <f>IFERROR((SUMIFS(JB_26BV,JB_B,2,JB_W,"Surveillance Ships",JB_RC,"ADD"))/H$67,0)</f>
        <v>0</v>
      </c>
      <c r="I61" s="28">
        <f>IFERROR((SUMIFS(JB_26BV,JB_B,2,JB_W,"Mine Warfare",JB_RC,"ADD"))/I$67,0)</f>
        <v>0.95613782906895561</v>
      </c>
      <c r="J61" s="33">
        <f>IFERROR((SUMIFS(JB_26BV,JB_B,2,JB_W,"National Security Cutters",JB_RC,"ADD"))/J$67,0)</f>
        <v>0</v>
      </c>
      <c r="K61" s="33">
        <f>IFERROR((SUMIFS(JB_26BV,JB_B,2,JB_V,"Auxiliary Ships",JB_RC,"ADD")+SUMIFS(JB_26BV,JB_B,2,JB_V,"Combatant Ships",JB_RC,"ADD")+SUMIFS(JB_26BV,JB_B,2,JB_V,"Cutters",JB_RC,"ADD")+SUMIFS(JB_26BV,JB_B,2,JB_V,"Unmanned Maritime Platforms",JB_RC,"ADD"))/K$67,0)</f>
        <v>0.4783185932719427</v>
      </c>
    </row>
    <row r="62" spans="1:11" ht="10" customHeight="1" x14ac:dyDescent="0.2">
      <c r="A62" s="16" t="s">
        <v>9038</v>
      </c>
      <c r="B62" s="33">
        <f>IFERROR((SUMIFS(JB_26BV,JB_B,3,JB_W,"Submarines",JB_RC,"ADD"))/B$67,0)</f>
        <v>0</v>
      </c>
      <c r="C62" s="28">
        <f>IFERROR((SUMIFS(JB_26BV,JB_B,3,JB_W,"Surface Combatants",JB_RC,"ADD"))/C$67,0)</f>
        <v>3.3736572927146324E-2</v>
      </c>
      <c r="D62" s="28">
        <f>IFERROR((SUMIFS(JB_26BV,JB_B,3,JB_W,"Aircraft Carriers",JB_RC,"ADD"))/D$67,0)</f>
        <v>0</v>
      </c>
      <c r="E62" s="28">
        <f>IFERROR((SUMIFS(JB_26BV,JB_B,3,JB_W,"Amphibious Warfare Ships",JB_RC,"ADD"))/E$67,0)</f>
        <v>0</v>
      </c>
      <c r="F62" s="28">
        <f>IFERROR((SUMIFS(JB_26BV,JB_B,3,JB_W,"Expeditionary &amp; Seabasing Ships",JB_RC,"ADD"))/F$67,0)</f>
        <v>0</v>
      </c>
      <c r="G62" s="28">
        <f>IFERROR((SUMIFS(JB_26BV,JB_B,3,JB_W,"Command Ships",JB_RC,"ADD"))/G$67,0)</f>
        <v>0</v>
      </c>
      <c r="H62" s="28">
        <f>IFERROR((SUMIFS(JB_26BV,JB_B,3,JB_W,"Surveillance Ships",JB_RC,"ADD"))/H$67,0)</f>
        <v>0</v>
      </c>
      <c r="I62" s="28">
        <f>IFERROR((SUMIFS(JB_26BV,JB_B,3,JB_W,"Mine Warfare",JB_RC,"ADD"))/I$67,0)</f>
        <v>4.3862170931044393E-2</v>
      </c>
      <c r="J62" s="33">
        <f>IFERROR((SUMIFS(JB_26BV,JB_B,3,JB_W,"National Security Cutters",JB_RC,"ADD"))/J$67,0)</f>
        <v>0</v>
      </c>
      <c r="K62" s="33">
        <f>IFERROR((SUMIFS(JB_26BV,JB_B,3,JB_V,"Auxiliary Ships",JB_RC,"ADD")+SUMIFS(JB_26BV,JB_B,3,JB_V,"Combatant Ships",JB_RC,"ADD")+SUMIFS(JB_26BV,JB_B,3,JB_V,"Cutters",JB_RC,"ADD")+SUMIFS(JB_26BV,JB_B,3,JB_V,"Unmanned Maritime Platforms",JB_RC,"ADD"))/K$67,0)</f>
        <v>8.445284314851545E-3</v>
      </c>
    </row>
    <row r="63" spans="1:11" ht="10" customHeight="1" x14ac:dyDescent="0.2">
      <c r="A63" s="16" t="s">
        <v>9039</v>
      </c>
      <c r="B63" s="33">
        <f>IFERROR((SUMIFS(JB_26BV,JB_B,4,JB_W,"Submarines",JB_RC,"ADD"))/B$67,0)</f>
        <v>0.4407659643044754</v>
      </c>
      <c r="C63" s="28">
        <f>IFERROR((SUMIFS(JB_26BV,JB_B,4,JB_W,"Surface Combatants",JB_RC,"ADD"))/C$67,0)</f>
        <v>0.69591764146994062</v>
      </c>
      <c r="D63" s="28">
        <f>IFERROR((SUMIFS(JB_26BV,JB_B,4,JB_W,"Aircraft Carriers",JB_RC,"ADD"))/D$67,0)</f>
        <v>9.3333366902353471E-2</v>
      </c>
      <c r="E63" s="28">
        <f>IFERROR((SUMIFS(JB_26BV,JB_B,4,JB_W,"Amphibious Warfare Ships",JB_RC,"ADD"))/E$67,0)</f>
        <v>0.59528857464384721</v>
      </c>
      <c r="F63" s="28">
        <f>IFERROR((SUMIFS(JB_26BV,JB_B,4,JB_W,"Expeditionary &amp; Seabasing Ships",JB_RC,"ADD"))/F$67,0)</f>
        <v>0</v>
      </c>
      <c r="G63" s="28">
        <f>IFERROR((SUMIFS(JB_26BV,JB_B,4,JB_W,"Command Ships",JB_RC,"ADD"))/G$67,0)</f>
        <v>0</v>
      </c>
      <c r="H63" s="28">
        <f>IFERROR((SUMIFS(JB_26BV,JB_B,4,JB_W,"Surveillance Ships",JB_RC,"ADD"))/H$67,0)</f>
        <v>1</v>
      </c>
      <c r="I63" s="28">
        <f>IFERROR((SUMIFS(JB_26BV,JB_B,4,JB_W,"Mine Warfare",JB_RC,"ADD"))/I$67,0)</f>
        <v>0</v>
      </c>
      <c r="J63" s="33">
        <f>IFERROR((SUMIFS(JB_26BV,JB_B,4,JB_W,"National Security Cutters",JB_RC,"ADD"))/J$67,0)</f>
        <v>1</v>
      </c>
      <c r="K63" s="33">
        <f>IFERROR((SUMIFS(JB_26BV,JB_B,4,JB_V,"Auxiliary Ships",JB_RC,"ADD")+SUMIFS(JB_26BV,JB_B,4,JB_V,"Combatant Ships",JB_RC,"ADD")+SUMIFS(JB_26BV,JB_B,4,JB_V,"Cutters",JB_RC,"ADD")+SUMIFS(JB_26BV,JB_B,4,JB_V,"Unmanned Maritime Platforms",JB_RC,"ADD"))/K$67,0)</f>
        <v>0.44043247387232803</v>
      </c>
    </row>
    <row r="64" spans="1:11" ht="10" customHeight="1" x14ac:dyDescent="0.2">
      <c r="A64" s="16" t="s">
        <v>9040</v>
      </c>
      <c r="B64" s="33">
        <f>IFERROR((SUMIFS(JB_26BV,JB_B,5,JB_W,"Submarines",JB_RC,"ADD"))/B$67,0)</f>
        <v>0</v>
      </c>
      <c r="C64" s="28">
        <f>IFERROR((SUMIFS(JB_26BV,JB_B,5,JB_W,"Surface Combatants",JB_RC,"ADD"))/C$67,0)</f>
        <v>0</v>
      </c>
      <c r="D64" s="28">
        <f>IFERROR((SUMIFS(JB_26BV,JB_B,5,JB_W,"Aircraft Carriers",JB_RC,"ADD"))/D$67,0)</f>
        <v>0.30580299258776666</v>
      </c>
      <c r="E64" s="28">
        <f>IFERROR((SUMIFS(JB_26BV,JB_B,5,JB_W,"Amphibious Warfare Ships",JB_RC,"ADD"))/E$67,0)</f>
        <v>0</v>
      </c>
      <c r="F64" s="28">
        <f>IFERROR((SUMIFS(JB_26BV,JB_B,5,JB_W,"Expeditionary &amp; Seabasing Ships",JB_RC,"ADD"))/F$67,0)</f>
        <v>0</v>
      </c>
      <c r="G64" s="28">
        <f>IFERROR((SUMIFS(JB_26BV,JB_B,5,JB_W,"Command Ships",JB_RC,"ADD"))/G$67,0)</f>
        <v>0.46506465933217528</v>
      </c>
      <c r="H64" s="28">
        <f>IFERROR((SUMIFS(JB_26BV,JB_B,5,JB_W,"Surveillance Ships",JB_RC,"ADD"))/H$67,0)</f>
        <v>0</v>
      </c>
      <c r="I64" s="28">
        <f>IFERROR((SUMIFS(JB_26BV,JB_B,5,JB_W,"Mine Warfare",JB_RC,"ADD"))/I$67,0)</f>
        <v>0</v>
      </c>
      <c r="J64" s="33">
        <f>IFERROR((SUMIFS(JB_26BV,JB_B,5,JB_W,"National Security Cutters",JB_RC,"ADD"))/J$67,0)</f>
        <v>0</v>
      </c>
      <c r="K64" s="33">
        <f>IFERROR((SUMIFS(JB_26BV,JB_B,5,JB_V,"Auxiliary Ships",JB_RC,"ADD")+SUMIFS(JB_26BV,JB_B,5,JB_V,"Combatant Ships",JB_RC,"ADD")+SUMIFS(JB_26BV,JB_B,5,JB_V,"Cutters",JB_RC,"ADD")+SUMIFS(JB_26BV,JB_B,5,JB_V,"Unmanned Maritime Platforms",JB_RC,"ADD"))/K$67,0)</f>
        <v>6.4913522933427906E-2</v>
      </c>
    </row>
    <row r="65" spans="1:11" ht="10" customHeight="1" x14ac:dyDescent="0.2">
      <c r="A65" s="16" t="s">
        <v>9041</v>
      </c>
      <c r="B65" s="33">
        <f>IFERROR((SUMIFS(JB_26BV,JB_B,6,JB_W,"Submarines",JB_RC,"ADD"))/B$67,0)</f>
        <v>1.2981896326042503E-2</v>
      </c>
      <c r="C65" s="28">
        <f>IFERROR((SUMIFS(JB_26BV,JB_B,6,JB_W,"Surface Combatants",JB_RC,"ADD"))/C$67,0)</f>
        <v>9.8517250956103321E-4</v>
      </c>
      <c r="D65" s="28">
        <f>IFERROR((SUMIFS(JB_26BV,JB_B,6,JB_W,"Aircraft Carriers",JB_RC,"ADD"))/D$67,0)</f>
        <v>0</v>
      </c>
      <c r="E65" s="28">
        <f>IFERROR((SUMIFS(JB_26BV,JB_B,6,JB_W,"Amphibious Warfare Ships",JB_RC,"ADD"))/E$67,0)</f>
        <v>0</v>
      </c>
      <c r="F65" s="28">
        <f>IFERROR((SUMIFS(JB_26BV,JB_B,6,JB_W,"Expeditionary &amp; Seabasing Ships",JB_RC,"ADD"))/F$67,0)</f>
        <v>0</v>
      </c>
      <c r="G65" s="28">
        <f>IFERROR((SUMIFS(JB_26BV,JB_B,6,JB_W,"Command Ships",JB_RC,"ADD"))/G$67,0)</f>
        <v>0</v>
      </c>
      <c r="H65" s="28">
        <f>IFERROR((SUMIFS(JB_26BV,JB_B,6,JB_W,"Surveillance Ships",JB_RC,"ADD"))/H$67,0)</f>
        <v>0</v>
      </c>
      <c r="I65" s="28">
        <f>IFERROR((SUMIFS(JB_26BV,JB_B,6,JB_W,"Mine Warfare",JB_RC,"ADD"))/I$67,0)</f>
        <v>0</v>
      </c>
      <c r="J65" s="33">
        <f>IFERROR((SUMIFS(JB_26BV,JB_B,6,JB_W,"National Security Cutters",JB_RC,"ADD"))/J$67,0)</f>
        <v>0</v>
      </c>
      <c r="K65" s="33">
        <f>IFERROR((SUMIFS(JB_26BV,JB_B,6,JB_V,"Auxiliary Ships",JB_RC,"ADD")+SUMIFS(JB_26BV,JB_B,6,JB_V,"Combatant Ships",JB_RC,"ADD")+SUMIFS(JB_26BV,JB_B,6,JB_V,"Cutters",JB_RC,"ADD")+SUMIFS(JB_26BV,JB_B,6,JB_V,"Unmanned Maritime Platforms",JB_RC,"ADD"))/K$67,0)</f>
        <v>6.3438122365443161E-3</v>
      </c>
    </row>
    <row r="66" spans="1:11" ht="10" customHeight="1" x14ac:dyDescent="0.2">
      <c r="A66" s="16" t="s">
        <v>5514</v>
      </c>
      <c r="B66" s="33">
        <f>IFERROR((SUMIFS(JB_26BV,JB_B,7,JB_W,"Submarines",JB_RC,"ADD"))/B$67,0)</f>
        <v>0</v>
      </c>
      <c r="C66" s="28">
        <f>IFERROR((SUMIFS(JB_26BV,JB_B,7,JB_W,"Surface Combatants",JB_RC,"ADD"))/C$67,0)</f>
        <v>0</v>
      </c>
      <c r="D66" s="28">
        <f>IFERROR((SUMIFS(JB_26BV,JB_B,7,JB_W,"Aircraft Carriers",JB_RC,"ADD"))/D$67,0)</f>
        <v>0</v>
      </c>
      <c r="E66" s="28">
        <f>IFERROR((SUMIFS(JB_26BV,JB_B,7,JB_W,"Amphibious Warfare Ships",JB_RC,"ADD"))/E$67,0)</f>
        <v>0</v>
      </c>
      <c r="F66" s="28">
        <f>IFERROR((SUMIFS(JB_26BV,JB_B,7,JB_W,"Expeditionary &amp; Seabasing Ships",JB_RC,"ADD"))/F$67,0)</f>
        <v>0.61671661132258848</v>
      </c>
      <c r="G66" s="28">
        <f>IFERROR((SUMIFS(JB_26BV,JB_B,7,JB_W,"Command Ships",JB_RC,"ADD"))/G$67,0)</f>
        <v>0</v>
      </c>
      <c r="H66" s="28">
        <f>IFERROR((SUMIFS(JB_26BV,JB_B,7,JB_W,"Surveillance Ships",JB_RC,"ADD"))/H$67,0)</f>
        <v>0</v>
      </c>
      <c r="I66" s="28">
        <f>IFERROR((SUMIFS(JB_26BV,JB_B,7,JB_W,"Mine Warfare",JB_RC,"ADD"))/I$67,0)</f>
        <v>0</v>
      </c>
      <c r="J66" s="33">
        <f>IFERROR((SUMIFS(JB_26BV,JB_B,7,JB_W,"National Security Cutters",JB_RC,"ADD"))/J$67,0)</f>
        <v>0</v>
      </c>
      <c r="K66" s="33">
        <f>IFERROR((SUMIFS(JB_26BV,JB_B,7,JB_V,"Auxiliary Ships",JB_RC,"ADD")+SUMIFS(JB_26BV,JB_B,7,JB_V,"Combatant Ships",JB_RC,"ADD")+SUMIFS(JB_26BV,JB_B,7,JB_V,"Cutters",JB_RC,"ADD")+SUMIFS(JB_26BV,JB_B,7,JB_V,"Unmanned Maritime Platforms",JB_RC,"ADD"))/K$67,0)</f>
        <v>1.5463133709054762E-3</v>
      </c>
    </row>
    <row r="67" spans="1:11" ht="10" customHeight="1" x14ac:dyDescent="0.2">
      <c r="A67" s="23" t="s">
        <v>8840</v>
      </c>
      <c r="B67" s="34">
        <f>SUMIFS(JB_26BV,JB_B,2,JB_W,"Submarines",JB_RC,"ADD")+SUMIFS(JB_26BV,JB_B,3,JB_W,"Submarines",JB_RC,"ADD")+SUMIFS(JB_26BV,JB_B,4,JB_W,"Submarines",JB_RC,"ADD")+SUMIFS(JB_26BV,JB_B,5,JB_W,"Submarines",JB_RC,"ADD")+SUMIFS(JB_26BV,JB_B,6,JB_W,"Submarines",JB_RC,"ADD")+SUMIFS(JB_26BV,JB_B,7,JB_W,"Submarines",JB_RC,"ADD")</f>
        <v>11566492</v>
      </c>
      <c r="C67"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7"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7"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7"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7"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7"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7" s="24">
        <f>SUMIFS(JB_26BV,JB_B,2,JB_W,"Mine Warfare",JB_RC,"ADD")+SUMIFS(JB_26BV,JB_B,3,JB_W,"Mine Warfare",JB_RC,"ADD")+SUMIFS(JB_26BV,JB_B,4,JB_W,"Mine Warfare",JB_RC,"ADD")+SUMIFS(JB_26BV,JB_B,5,JB_W,"Mine Warfare",JB_RC,"ADD")+SUMIFS(JB_26BV,JB_B,6,JB_W,"Mine Warfare",JB_RC,"ADD")+SUMIFS(JB_26BV,JB_B,7,JB_W,"Mine Warfare",JB_RC,"ADD")</f>
        <v>24349</v>
      </c>
      <c r="J67"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7" s="34">
        <f>SUM(B67:J67)</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O94"/>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0" t="s">
        <v>9044</v>
      </c>
      <c r="B1" s="21"/>
      <c r="C1" s="21"/>
      <c r="D1" s="21"/>
      <c r="E1" s="21"/>
      <c r="F1" s="21"/>
      <c r="G1" s="21"/>
      <c r="H1" s="21"/>
      <c r="I1" s="21"/>
      <c r="J1" s="21"/>
      <c r="K1" s="21"/>
      <c r="L1" s="21"/>
      <c r="M1" s="21"/>
      <c r="N1" s="21"/>
      <c r="O1" s="21"/>
    </row>
    <row r="2" spans="1:15" ht="10" customHeight="1" x14ac:dyDescent="0.2">
      <c r="A2" s="22" t="s">
        <v>9045</v>
      </c>
    </row>
    <row r="3" spans="1:15" ht="10" customHeight="1" x14ac:dyDescent="0.2"/>
    <row r="4" spans="1:15" ht="10" customHeight="1" x14ac:dyDescent="0.2">
      <c r="A4" s="6" t="s">
        <v>9046</v>
      </c>
      <c r="B4" s="7"/>
    </row>
    <row r="5" spans="1:15" ht="10" customHeight="1" x14ac:dyDescent="0.2">
      <c r="A5" s="16" t="s">
        <v>9036</v>
      </c>
      <c r="B5" s="38">
        <f>'FY26 MRO TAM'!B22</f>
        <v>24621788</v>
      </c>
    </row>
    <row r="6" spans="1:15" ht="10" customHeight="1" x14ac:dyDescent="0.2">
      <c r="A6" s="16" t="s">
        <v>8845</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5" ht="10" customHeight="1" x14ac:dyDescent="0.2">
      <c r="A7" s="16" t="s">
        <v>8846</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5" ht="10" customHeight="1" x14ac:dyDescent="0.2">
      <c r="A8" s="16" t="s">
        <v>8847</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5" ht="10" customHeight="1" x14ac:dyDescent="0.2">
      <c r="A9" s="16" t="s">
        <v>9047</v>
      </c>
      <c r="B9" s="17">
        <f>-(B5+B6+B7+B8-B10)</f>
        <v>-44114</v>
      </c>
    </row>
    <row r="10" spans="1:15" ht="10" customHeight="1" x14ac:dyDescent="0.2">
      <c r="A10" s="23" t="s">
        <v>9048</v>
      </c>
      <c r="B10" s="24">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7847691</v>
      </c>
    </row>
    <row r="11" spans="1:15" ht="10" customHeight="1" x14ac:dyDescent="0.2"/>
    <row r="12" spans="1:15" ht="10" customHeight="1" x14ac:dyDescent="0.2"/>
    <row r="13" spans="1:15" ht="10" customHeight="1" x14ac:dyDescent="0.2">
      <c r="A13" s="6" t="s">
        <v>9049</v>
      </c>
      <c r="B13" s="7"/>
      <c r="C13" s="7"/>
      <c r="D13" s="7"/>
      <c r="E13" s="7"/>
      <c r="F13" s="7"/>
      <c r="G13" s="7"/>
      <c r="H13" s="7"/>
    </row>
    <row r="14" spans="1:15" ht="10" customHeight="1" x14ac:dyDescent="0.2">
      <c r="A14" s="15" t="s">
        <v>20</v>
      </c>
      <c r="B14" s="15" t="s">
        <v>8831</v>
      </c>
      <c r="C14" s="15" t="s">
        <v>9050</v>
      </c>
      <c r="D14" s="15" t="s">
        <v>9051</v>
      </c>
      <c r="E14" s="15" t="s">
        <v>9052</v>
      </c>
      <c r="F14" s="15" t="s">
        <v>9053</v>
      </c>
      <c r="G14" s="15" t="s">
        <v>8840</v>
      </c>
      <c r="H14" s="15" t="s">
        <v>9054</v>
      </c>
    </row>
    <row r="15" spans="1:15" ht="10" customHeight="1" x14ac:dyDescent="0.2">
      <c r="A15" s="16" t="s">
        <v>119</v>
      </c>
      <c r="B15" s="16" t="s">
        <v>50</v>
      </c>
      <c r="C15" s="17">
        <f>SUMIFS(JB_26BV,JB_B,2,JB_W,"Surface Combatants",JB_RC,"ADD")</f>
        <v>1651698</v>
      </c>
      <c r="D15" s="17">
        <f>SUMIFS(JB_26BV,JB_B,3,JB_W,"Surface Combatants",JB_RC,"ADD")</f>
        <v>206870</v>
      </c>
      <c r="E15" s="17">
        <f>SUMIFS(JB_26BV,JB_B,4,JB_W,"Surface Combatants",JB_RC,"ADD")</f>
        <v>4267312</v>
      </c>
      <c r="F15" s="17">
        <f>SUMIFS(JB_26BV,JB_B,5,JB_W,"Surface Combatants",JB_RC,"ADD")</f>
        <v>0</v>
      </c>
      <c r="G15" s="17">
        <f t="shared" ref="G15:G39" si="0">SUM(C15:F15)</f>
        <v>6125880</v>
      </c>
      <c r="H15" s="28">
        <f t="shared" ref="H15:H39" si="1">IFERROR(G15/G$40,0)</f>
        <v>0.78059648373005508</v>
      </c>
    </row>
    <row r="16" spans="1:15" ht="10" customHeight="1" x14ac:dyDescent="0.2">
      <c r="A16" s="16" t="s">
        <v>149</v>
      </c>
      <c r="B16" s="16" t="s">
        <v>50</v>
      </c>
      <c r="C16" s="17">
        <f>SUMIFS(JB_26BV,JB_B,2,JB_W,"Amphibious Warfare Ships",JB_RC,"ADD")</f>
        <v>635471</v>
      </c>
      <c r="D16" s="17">
        <f>SUMIFS(JB_26BV,JB_B,3,JB_W,"Amphibious Warfare Ships",JB_RC,"ADD")</f>
        <v>0</v>
      </c>
      <c r="E16" s="17">
        <f>SUMIFS(JB_26BV,JB_B,4,JB_W,"Amphibious Warfare Ships",JB_RC,"ADD")</f>
        <v>934712</v>
      </c>
      <c r="F16" s="17">
        <f>SUMIFS(JB_26BV,JB_B,5,JB_W,"Amphibious Warfare Ships",JB_RC,"ADD")</f>
        <v>0</v>
      </c>
      <c r="G16" s="17">
        <f t="shared" si="0"/>
        <v>1570183</v>
      </c>
      <c r="H16" s="28">
        <f t="shared" si="1"/>
        <v>0.20008216429520478</v>
      </c>
    </row>
    <row r="17" spans="1:8" ht="10" customHeight="1" x14ac:dyDescent="0.2">
      <c r="A17" s="16" t="s">
        <v>4856</v>
      </c>
      <c r="B17" s="16" t="s">
        <v>50</v>
      </c>
      <c r="C17" s="17">
        <f>SUMIFS(JB_26BV,JB_B,2,JB_W,"Command Ships",JB_RC,"ADD")</f>
        <v>22172</v>
      </c>
      <c r="D17" s="17">
        <f>SUMIFS(JB_26BV,JB_B,3,JB_W,"Command Ships",JB_RC,"ADD")</f>
        <v>0</v>
      </c>
      <c r="E17" s="17">
        <f>SUMIFS(JB_26BV,JB_B,4,JB_W,"Command Ships",JB_RC,"ADD")</f>
        <v>0</v>
      </c>
      <c r="F17" s="17">
        <f>SUMIFS(JB_26BV,JB_B,5,JB_W,"Command Ships",JB_RC,"ADD")</f>
        <v>19276</v>
      </c>
      <c r="G17" s="17">
        <f t="shared" si="0"/>
        <v>41448</v>
      </c>
      <c r="H17" s="28">
        <f t="shared" si="1"/>
        <v>5.2815535168242479E-3</v>
      </c>
    </row>
    <row r="18" spans="1:8" ht="10" customHeight="1" x14ac:dyDescent="0.2">
      <c r="A18" s="16" t="s">
        <v>214</v>
      </c>
      <c r="B18" s="16" t="s">
        <v>50</v>
      </c>
      <c r="C18" s="17">
        <f>SUMIFS(JB_26BV,JB_B,2,JB_W,"Surveillance Ships",JB_RC,"ADD")</f>
        <v>0</v>
      </c>
      <c r="D18" s="17">
        <f>SUMIFS(JB_26BV,JB_B,3,JB_W,"Surveillance Ships",JB_RC,"ADD")</f>
        <v>0</v>
      </c>
      <c r="E18" s="17">
        <f>SUMIFS(JB_26BV,JB_B,4,JB_W,"Surveillance Ships",JB_RC,"ADD")</f>
        <v>31169</v>
      </c>
      <c r="F18" s="17">
        <f>SUMIFS(JB_26BV,JB_B,5,JB_W,"Surveillance Ships",JB_RC,"ADD")</f>
        <v>0</v>
      </c>
      <c r="G18" s="17">
        <f t="shared" si="0"/>
        <v>31169</v>
      </c>
      <c r="H18" s="28">
        <f t="shared" si="1"/>
        <v>3.9717414969575125E-3</v>
      </c>
    </row>
    <row r="19" spans="1:8" ht="10" customHeight="1" x14ac:dyDescent="0.2">
      <c r="A19" s="16" t="s">
        <v>4684</v>
      </c>
      <c r="B19" s="16" t="s">
        <v>50</v>
      </c>
      <c r="C19" s="17">
        <f>SUMIFS(JB_26BV,JB_B,2,JB_W,"Mine Warfare",JB_RC,"ADD")</f>
        <v>23281</v>
      </c>
      <c r="D19" s="17">
        <f>SUMIFS(JB_26BV,JB_B,3,JB_W,"Mine Warfare",JB_RC,"ADD")</f>
        <v>1068</v>
      </c>
      <c r="E19" s="17">
        <f>SUMIFS(JB_26BV,JB_B,4,JB_W,"Mine Warfare",JB_RC,"ADD")</f>
        <v>0</v>
      </c>
      <c r="F19" s="17">
        <f>SUMIFS(JB_26BV,JB_B,5,JB_W,"Mine Warfare",JB_RC,"ADD")</f>
        <v>0</v>
      </c>
      <c r="G19" s="17">
        <f t="shared" si="0"/>
        <v>24349</v>
      </c>
      <c r="H19" s="28">
        <f t="shared" si="1"/>
        <v>3.1026960669068137E-3</v>
      </c>
    </row>
    <row r="20" spans="1:8" ht="10" customHeight="1" x14ac:dyDescent="0.2">
      <c r="A20" s="16" t="s">
        <v>182</v>
      </c>
      <c r="B20" s="16" t="s">
        <v>50</v>
      </c>
      <c r="C20" s="17">
        <f>SUMIFS(JB_26BV,JB_B,2,JB_W,"Expeditionary &amp; Seabasing Ships",JB_RC,"ADD")</f>
        <v>23662</v>
      </c>
      <c r="D20" s="17">
        <f>SUMIFS(JB_26BV,JB_B,3,JB_W,"Expeditionary &amp; Seabasing Ships",JB_RC,"ADD")</f>
        <v>0</v>
      </c>
      <c r="E20" s="17">
        <f>SUMIFS(JB_26BV,JB_B,4,JB_W,"Expeditionary &amp; Seabasing Ships",JB_RC,"ADD")</f>
        <v>0</v>
      </c>
      <c r="F20" s="17">
        <f>SUMIFS(JB_26BV,JB_B,5,JB_W,"Expeditionary &amp; Seabasing Ships",JB_RC,"ADD")</f>
        <v>0</v>
      </c>
      <c r="G20" s="17">
        <f t="shared" si="0"/>
        <v>23662</v>
      </c>
      <c r="H20" s="28">
        <f t="shared" si="1"/>
        <v>3.0151543938210616E-3</v>
      </c>
    </row>
    <row r="21" spans="1:8" ht="10" customHeight="1" x14ac:dyDescent="0.2">
      <c r="A21" s="16" t="s">
        <v>5269</v>
      </c>
      <c r="B21" s="16" t="s">
        <v>50</v>
      </c>
      <c r="C21" s="17">
        <f>SUMIFS(JB_26BV,JB_B,2,JB_W,"Aviation Logistics Support Ship",JB_RC,"ADD")</f>
        <v>0</v>
      </c>
      <c r="D21" s="17">
        <f>SUMIFS(JB_26BV,JB_B,3,JB_W,"Aviation Logistics Support Ship",JB_RC,"ADD")</f>
        <v>0</v>
      </c>
      <c r="E21" s="17">
        <f>SUMIFS(JB_26BV,JB_B,4,JB_W,"Aviation Logistics Support Ship",JB_RC,"ADD")</f>
        <v>0</v>
      </c>
      <c r="F21" s="17">
        <f>SUMIFS(JB_26BV,JB_B,5,JB_W,"Aviation Logistics Support Ship",JB_RC,"ADD")</f>
        <v>0</v>
      </c>
      <c r="G21" s="17">
        <f t="shared" si="0"/>
        <v>0</v>
      </c>
      <c r="H21" s="28">
        <f t="shared" si="1"/>
        <v>0</v>
      </c>
    </row>
    <row r="22" spans="1:8" ht="10" customHeight="1" x14ac:dyDescent="0.2">
      <c r="A22" s="16" t="s">
        <v>4963</v>
      </c>
      <c r="B22" s="16" t="s">
        <v>50</v>
      </c>
      <c r="C22" s="17">
        <f>SUMIFS(JB_26BV,JB_B,2,JB_W,"Material Support Ships",JB_RC,"ADD")</f>
        <v>0</v>
      </c>
      <c r="D22" s="17">
        <f>SUMIFS(JB_26BV,JB_B,3,JB_W,"Material Support Ships",JB_RC,"ADD")</f>
        <v>0</v>
      </c>
      <c r="E22" s="17">
        <f>SUMIFS(JB_26BV,JB_B,4,JB_W,"Material Support Ships",JB_RC,"ADD")</f>
        <v>0</v>
      </c>
      <c r="F22" s="17">
        <f>SUMIFS(JB_26BV,JB_B,5,JB_W,"Material Support Ships",JB_RC,"ADD")</f>
        <v>0</v>
      </c>
      <c r="G22" s="17">
        <f t="shared" si="0"/>
        <v>0</v>
      </c>
      <c r="H22" s="28">
        <f t="shared" si="1"/>
        <v>0</v>
      </c>
    </row>
    <row r="23" spans="1:8" ht="10" customHeight="1" x14ac:dyDescent="0.2">
      <c r="A23" s="16" t="s">
        <v>5274</v>
      </c>
      <c r="B23" s="16" t="s">
        <v>50</v>
      </c>
      <c r="C23" s="17">
        <f>SUMIFS(JB_26BV,JB_B,2,JB_W,"Crane Ship",JB_RC,"ADD")</f>
        <v>0</v>
      </c>
      <c r="D23" s="17">
        <f>SUMIFS(JB_26BV,JB_B,3,JB_W,"Crane Ship",JB_RC,"ADD")</f>
        <v>0</v>
      </c>
      <c r="E23" s="17">
        <f>SUMIFS(JB_26BV,JB_B,4,JB_W,"Crane Ship",JB_RC,"ADD")</f>
        <v>0</v>
      </c>
      <c r="F23" s="17">
        <f>SUMIFS(JB_26BV,JB_B,5,JB_W,"Crane Ship",JB_RC,"ADD")</f>
        <v>0</v>
      </c>
      <c r="G23" s="17">
        <f t="shared" si="0"/>
        <v>0</v>
      </c>
      <c r="H23" s="28">
        <f t="shared" si="1"/>
        <v>0</v>
      </c>
    </row>
    <row r="24" spans="1:8" ht="10" customHeight="1" x14ac:dyDescent="0.2">
      <c r="A24" s="16" t="s">
        <v>202</v>
      </c>
      <c r="B24" s="16" t="s">
        <v>190</v>
      </c>
      <c r="C24" s="17">
        <f>SUMIFS(JB_26BV,JB_B,2,JB_W,"Combat Logistics Ships",JB_RC,"ADD")</f>
        <v>0</v>
      </c>
      <c r="D24" s="17">
        <f>SUMIFS(JB_26BV,JB_B,3,JB_W,"Combat Logistics Ships",JB_RC,"ADD")</f>
        <v>0</v>
      </c>
      <c r="E24" s="17">
        <f>SUMIFS(JB_26BV,JB_B,4,JB_W,"Combat Logistics Ships",JB_RC,"ADD")</f>
        <v>0</v>
      </c>
      <c r="F24" s="17">
        <f>SUMIFS(JB_26BV,JB_B,5,JB_W,"Combat Logistics Ships",JB_RC,"ADD")</f>
        <v>0</v>
      </c>
      <c r="G24" s="17">
        <f t="shared" si="0"/>
        <v>0</v>
      </c>
      <c r="H24" s="28">
        <f t="shared" si="1"/>
        <v>0</v>
      </c>
    </row>
    <row r="25" spans="1:8" ht="10" customHeight="1" x14ac:dyDescent="0.2">
      <c r="A25" s="16" t="s">
        <v>5016</v>
      </c>
      <c r="B25" s="16" t="s">
        <v>50</v>
      </c>
      <c r="C25" s="17">
        <f>SUMIFS(JB_26BV,JB_B,2,JB_W,"Submarine Escort Ship",JB_RC,"ADD")</f>
        <v>0</v>
      </c>
      <c r="D25" s="17">
        <f>SUMIFS(JB_26BV,JB_B,3,JB_W,"Submarine Escort Ship",JB_RC,"ADD")</f>
        <v>0</v>
      </c>
      <c r="E25" s="17">
        <f>SUMIFS(JB_26BV,JB_B,4,JB_W,"Submarine Escort Ship",JB_RC,"ADD")</f>
        <v>0</v>
      </c>
      <c r="F25" s="17">
        <f>SUMIFS(JB_26BV,JB_B,5,JB_W,"Submarine Escort Ship",JB_RC,"ADD")</f>
        <v>0</v>
      </c>
      <c r="G25" s="17">
        <f t="shared" si="0"/>
        <v>0</v>
      </c>
      <c r="H25" s="28">
        <f t="shared" si="1"/>
        <v>0</v>
      </c>
    </row>
    <row r="26" spans="1:8" ht="10" customHeight="1" x14ac:dyDescent="0.2">
      <c r="A26" s="16" t="s">
        <v>4982</v>
      </c>
      <c r="B26" s="16" t="s">
        <v>50</v>
      </c>
      <c r="C26" s="17">
        <f>SUMIFS(JB_26BV,JB_B,2,JB_W,"High Speed Transport",JB_RC,"ADD")</f>
        <v>0</v>
      </c>
      <c r="D26" s="17">
        <f>SUMIFS(JB_26BV,JB_B,3,JB_W,"High Speed Transport",JB_RC,"ADD")</f>
        <v>0</v>
      </c>
      <c r="E26" s="17">
        <f>SUMIFS(JB_26BV,JB_B,4,JB_W,"High Speed Transport",JB_RC,"ADD")</f>
        <v>0</v>
      </c>
      <c r="F26" s="17">
        <f>SUMIFS(JB_26BV,JB_B,5,JB_W,"High Speed Transport",JB_RC,"ADD")</f>
        <v>0</v>
      </c>
      <c r="G26" s="17">
        <f t="shared" si="0"/>
        <v>0</v>
      </c>
      <c r="H26" s="28">
        <f t="shared" si="1"/>
        <v>0</v>
      </c>
    </row>
    <row r="27" spans="1:8" ht="10" customHeight="1" x14ac:dyDescent="0.2">
      <c r="A27" s="16" t="s">
        <v>5026</v>
      </c>
      <c r="B27" s="16" t="s">
        <v>190</v>
      </c>
      <c r="C27" s="17">
        <f>SUMIFS(JB_26BV,JB_B,2,JB_W,"Hospital Ship",JB_RC,"ADD")</f>
        <v>0</v>
      </c>
      <c r="D27" s="17">
        <f>SUMIFS(JB_26BV,JB_B,3,JB_W,"Hospital Ship",JB_RC,"ADD")</f>
        <v>0</v>
      </c>
      <c r="E27" s="17">
        <f>SUMIFS(JB_26BV,JB_B,4,JB_W,"Hospital Ship",JB_RC,"ADD")</f>
        <v>0</v>
      </c>
      <c r="F27" s="17">
        <f>SUMIFS(JB_26BV,JB_B,5,JB_W,"Hospital Ship",JB_RC,"ADD")</f>
        <v>0</v>
      </c>
      <c r="G27" s="17">
        <f t="shared" si="0"/>
        <v>0</v>
      </c>
      <c r="H27" s="28">
        <f t="shared" si="1"/>
        <v>0</v>
      </c>
    </row>
    <row r="28" spans="1:8" ht="10" customHeight="1" x14ac:dyDescent="0.2">
      <c r="A28" s="16" t="s">
        <v>233</v>
      </c>
      <c r="B28" s="16" t="s">
        <v>190</v>
      </c>
      <c r="C28" s="17">
        <f>SUMIFS(JB_26BV,JB_B,2,JB_W,"Research, Survey &amp; Instrumentation Ships",JB_RC,"ADD")</f>
        <v>0</v>
      </c>
      <c r="D28" s="17">
        <f>SUMIFS(JB_26BV,JB_B,3,JB_W,"Research, Survey &amp; Instrumentation Ships",JB_RC,"ADD")</f>
        <v>0</v>
      </c>
      <c r="E28" s="17">
        <f>SUMIFS(JB_26BV,JB_B,4,JB_W,"Research, Survey &amp; Instrumentation Ships",JB_RC,"ADD")</f>
        <v>0</v>
      </c>
      <c r="F28" s="17">
        <f>SUMIFS(JB_26BV,JB_B,5,JB_W,"Research, Survey &amp; Instrumentation Ships",JB_RC,"ADD")</f>
        <v>0</v>
      </c>
      <c r="G28" s="17">
        <f t="shared" si="0"/>
        <v>0</v>
      </c>
      <c r="H28" s="28">
        <f t="shared" si="1"/>
        <v>0</v>
      </c>
    </row>
    <row r="29" spans="1:8" ht="10" customHeight="1" x14ac:dyDescent="0.2">
      <c r="A29" s="16" t="s">
        <v>245</v>
      </c>
      <c r="B29" s="16" t="s">
        <v>50</v>
      </c>
      <c r="C29" s="17">
        <f>SUMIFS(JB_26BV,JB_B,2,JB_W,"Cargo &amp; Vehicle Cargo Ships",JB_RC,"ADD")</f>
        <v>0</v>
      </c>
      <c r="D29" s="17">
        <f>SUMIFS(JB_26BV,JB_B,3,JB_W,"Cargo &amp; Vehicle Cargo Ships",JB_RC,"ADD")</f>
        <v>0</v>
      </c>
      <c r="E29" s="17">
        <f>SUMIFS(JB_26BV,JB_B,4,JB_W,"Cargo &amp; Vehicle Cargo Ships",JB_RC,"ADD")</f>
        <v>0</v>
      </c>
      <c r="F29" s="17">
        <f>SUMIFS(JB_26BV,JB_B,5,JB_W,"Cargo &amp; Vehicle Cargo Ships",JB_RC,"ADD")</f>
        <v>0</v>
      </c>
      <c r="G29" s="17">
        <f t="shared" si="0"/>
        <v>0</v>
      </c>
      <c r="H29" s="28">
        <f t="shared" si="1"/>
        <v>0</v>
      </c>
    </row>
    <row r="30" spans="1:8" ht="10" customHeight="1" x14ac:dyDescent="0.2">
      <c r="A30" s="16" t="s">
        <v>226</v>
      </c>
      <c r="B30" s="16" t="s">
        <v>190</v>
      </c>
      <c r="C30" s="17">
        <f>SUMIFS(JB_26BV,JB_B,2,JB_W,"Salvage Ships &amp; Fleet Ocean Tugs",JB_RC,"ADD")</f>
        <v>0</v>
      </c>
      <c r="D30" s="17">
        <f>SUMIFS(JB_26BV,JB_B,3,JB_W,"Salvage Ships &amp; Fleet Ocean Tugs",JB_RC,"ADD")</f>
        <v>0</v>
      </c>
      <c r="E30" s="17">
        <f>SUMIFS(JB_26BV,JB_B,4,JB_W,"Salvage Ships &amp; Fleet Ocean Tugs",JB_RC,"ADD")</f>
        <v>0</v>
      </c>
      <c r="F30" s="17">
        <f>SUMIFS(JB_26BV,JB_B,5,JB_W,"Salvage Ships &amp; Fleet Ocean Tugs",JB_RC,"ADD")</f>
        <v>0</v>
      </c>
      <c r="G30" s="17">
        <f t="shared" si="0"/>
        <v>0</v>
      </c>
      <c r="H30" s="28">
        <f t="shared" si="1"/>
        <v>0</v>
      </c>
    </row>
    <row r="31" spans="1:8" ht="10" customHeight="1" x14ac:dyDescent="0.2">
      <c r="A31" s="16" t="s">
        <v>5413</v>
      </c>
      <c r="B31" s="16" t="s">
        <v>50</v>
      </c>
      <c r="C31" s="17">
        <f>SUMIFS(JB_26BV,JB_B,2,JB_W,"Unmanned Surface Vehicles",JB_RC,"ADD")</f>
        <v>0</v>
      </c>
      <c r="D31" s="17">
        <f>SUMIFS(JB_26BV,JB_B,3,JB_W,"Unmanned Surface Vehicles",JB_RC,"ADD")</f>
        <v>0</v>
      </c>
      <c r="E31" s="17">
        <f>SUMIFS(JB_26BV,JB_B,4,JB_W,"Unmanned Surface Vehicles",JB_RC,"ADD")</f>
        <v>0</v>
      </c>
      <c r="F31" s="17">
        <f>SUMIFS(JB_26BV,JB_B,5,JB_W,"Unmanned Surface Vehicles",JB_RC,"ADD")</f>
        <v>0</v>
      </c>
      <c r="G31" s="17">
        <f t="shared" si="0"/>
        <v>0</v>
      </c>
      <c r="H31" s="28">
        <f t="shared" si="1"/>
        <v>0</v>
      </c>
    </row>
    <row r="32" spans="1:8" ht="10" customHeight="1" x14ac:dyDescent="0.2">
      <c r="A32" s="16" t="s">
        <v>4643</v>
      </c>
      <c r="B32" s="16" t="s">
        <v>50</v>
      </c>
      <c r="C32" s="17">
        <f>SUMIFS(JB_26BV,JB_B,2,JB_W,"General Auxiliary",JB_RC,"ADD")</f>
        <v>0</v>
      </c>
      <c r="D32" s="17">
        <f>SUMIFS(JB_26BV,JB_B,3,JB_W,"General Auxiliary",JB_RC,"ADD")</f>
        <v>0</v>
      </c>
      <c r="E32" s="17">
        <f>SUMIFS(JB_26BV,JB_B,4,JB_W,"General Auxiliary",JB_RC,"ADD")</f>
        <v>0</v>
      </c>
      <c r="F32" s="17">
        <f>SUMIFS(JB_26BV,JB_B,5,JB_W,"General Auxiliary",JB_RC,"ADD")</f>
        <v>0</v>
      </c>
      <c r="G32" s="17">
        <f t="shared" si="0"/>
        <v>0</v>
      </c>
      <c r="H32" s="28">
        <f t="shared" si="1"/>
        <v>0</v>
      </c>
    </row>
    <row r="33" spans="1:9" ht="10" customHeight="1" x14ac:dyDescent="0.2">
      <c r="A33" s="16" t="s">
        <v>6807</v>
      </c>
      <c r="B33" s="16" t="s">
        <v>6805</v>
      </c>
      <c r="C33" s="17">
        <f>SUMIFS(JB_26BV,JB_B,2,JB_W,"National Security Cutters",JB_RC,"ADD")</f>
        <v>0</v>
      </c>
      <c r="D33" s="17">
        <f>SUMIFS(JB_26BV,JB_B,3,JB_W,"National Security Cutters",JB_RC,"ADD")</f>
        <v>0</v>
      </c>
      <c r="E33" s="17">
        <f>SUMIFS(JB_26BV,JB_B,4,JB_W,"National Security Cutters",JB_RC,"ADD")</f>
        <v>31000</v>
      </c>
      <c r="F33" s="17">
        <f>SUMIFS(JB_26BV,JB_B,5,JB_W,"National Security Cutters",JB_RC,"ADD")</f>
        <v>0</v>
      </c>
      <c r="G33" s="17">
        <f t="shared" si="0"/>
        <v>31000</v>
      </c>
      <c r="H33" s="28">
        <f t="shared" si="1"/>
        <v>3.9502065002304503E-3</v>
      </c>
    </row>
    <row r="34" spans="1:9" ht="10" customHeight="1" x14ac:dyDescent="0.2">
      <c r="A34" s="16" t="s">
        <v>8203</v>
      </c>
      <c r="B34" s="16" t="s">
        <v>6805</v>
      </c>
      <c r="C34" s="17">
        <f>SUMIFS(JB_26BV,JB_B,2,JB_W,"Icebreakers, Great Lakes",JB_RC,"ADD")</f>
        <v>0</v>
      </c>
      <c r="D34" s="17">
        <f>SUMIFS(JB_26BV,JB_B,3,JB_W,"Icebreakers, Great Lakes",JB_RC,"ADD")</f>
        <v>0</v>
      </c>
      <c r="E34" s="17">
        <f>SUMIFS(JB_26BV,JB_B,4,JB_W,"Icebreakers, Great Lakes",JB_RC,"ADD")</f>
        <v>0</v>
      </c>
      <c r="F34" s="17">
        <f>SUMIFS(JB_26BV,JB_B,5,JB_W,"Icebreakers, Great Lakes",JB_RC,"ADD")</f>
        <v>0</v>
      </c>
      <c r="G34" s="17">
        <f t="shared" si="0"/>
        <v>0</v>
      </c>
      <c r="H34" s="28">
        <f t="shared" si="1"/>
        <v>0</v>
      </c>
    </row>
    <row r="35" spans="1:9" ht="10" customHeight="1" x14ac:dyDescent="0.2">
      <c r="A35" s="16" t="s">
        <v>8182</v>
      </c>
      <c r="B35" s="16" t="s">
        <v>6805</v>
      </c>
      <c r="C35" s="17">
        <f>SUMIFS(JB_26BV,JB_B,2,JB_W,"Offshore Patrol Cutter",JB_RC,"ADD")</f>
        <v>0</v>
      </c>
      <c r="D35" s="17">
        <f>SUMIFS(JB_26BV,JB_B,3,JB_W,"Offshore Patrol Cutter",JB_RC,"ADD")</f>
        <v>0</v>
      </c>
      <c r="E35" s="17">
        <f>SUMIFS(JB_26BV,JB_B,4,JB_W,"Offshore Patrol Cutter",JB_RC,"ADD")</f>
        <v>0</v>
      </c>
      <c r="F35" s="17">
        <f>SUMIFS(JB_26BV,JB_B,5,JB_W,"Offshore Patrol Cutter",JB_RC,"ADD")</f>
        <v>0</v>
      </c>
      <c r="G35" s="17">
        <f t="shared" si="0"/>
        <v>0</v>
      </c>
      <c r="H35" s="28">
        <f t="shared" si="1"/>
        <v>0</v>
      </c>
    </row>
    <row r="36" spans="1:9" ht="10" customHeight="1" x14ac:dyDescent="0.2">
      <c r="A36" s="16" t="s">
        <v>8188</v>
      </c>
      <c r="B36" s="16" t="s">
        <v>6805</v>
      </c>
      <c r="C36" s="17">
        <f>SUMIFS(JB_26BV,JB_B,2,JB_W,"Fast Response Cutters",JB_RC,"ADD")</f>
        <v>0</v>
      </c>
      <c r="D36" s="17">
        <f>SUMIFS(JB_26BV,JB_B,3,JB_W,"Fast Response Cutters",JB_RC,"ADD")</f>
        <v>0</v>
      </c>
      <c r="E36" s="17">
        <f>SUMIFS(JB_26BV,JB_B,4,JB_W,"Fast Response Cutters",JB_RC,"ADD")</f>
        <v>0</v>
      </c>
      <c r="F36" s="17">
        <f>SUMIFS(JB_26BV,JB_B,5,JB_W,"Fast Response Cutters",JB_RC,"ADD")</f>
        <v>0</v>
      </c>
      <c r="G36" s="17">
        <f t="shared" si="0"/>
        <v>0</v>
      </c>
      <c r="H36" s="28">
        <f t="shared" si="1"/>
        <v>0</v>
      </c>
    </row>
    <row r="37" spans="1:9" ht="10" customHeight="1" x14ac:dyDescent="0.2">
      <c r="A37" s="16" t="s">
        <v>8196</v>
      </c>
      <c r="B37" s="16" t="s">
        <v>6805</v>
      </c>
      <c r="C37" s="17">
        <f>SUMIFS(JB_26BV,JB_B,2,JB_W,"Icebreakers, Oceangoing",JB_RC,"ADD")</f>
        <v>0</v>
      </c>
      <c r="D37" s="17">
        <f>SUMIFS(JB_26BV,JB_B,3,JB_W,"Icebreakers, Oceangoing",JB_RC,"ADD")</f>
        <v>0</v>
      </c>
      <c r="E37" s="17">
        <f>SUMIFS(JB_26BV,JB_B,4,JB_W,"Icebreakers, Oceangoing",JB_RC,"ADD")</f>
        <v>0</v>
      </c>
      <c r="F37" s="17">
        <f>SUMIFS(JB_26BV,JB_B,5,JB_W,"Icebreakers, Oceangoing",JB_RC,"ADD")</f>
        <v>0</v>
      </c>
      <c r="G37" s="17">
        <f t="shared" si="0"/>
        <v>0</v>
      </c>
      <c r="H37" s="28">
        <f t="shared" si="1"/>
        <v>0</v>
      </c>
    </row>
    <row r="38" spans="1:9" ht="10" customHeight="1" x14ac:dyDescent="0.2">
      <c r="A38" s="16" t="s">
        <v>8207</v>
      </c>
      <c r="B38" s="16" t="s">
        <v>6805</v>
      </c>
      <c r="C38" s="17">
        <f>SUMIFS(JB_26BV,JB_B,2,JB_W,"Waterways Commerce Cutters",JB_RC,"ADD")</f>
        <v>0</v>
      </c>
      <c r="D38" s="17">
        <f>SUMIFS(JB_26BV,JB_B,3,JB_W,"Waterways Commerce Cutters",JB_RC,"ADD")</f>
        <v>0</v>
      </c>
      <c r="E38" s="17">
        <f>SUMIFS(JB_26BV,JB_B,4,JB_W,"Waterways Commerce Cutters",JB_RC,"ADD")</f>
        <v>0</v>
      </c>
      <c r="F38" s="17">
        <f>SUMIFS(JB_26BV,JB_B,5,JB_W,"Waterways Commerce Cutters",JB_RC,"ADD")</f>
        <v>0</v>
      </c>
      <c r="G38" s="17">
        <f t="shared" si="0"/>
        <v>0</v>
      </c>
      <c r="H38" s="28">
        <f t="shared" si="1"/>
        <v>0</v>
      </c>
    </row>
    <row r="39" spans="1:9" ht="10" customHeight="1" x14ac:dyDescent="0.2">
      <c r="A39" s="16" t="s">
        <v>8169</v>
      </c>
      <c r="B39" s="16" t="s">
        <v>6805</v>
      </c>
      <c r="C39" s="17">
        <f>SUMIFS(JB_26BV,JB_B,2,JB_W,"Coastal Buoy Tenders",JB_RC,"ADD")</f>
        <v>0</v>
      </c>
      <c r="D39" s="17">
        <f>SUMIFS(JB_26BV,JB_B,3,JB_W,"Coastal Buoy Tenders",JB_RC,"ADD")</f>
        <v>0</v>
      </c>
      <c r="E39" s="17">
        <f>SUMIFS(JB_26BV,JB_B,4,JB_W,"Coastal Buoy Tenders",JB_RC,"ADD")</f>
        <v>0</v>
      </c>
      <c r="F39" s="17">
        <f>SUMIFS(JB_26BV,JB_B,5,JB_W,"Coastal Buoy Tenders",JB_RC,"ADD")</f>
        <v>0</v>
      </c>
      <c r="G39" s="17">
        <f t="shared" si="0"/>
        <v>0</v>
      </c>
      <c r="H39" s="28">
        <f t="shared" si="1"/>
        <v>0</v>
      </c>
    </row>
    <row r="40" spans="1:9" ht="10" customHeight="1" x14ac:dyDescent="0.2">
      <c r="A40" s="23" t="s">
        <v>9048</v>
      </c>
      <c r="B40" s="23"/>
      <c r="C40" s="24">
        <f>SUM(C15:C39)</f>
        <v>2356284</v>
      </c>
      <c r="D40" s="24">
        <f>SUM(D15:D39)</f>
        <v>207938</v>
      </c>
      <c r="E40" s="24">
        <f>SUM(E15:E39)</f>
        <v>5264193</v>
      </c>
      <c r="F40" s="24">
        <f>SUM(F15:F39)</f>
        <v>19276</v>
      </c>
      <c r="G40" s="24">
        <f>SUM(G15:G39)</f>
        <v>7847691</v>
      </c>
      <c r="H40" s="29">
        <v>1</v>
      </c>
    </row>
    <row r="41" spans="1:9" ht="10" customHeight="1" x14ac:dyDescent="0.2"/>
    <row r="42" spans="1:9" ht="10" customHeight="1" x14ac:dyDescent="0.2"/>
    <row r="43" spans="1:9" ht="10" customHeight="1" x14ac:dyDescent="0.2">
      <c r="A43" s="6" t="s">
        <v>9055</v>
      </c>
      <c r="B43" s="7"/>
      <c r="C43" s="7"/>
      <c r="D43" s="7"/>
      <c r="E43" s="7"/>
      <c r="F43" s="7"/>
      <c r="G43" s="7"/>
      <c r="H43" s="7"/>
      <c r="I43" s="7"/>
    </row>
    <row r="44" spans="1:9" ht="10" customHeight="1" x14ac:dyDescent="0.2">
      <c r="A44" s="22" t="s">
        <v>9056</v>
      </c>
    </row>
    <row r="45" spans="1:9" ht="10" customHeight="1" x14ac:dyDescent="0.2">
      <c r="A45" s="15" t="s">
        <v>8835</v>
      </c>
      <c r="B45" s="15" t="s">
        <v>20</v>
      </c>
      <c r="C45" s="15" t="s">
        <v>8831</v>
      </c>
      <c r="D45" s="15" t="s">
        <v>9050</v>
      </c>
      <c r="E45" s="15" t="s">
        <v>9051</v>
      </c>
      <c r="F45" s="15" t="s">
        <v>9052</v>
      </c>
      <c r="G45" s="15" t="s">
        <v>9053</v>
      </c>
      <c r="H45" s="15" t="s">
        <v>8840</v>
      </c>
      <c r="I45" s="15" t="s">
        <v>8852</v>
      </c>
    </row>
    <row r="46" spans="1:9" ht="10" customHeight="1" x14ac:dyDescent="0.2">
      <c r="A46" s="16" t="s">
        <v>120</v>
      </c>
      <c r="B46" s="16" t="s">
        <v>119</v>
      </c>
      <c r="C46" s="16" t="s">
        <v>50</v>
      </c>
      <c r="D46" s="17">
        <f>SUMIFS(JB_26BV,JB_B,2,JB_H,"DDG",JB_RC,"ADD")</f>
        <v>959808</v>
      </c>
      <c r="E46" s="17">
        <f>SUMIFS(JB_26BV,JB_B,3,JB_H,"DDG",JB_RC,"ADD")</f>
        <v>131142</v>
      </c>
      <c r="F46" s="17">
        <f>SUMIFS(JB_26BV,JB_B,4,JB_H,"DDG",JB_RC,"ADD")</f>
        <v>3471430</v>
      </c>
      <c r="G46" s="17">
        <f>SUMIFS(JB_26BV,JB_B,5,JB_H,"DDG",JB_RC,"ADD")</f>
        <v>0</v>
      </c>
      <c r="H46" s="17">
        <f t="shared" ref="H46:H57" si="2">SUM(D46:G46)</f>
        <v>4562380</v>
      </c>
      <c r="I46" s="28">
        <f t="shared" ref="I46:I57" si="3">IFERROR(H46/H$58,0)</f>
        <v>0.58136590750069028</v>
      </c>
    </row>
    <row r="47" spans="1:9" ht="10" customHeight="1" x14ac:dyDescent="0.2">
      <c r="A47" s="16" t="s">
        <v>139</v>
      </c>
      <c r="B47" s="16" t="s">
        <v>119</v>
      </c>
      <c r="C47" s="16" t="s">
        <v>50</v>
      </c>
      <c r="D47" s="17">
        <f>SUMIFS(JB_26BV,JB_B,2,JB_H,"LCS",JB_RC,"ADD")</f>
        <v>576389</v>
      </c>
      <c r="E47" s="17">
        <f>SUMIFS(JB_26BV,JB_B,3,JB_H,"LCS",JB_RC,"ADD")</f>
        <v>69759</v>
      </c>
      <c r="F47" s="17">
        <f>SUMIFS(JB_26BV,JB_B,4,JB_H,"LCS",JB_RC,"ADD")</f>
        <v>750942</v>
      </c>
      <c r="G47" s="17">
        <f>SUMIFS(JB_26BV,JB_B,5,JB_H,"LCS",JB_RC,"ADD")</f>
        <v>0</v>
      </c>
      <c r="H47" s="17">
        <f t="shared" si="2"/>
        <v>1397090</v>
      </c>
      <c r="I47" s="28">
        <f t="shared" si="3"/>
        <v>0.17802561288409546</v>
      </c>
    </row>
    <row r="48" spans="1:9" ht="10" customHeight="1" x14ac:dyDescent="0.2">
      <c r="A48" s="16" t="s">
        <v>4906</v>
      </c>
      <c r="B48" s="16" t="s">
        <v>149</v>
      </c>
      <c r="C48" s="16" t="s">
        <v>50</v>
      </c>
      <c r="D48" s="17">
        <f>SUMIFS(JB_26BV,JB_B,2,JB_H,"LHD",JB_RC,"ADD")</f>
        <v>346443</v>
      </c>
      <c r="E48" s="17">
        <f>SUMIFS(JB_26BV,JB_B,3,JB_H,"LHD",JB_RC,"ADD")</f>
        <v>0</v>
      </c>
      <c r="F48" s="17">
        <f>SUMIFS(JB_26BV,JB_B,4,JB_H,"LHD",JB_RC,"ADD")</f>
        <v>755243</v>
      </c>
      <c r="G48" s="17">
        <f>SUMIFS(JB_26BV,JB_B,5,JB_H,"LHD",JB_RC,"ADD")</f>
        <v>0</v>
      </c>
      <c r="H48" s="17">
        <f t="shared" si="2"/>
        <v>1101686</v>
      </c>
      <c r="I48" s="28">
        <f t="shared" si="3"/>
        <v>0.14038345801331883</v>
      </c>
    </row>
    <row r="49" spans="1:9" ht="10" customHeight="1" x14ac:dyDescent="0.2">
      <c r="A49" s="16" t="s">
        <v>150</v>
      </c>
      <c r="B49" s="16" t="s">
        <v>149</v>
      </c>
      <c r="C49" s="16" t="s">
        <v>50</v>
      </c>
      <c r="D49" s="17">
        <f>SUMIFS(JB_26BV,JB_B,2,JB_H,"LPD",JB_RC,"ADD")</f>
        <v>149595</v>
      </c>
      <c r="E49" s="17">
        <f>SUMIFS(JB_26BV,JB_B,3,JB_H,"LPD",JB_RC,"ADD")</f>
        <v>0</v>
      </c>
      <c r="F49" s="17">
        <f>SUMIFS(JB_26BV,JB_B,4,JB_H,"LPD",JB_RC,"ADD")</f>
        <v>137394</v>
      </c>
      <c r="G49" s="17">
        <f>SUMIFS(JB_26BV,JB_B,5,JB_H,"LPD",JB_RC,"ADD")</f>
        <v>0</v>
      </c>
      <c r="H49" s="17">
        <f t="shared" si="2"/>
        <v>286989</v>
      </c>
      <c r="I49" s="28">
        <f t="shared" si="3"/>
        <v>3.6569864944988276E-2</v>
      </c>
    </row>
    <row r="50" spans="1:9" ht="10" customHeight="1" x14ac:dyDescent="0.2">
      <c r="A50" s="16" t="s">
        <v>4956</v>
      </c>
      <c r="B50" s="16" t="s">
        <v>119</v>
      </c>
      <c r="C50" s="16" t="s">
        <v>50</v>
      </c>
      <c r="D50" s="17">
        <f>SUMIFS(JB_26BV,JB_B,2,JB_H,"CG",JB_RC,"ADD")</f>
        <v>115501</v>
      </c>
      <c r="E50" s="17">
        <f>SUMIFS(JB_26BV,JB_B,3,JB_H,"CG",JB_RC,"ADD")</f>
        <v>5969</v>
      </c>
      <c r="F50" s="17">
        <f>SUMIFS(JB_26BV,JB_B,4,JB_H,"CG",JB_RC,"ADD")</f>
        <v>44940</v>
      </c>
      <c r="G50" s="17">
        <f>SUMIFS(JB_26BV,JB_B,5,JB_H,"CG",JB_RC,"ADD")</f>
        <v>0</v>
      </c>
      <c r="H50" s="17">
        <f t="shared" si="2"/>
        <v>166410</v>
      </c>
      <c r="I50" s="28">
        <f t="shared" si="3"/>
        <v>2.1204963345269327E-2</v>
      </c>
    </row>
    <row r="51" spans="1:9" ht="10" customHeight="1" x14ac:dyDescent="0.2">
      <c r="A51" s="16" t="s">
        <v>4900</v>
      </c>
      <c r="B51" s="16" t="s">
        <v>149</v>
      </c>
      <c r="C51" s="16" t="s">
        <v>50</v>
      </c>
      <c r="D51" s="17">
        <f>SUMIFS(JB_26BV,JB_B,2,JB_H,"LSD",JB_RC,"ADD")</f>
        <v>94421</v>
      </c>
      <c r="E51" s="17">
        <f>SUMIFS(JB_26BV,JB_B,3,JB_H,"LSD",JB_RC,"ADD")</f>
        <v>0</v>
      </c>
      <c r="F51" s="17">
        <f>SUMIFS(JB_26BV,JB_B,4,JB_H,"LSD",JB_RC,"ADD")</f>
        <v>30010</v>
      </c>
      <c r="G51" s="17">
        <f>SUMIFS(JB_26BV,JB_B,5,JB_H,"LSD",JB_RC,"ADD")</f>
        <v>0</v>
      </c>
      <c r="H51" s="17">
        <f t="shared" si="2"/>
        <v>124431</v>
      </c>
      <c r="I51" s="28">
        <f t="shared" si="3"/>
        <v>1.5855746613876617E-2</v>
      </c>
    </row>
    <row r="52" spans="1:9" ht="10" customHeight="1" x14ac:dyDescent="0.2">
      <c r="A52" s="16" t="s">
        <v>168</v>
      </c>
      <c r="B52" s="16" t="s">
        <v>149</v>
      </c>
      <c r="C52" s="16" t="s">
        <v>50</v>
      </c>
      <c r="D52" s="17">
        <f>SUMIFS(JB_26BV,JB_B,2,JB_H,"LHA",JB_RC,"ADD")</f>
        <v>45012</v>
      </c>
      <c r="E52" s="17">
        <f>SUMIFS(JB_26BV,JB_B,3,JB_H,"LHA",JB_RC,"ADD")</f>
        <v>0</v>
      </c>
      <c r="F52" s="17">
        <f>SUMIFS(JB_26BV,JB_B,4,JB_H,"LHA",JB_RC,"ADD")</f>
        <v>12065</v>
      </c>
      <c r="G52" s="17">
        <f>SUMIFS(JB_26BV,JB_B,5,JB_H,"LHA",JB_RC,"ADD")</f>
        <v>0</v>
      </c>
      <c r="H52" s="17">
        <f t="shared" si="2"/>
        <v>57077</v>
      </c>
      <c r="I52" s="28">
        <f t="shared" si="3"/>
        <v>7.273094723021077E-3</v>
      </c>
    </row>
    <row r="53" spans="1:9" ht="10" customHeight="1" x14ac:dyDescent="0.2">
      <c r="A53" s="16" t="s">
        <v>4857</v>
      </c>
      <c r="B53" s="16" t="s">
        <v>4856</v>
      </c>
      <c r="C53" s="16" t="s">
        <v>50</v>
      </c>
      <c r="D53" s="17">
        <f>SUMIFS(JB_26BV,JB_B,2,JB_H,"LCC",JB_RC,"ADD")</f>
        <v>22172</v>
      </c>
      <c r="E53" s="17">
        <f>SUMIFS(JB_26BV,JB_B,3,JB_H,"LCC",JB_RC,"ADD")</f>
        <v>0</v>
      </c>
      <c r="F53" s="17">
        <f>SUMIFS(JB_26BV,JB_B,4,JB_H,"LCC",JB_RC,"ADD")</f>
        <v>0</v>
      </c>
      <c r="G53" s="17">
        <f>SUMIFS(JB_26BV,JB_B,5,JB_H,"LCC",JB_RC,"ADD")</f>
        <v>19276</v>
      </c>
      <c r="H53" s="17">
        <f t="shared" si="2"/>
        <v>41448</v>
      </c>
      <c r="I53" s="28">
        <f t="shared" si="3"/>
        <v>5.2815535168242479E-3</v>
      </c>
    </row>
    <row r="54" spans="1:9" ht="10" customHeight="1" x14ac:dyDescent="0.2">
      <c r="A54" s="16" t="s">
        <v>215</v>
      </c>
      <c r="B54" s="16" t="s">
        <v>214</v>
      </c>
      <c r="C54" s="16" t="s">
        <v>190</v>
      </c>
      <c r="D54" s="17">
        <f>SUMIFS(JB_26BV,JB_B,2,JB_H,"T-AGOS",JB_RC,"ADD")</f>
        <v>0</v>
      </c>
      <c r="E54" s="17">
        <f>SUMIFS(JB_26BV,JB_B,3,JB_H,"T-AGOS",JB_RC,"ADD")</f>
        <v>0</v>
      </c>
      <c r="F54" s="17">
        <f>SUMIFS(JB_26BV,JB_B,4,JB_H,"T-AGOS",JB_RC,"ADD")</f>
        <v>31169</v>
      </c>
      <c r="G54" s="17">
        <f>SUMIFS(JB_26BV,JB_B,5,JB_H,"T-AGOS",JB_RC,"ADD")</f>
        <v>0</v>
      </c>
      <c r="H54" s="17">
        <f t="shared" si="2"/>
        <v>31169</v>
      </c>
      <c r="I54" s="28">
        <f t="shared" si="3"/>
        <v>3.9717414969575125E-3</v>
      </c>
    </row>
    <row r="55" spans="1:9" ht="10" customHeight="1" x14ac:dyDescent="0.2">
      <c r="A55" s="16" t="s">
        <v>4685</v>
      </c>
      <c r="B55" s="16" t="s">
        <v>4684</v>
      </c>
      <c r="C55" s="16" t="s">
        <v>50</v>
      </c>
      <c r="D55" s="17">
        <f>SUMIFS(JB_26BV,JB_B,2,JB_H,"MCM",JB_RC,"ADD")</f>
        <v>23281</v>
      </c>
      <c r="E55" s="17">
        <f>SUMIFS(JB_26BV,JB_B,3,JB_H,"MCM",JB_RC,"ADD")</f>
        <v>1068</v>
      </c>
      <c r="F55" s="17">
        <f>SUMIFS(JB_26BV,JB_B,4,JB_H,"MCM",JB_RC,"ADD")</f>
        <v>0</v>
      </c>
      <c r="G55" s="17">
        <f>SUMIFS(JB_26BV,JB_B,5,JB_H,"MCM",JB_RC,"ADD")</f>
        <v>0</v>
      </c>
      <c r="H55" s="17">
        <f t="shared" si="2"/>
        <v>24349</v>
      </c>
      <c r="I55" s="28">
        <f t="shared" si="3"/>
        <v>3.1026960669068137E-3</v>
      </c>
    </row>
    <row r="56" spans="1:9" ht="10" customHeight="1" x14ac:dyDescent="0.2">
      <c r="A56" s="16" t="s">
        <v>6072</v>
      </c>
      <c r="B56" s="16" t="s">
        <v>182</v>
      </c>
      <c r="C56" s="16" t="s">
        <v>50</v>
      </c>
      <c r="D56" s="17">
        <f>SUMIFS(JB_26BV,JB_B,2,JB_H,"ESB",JB_RC,"ADD")</f>
        <v>23662</v>
      </c>
      <c r="E56" s="17">
        <f>SUMIFS(JB_26BV,JB_B,3,JB_H,"ESB",JB_RC,"ADD")</f>
        <v>0</v>
      </c>
      <c r="F56" s="17">
        <f>SUMIFS(JB_26BV,JB_B,4,JB_H,"ESB",JB_RC,"ADD")</f>
        <v>0</v>
      </c>
      <c r="G56" s="17">
        <f>SUMIFS(JB_26BV,JB_B,5,JB_H,"ESB",JB_RC,"ADD")</f>
        <v>0</v>
      </c>
      <c r="H56" s="17">
        <f t="shared" si="2"/>
        <v>23662</v>
      </c>
      <c r="I56" s="28">
        <f t="shared" si="3"/>
        <v>3.0151543938210616E-3</v>
      </c>
    </row>
    <row r="57" spans="1:9" ht="10" customHeight="1" x14ac:dyDescent="0.2">
      <c r="A57" s="16" t="s">
        <v>6808</v>
      </c>
      <c r="B57" s="16" t="s">
        <v>6807</v>
      </c>
      <c r="C57" s="16" t="s">
        <v>6805</v>
      </c>
      <c r="D57" s="17">
        <f>SUMIFS(JB_26BV,JB_B,2,JB_H,"WMSL",JB_RC,"ADD")</f>
        <v>0</v>
      </c>
      <c r="E57" s="17">
        <f>SUMIFS(JB_26BV,JB_B,3,JB_H,"WMSL",JB_RC,"ADD")</f>
        <v>0</v>
      </c>
      <c r="F57" s="17">
        <f>SUMIFS(JB_26BV,JB_B,4,JB_H,"WMSL",JB_RC,"ADD")</f>
        <v>31000</v>
      </c>
      <c r="G57" s="17">
        <f>SUMIFS(JB_26BV,JB_B,5,JB_H,"WMSL",JB_RC,"ADD")</f>
        <v>0</v>
      </c>
      <c r="H57" s="17">
        <f t="shared" si="2"/>
        <v>31000</v>
      </c>
      <c r="I57" s="28">
        <f t="shared" si="3"/>
        <v>3.9502065002304503E-3</v>
      </c>
    </row>
    <row r="58" spans="1:9" ht="10" customHeight="1" x14ac:dyDescent="0.2">
      <c r="A58" s="23" t="s">
        <v>9057</v>
      </c>
      <c r="B58" s="23"/>
      <c r="C58" s="23"/>
      <c r="D58" s="24">
        <f>SUM(D46:D57)</f>
        <v>2356284</v>
      </c>
      <c r="E58" s="24">
        <f>SUM(E46:E57)</f>
        <v>207938</v>
      </c>
      <c r="F58" s="24">
        <f>SUM(F46:F57)</f>
        <v>5264193</v>
      </c>
      <c r="G58" s="24">
        <f>SUM(G46:G57)</f>
        <v>19276</v>
      </c>
      <c r="H58" s="24">
        <f>SUM(H46:H57)</f>
        <v>7847691</v>
      </c>
      <c r="I58" s="29">
        <v>1</v>
      </c>
    </row>
    <row r="59" spans="1:9" ht="10" customHeight="1" x14ac:dyDescent="0.2"/>
    <row r="60" spans="1:9" ht="10" customHeight="1" x14ac:dyDescent="0.2"/>
    <row r="61" spans="1:9" ht="10" customHeight="1" x14ac:dyDescent="0.2">
      <c r="A61" s="6" t="s">
        <v>9058</v>
      </c>
      <c r="B61" s="7"/>
      <c r="C61" s="7"/>
    </row>
    <row r="62" spans="1:9" ht="10" customHeight="1" x14ac:dyDescent="0.2">
      <c r="A62" s="22" t="s">
        <v>9059</v>
      </c>
    </row>
    <row r="63" spans="1:9" ht="10" customHeight="1" x14ac:dyDescent="0.2">
      <c r="A63" s="15" t="s">
        <v>15</v>
      </c>
      <c r="B63" s="15" t="s">
        <v>9060</v>
      </c>
      <c r="C63" s="15" t="s">
        <v>9061</v>
      </c>
    </row>
    <row r="64" spans="1:9" ht="10" customHeight="1" x14ac:dyDescent="0.2">
      <c r="A64" s="16" t="s">
        <v>9062</v>
      </c>
      <c r="B64" s="17">
        <v>5771005</v>
      </c>
      <c r="C64" s="28">
        <f>IFERROR(B64/B70,0)</f>
        <v>0.40272677402176593</v>
      </c>
    </row>
    <row r="65" spans="1:12" ht="10" customHeight="1" x14ac:dyDescent="0.2">
      <c r="A65" s="16" t="s">
        <v>9063</v>
      </c>
      <c r="B65" s="17">
        <v>4486713</v>
      </c>
      <c r="C65" s="28">
        <f>IFERROR(B65/B70,0)</f>
        <v>0.31310308212374094</v>
      </c>
    </row>
    <row r="66" spans="1:12" ht="10" customHeight="1" x14ac:dyDescent="0.2">
      <c r="A66" s="16" t="s">
        <v>9064</v>
      </c>
      <c r="B66" s="17">
        <v>1510478</v>
      </c>
      <c r="C66" s="28">
        <f>IFERROR(B66/B70,0)</f>
        <v>0.10540797177802635</v>
      </c>
    </row>
    <row r="67" spans="1:12" ht="10" customHeight="1" x14ac:dyDescent="0.2">
      <c r="A67" s="16" t="s">
        <v>9065</v>
      </c>
      <c r="B67" s="17">
        <v>1584000</v>
      </c>
      <c r="C67" s="28">
        <f>IFERROR(B67/B70,0)</f>
        <v>0.11053866875015309</v>
      </c>
    </row>
    <row r="68" spans="1:12" ht="10" customHeight="1" x14ac:dyDescent="0.2">
      <c r="A68" s="16" t="s">
        <v>9066</v>
      </c>
      <c r="B68" s="17">
        <v>492552</v>
      </c>
      <c r="C68" s="28">
        <f>IFERROR(B68/B70,0)</f>
        <v>3.4372501496354423E-2</v>
      </c>
    </row>
    <row r="69" spans="1:12" ht="10" customHeight="1" x14ac:dyDescent="0.2">
      <c r="A69" s="16" t="s">
        <v>2574</v>
      </c>
      <c r="B69" s="17">
        <v>485079</v>
      </c>
      <c r="C69" s="28">
        <f>IFERROR(B69/B70,0)</f>
        <v>3.3851001829959287E-2</v>
      </c>
    </row>
    <row r="70" spans="1:12" ht="10" customHeight="1" x14ac:dyDescent="0.2">
      <c r="A70" s="23" t="s">
        <v>8808</v>
      </c>
      <c r="B70" s="24">
        <f>SUM(B64:B69)</f>
        <v>14329827</v>
      </c>
      <c r="C70" s="29">
        <v>1</v>
      </c>
    </row>
    <row r="71" spans="1:12" ht="10" customHeight="1" x14ac:dyDescent="0.2"/>
    <row r="72" spans="1:12" ht="10" customHeight="1" x14ac:dyDescent="0.2"/>
    <row r="73" spans="1:12" ht="10" customHeight="1" x14ac:dyDescent="0.2">
      <c r="A73" s="6" t="s">
        <v>9067</v>
      </c>
      <c r="B73" s="7"/>
      <c r="C73" s="7"/>
      <c r="D73" s="7"/>
      <c r="E73" s="7"/>
      <c r="F73" s="7"/>
      <c r="G73" s="7"/>
      <c r="H73" s="7"/>
      <c r="I73" s="7"/>
      <c r="J73" s="7"/>
      <c r="K73" s="7"/>
      <c r="L73" s="7"/>
    </row>
    <row r="74" spans="1:12" ht="10" customHeight="1" x14ac:dyDescent="0.2">
      <c r="A74" s="22" t="s">
        <v>9068</v>
      </c>
    </row>
    <row r="75" spans="1:12" ht="10" customHeight="1" x14ac:dyDescent="0.2">
      <c r="A75" s="30"/>
      <c r="B75" s="31" t="s">
        <v>50</v>
      </c>
      <c r="C75" s="30"/>
      <c r="D75" s="30"/>
      <c r="E75" s="30"/>
      <c r="F75" s="30"/>
      <c r="G75" s="30"/>
      <c r="H75" s="30"/>
      <c r="I75" s="30"/>
      <c r="J75" s="30"/>
      <c r="K75" s="30"/>
      <c r="L75" s="32"/>
    </row>
    <row r="76" spans="1:12" ht="10" customHeight="1" x14ac:dyDescent="0.2">
      <c r="A76" s="15" t="s">
        <v>15</v>
      </c>
      <c r="B76" s="18" t="s">
        <v>120</v>
      </c>
      <c r="C76" s="15" t="s">
        <v>139</v>
      </c>
      <c r="D76" s="15" t="s">
        <v>4906</v>
      </c>
      <c r="E76" s="15" t="s">
        <v>150</v>
      </c>
      <c r="F76" s="15" t="s">
        <v>4956</v>
      </c>
      <c r="G76" s="15" t="s">
        <v>4900</v>
      </c>
      <c r="H76" s="15" t="s">
        <v>168</v>
      </c>
      <c r="I76" s="15" t="s">
        <v>6072</v>
      </c>
      <c r="J76" s="15" t="s">
        <v>4685</v>
      </c>
      <c r="K76" s="15" t="s">
        <v>4857</v>
      </c>
      <c r="L76" s="18" t="s">
        <v>8808</v>
      </c>
    </row>
    <row r="77" spans="1:12" ht="10" customHeight="1" x14ac:dyDescent="0.2">
      <c r="A77" s="26" t="s">
        <v>9069</v>
      </c>
      <c r="B77" s="41">
        <f>D46</f>
        <v>959808</v>
      </c>
      <c r="C77" s="27">
        <f>D47</f>
        <v>576389</v>
      </c>
      <c r="D77" s="27">
        <f>D48</f>
        <v>346443</v>
      </c>
      <c r="E77" s="27">
        <f>D49</f>
        <v>149595</v>
      </c>
      <c r="F77" s="27">
        <f>D50</f>
        <v>115501</v>
      </c>
      <c r="G77" s="27">
        <f>D51</f>
        <v>94421</v>
      </c>
      <c r="H77" s="27">
        <f>D52</f>
        <v>45012</v>
      </c>
      <c r="I77" s="27">
        <f>D56</f>
        <v>23662</v>
      </c>
      <c r="J77" s="27">
        <f>D55</f>
        <v>23281</v>
      </c>
      <c r="K77" s="27">
        <f>D53</f>
        <v>22172</v>
      </c>
      <c r="L77" s="41">
        <f t="shared" ref="L77:L83" si="4">SUM(B77:K77)</f>
        <v>2356284</v>
      </c>
    </row>
    <row r="78" spans="1:12" ht="10" customHeight="1" x14ac:dyDescent="0.2">
      <c r="A78" s="16" t="s">
        <v>9062</v>
      </c>
      <c r="B78" s="35">
        <f>IFERROR(B$77*B64/B70,0)</f>
        <v>386540.37952028314</v>
      </c>
      <c r="C78" s="17">
        <f>IFERROR(C$77*B64/B70,0)</f>
        <v>232127.28255163165</v>
      </c>
      <c r="D78" s="17">
        <f>IFERROR(D$77*B64/B70,0)</f>
        <v>139521.87177242266</v>
      </c>
      <c r="E78" s="17">
        <f>IFERROR(E$77*B64/B70,0)</f>
        <v>60245.911759786075</v>
      </c>
      <c r="F78" s="17">
        <f>IFERROR(F$77*B64/B70,0)</f>
        <v>46515.34512628799</v>
      </c>
      <c r="G78" s="17">
        <f>IFERROR(G$77*B64/B70,0)</f>
        <v>38025.864729909161</v>
      </c>
      <c r="H78" s="17">
        <f>IFERROR(H$77*B64/B70,0)</f>
        <v>18127.537552267728</v>
      </c>
      <c r="I78" s="17">
        <f>IFERROR(I$77*B64/B70,0)</f>
        <v>9529.3209269030249</v>
      </c>
      <c r="J78" s="17">
        <f>IFERROR(J$77*B64/B70,0)</f>
        <v>9375.8820260007324</v>
      </c>
      <c r="K78" s="17">
        <f>IFERROR(K$77*B64/B70,0)</f>
        <v>8929.2580336105948</v>
      </c>
      <c r="L78" s="35">
        <f t="shared" si="4"/>
        <v>948938.65399910288</v>
      </c>
    </row>
    <row r="79" spans="1:12" ht="10" customHeight="1" x14ac:dyDescent="0.2">
      <c r="A79" s="16" t="s">
        <v>9063</v>
      </c>
      <c r="B79" s="35">
        <f>IFERROR(B$77*B65/B70,0)</f>
        <v>300518.84304702352</v>
      </c>
      <c r="C79" s="17">
        <f>IFERROR(C$77*B65/B70,0)</f>
        <v>180469.17240222089</v>
      </c>
      <c r="D79" s="17">
        <f>IFERROR(D$77*B65/B70,0)</f>
        <v>108472.37108019518</v>
      </c>
      <c r="E79" s="17">
        <f>IFERROR(E$77*B65/B70,0)</f>
        <v>46838.655570301024</v>
      </c>
      <c r="F79" s="17">
        <f>IFERROR(F$77*B65/B70,0)</f>
        <v>36163.719088374201</v>
      </c>
      <c r="G79" s="17">
        <f>IFERROR(G$77*B65/B70,0)</f>
        <v>29563.506117205743</v>
      </c>
      <c r="H79" s="17">
        <f>IFERROR(H$77*B65/B70,0)</f>
        <v>14093.395932553827</v>
      </c>
      <c r="I79" s="17">
        <f>IFERROR(I$77*B65/B70,0)</f>
        <v>7408.6451292119573</v>
      </c>
      <c r="J79" s="17">
        <f>IFERROR(J$77*B65/B70,0)</f>
        <v>7289.3528549228122</v>
      </c>
      <c r="K79" s="17">
        <f>IFERROR(K$77*B65/B70,0)</f>
        <v>6942.1215368475841</v>
      </c>
      <c r="L79" s="35">
        <f t="shared" si="4"/>
        <v>737759.78275885654</v>
      </c>
    </row>
    <row r="80" spans="1:12" ht="10" customHeight="1" x14ac:dyDescent="0.2">
      <c r="A80" s="16" t="s">
        <v>9064</v>
      </c>
      <c r="B80" s="35">
        <f>IFERROR(B$77*B66/B70,0)</f>
        <v>101171.41457632392</v>
      </c>
      <c r="C80" s="17">
        <f>IFERROR(C$77*B66/B70,0)</f>
        <v>60755.99544516483</v>
      </c>
      <c r="D80" s="17">
        <f>IFERROR(D$77*B66/B70,0)</f>
        <v>36517.853966694784</v>
      </c>
      <c r="E80" s="17">
        <f>IFERROR(E$77*B66/B70,0)</f>
        <v>15768.505538133852</v>
      </c>
      <c r="F80" s="17">
        <f>IFERROR(F$77*B66/B70,0)</f>
        <v>12174.726148333821</v>
      </c>
      <c r="G80" s="17">
        <f>IFERROR(G$77*B66/B70,0)</f>
        <v>9952.7261032530259</v>
      </c>
      <c r="H80" s="17">
        <f>IFERROR(H$77*B66/B70,0)</f>
        <v>4744.6236256725224</v>
      </c>
      <c r="I80" s="17">
        <f>IFERROR(I$77*B66/B70,0)</f>
        <v>2494.1634282116597</v>
      </c>
      <c r="J80" s="17">
        <f>IFERROR(J$77*B66/B70,0)</f>
        <v>2454.0029909642317</v>
      </c>
      <c r="K80" s="17">
        <f>IFERROR(K$77*B66/B70,0)</f>
        <v>2337.1055502624004</v>
      </c>
      <c r="L80" s="35">
        <f t="shared" si="4"/>
        <v>248371.11737301503</v>
      </c>
    </row>
    <row r="81" spans="1:14" ht="10" customHeight="1" x14ac:dyDescent="0.2">
      <c r="A81" s="16" t="s">
        <v>9065</v>
      </c>
      <c r="B81" s="35">
        <f>IFERROR(B$77*B67/B70,0)</f>
        <v>106095.89857574693</v>
      </c>
      <c r="C81" s="17">
        <f>IFERROR(C$77*B67/B70,0)</f>
        <v>63713.272742231988</v>
      </c>
      <c r="D81" s="17">
        <f>IFERROR(D$77*B67/B70,0)</f>
        <v>38295.348017809287</v>
      </c>
      <c r="E81" s="17">
        <f>IFERROR(E$77*B67/B70,0)</f>
        <v>16536.032151679152</v>
      </c>
      <c r="F81" s="17">
        <f>IFERROR(F$77*B67/B70,0)</f>
        <v>12767.326779311432</v>
      </c>
      <c r="G81" s="17">
        <f>IFERROR(G$77*B67/B70,0)</f>
        <v>10437.171642058205</v>
      </c>
      <c r="H81" s="17">
        <f>IFERROR(H$77*B67/B70,0)</f>
        <v>4975.5665577818909</v>
      </c>
      <c r="I81" s="17">
        <f>IFERROR(I$77*B67/B70,0)</f>
        <v>2615.5659799661225</v>
      </c>
      <c r="J81" s="17">
        <f>IFERROR(J$77*B67/B70,0)</f>
        <v>2573.4507471723141</v>
      </c>
      <c r="K81" s="17">
        <f>IFERROR(K$77*B67/B70,0)</f>
        <v>2450.8633635283945</v>
      </c>
      <c r="L81" s="35">
        <f t="shared" si="4"/>
        <v>260460.49655728575</v>
      </c>
    </row>
    <row r="82" spans="1:14" ht="10" customHeight="1" x14ac:dyDescent="0.2">
      <c r="A82" s="16" t="s">
        <v>9066</v>
      </c>
      <c r="B82" s="35">
        <f>IFERROR(B$77*B68/B70,0)</f>
        <v>32991.001916212947</v>
      </c>
      <c r="C82" s="17">
        <f>IFERROR(C$77*B68/B70,0)</f>
        <v>19811.93176498223</v>
      </c>
      <c r="D82" s="17">
        <f>IFERROR(D$77*B68/B70,0)</f>
        <v>11908.112535901515</v>
      </c>
      <c r="E82" s="17">
        <f>IFERROR(E$77*B68/B70,0)</f>
        <v>5141.9543613471396</v>
      </c>
      <c r="F82" s="17">
        <f>IFERROR(F$77*B68/B70,0)</f>
        <v>3970.058295330432</v>
      </c>
      <c r="G82" s="17">
        <f>IFERROR(G$77*B68/B70,0)</f>
        <v>3245.485963787281</v>
      </c>
      <c r="H82" s="17">
        <f>IFERROR(H$77*B68/B70,0)</f>
        <v>1547.1750373539053</v>
      </c>
      <c r="I82" s="17">
        <f>IFERROR(I$77*B68/B70,0)</f>
        <v>813.32213040673832</v>
      </c>
      <c r="J82" s="17">
        <f>IFERROR(J$77*B68/B70,0)</f>
        <v>800.22620733662734</v>
      </c>
      <c r="K82" s="17">
        <f>IFERROR(K$77*B68/B70,0)</f>
        <v>762.1071031771703</v>
      </c>
      <c r="L82" s="35">
        <f t="shared" si="4"/>
        <v>80991.375315836005</v>
      </c>
    </row>
    <row r="83" spans="1:14" ht="10" customHeight="1" x14ac:dyDescent="0.2">
      <c r="A83" s="16" t="s">
        <v>2574</v>
      </c>
      <c r="B83" s="35">
        <f>IFERROR(B$77*B69/B70,0)</f>
        <v>32490.462364409563</v>
      </c>
      <c r="C83" s="17">
        <f>IFERROR(C$77*B69/B70,0)</f>
        <v>19511.345093768403</v>
      </c>
      <c r="D83" s="17">
        <f>IFERROR(D$77*B69/B70,0)</f>
        <v>11727.442626976585</v>
      </c>
      <c r="E83" s="17">
        <f>IFERROR(E$77*B69/B70,0)</f>
        <v>5063.9406187527593</v>
      </c>
      <c r="F83" s="17">
        <f>IFERROR(F$77*B69/B70,0)</f>
        <v>3909.8245623621278</v>
      </c>
      <c r="G83" s="17">
        <f>IFERROR(G$77*B69/B70,0)</f>
        <v>3196.2454437865858</v>
      </c>
      <c r="H83" s="17">
        <f>IFERROR(H$77*B69/B70,0)</f>
        <v>1523.7012943701275</v>
      </c>
      <c r="I83" s="17">
        <f>IFERROR(I$77*B69/B70,0)</f>
        <v>800.98240530049668</v>
      </c>
      <c r="J83" s="17">
        <f>IFERROR(J$77*B69/B70,0)</f>
        <v>788.08517360328221</v>
      </c>
      <c r="K83" s="17">
        <f>IFERROR(K$77*B69/B70,0)</f>
        <v>750.54441257385736</v>
      </c>
      <c r="L83" s="35">
        <f t="shared" si="4"/>
        <v>79762.573995903789</v>
      </c>
    </row>
    <row r="84" spans="1:14" ht="10" customHeight="1" x14ac:dyDescent="0.2">
      <c r="A84" s="23" t="s">
        <v>9070</v>
      </c>
      <c r="B84" s="34">
        <f t="shared" ref="B84:L84" si="5">SUM(B78:B83)</f>
        <v>959808</v>
      </c>
      <c r="C84" s="24">
        <f t="shared" si="5"/>
        <v>576389</v>
      </c>
      <c r="D84" s="24">
        <f t="shared" si="5"/>
        <v>346443</v>
      </c>
      <c r="E84" s="24">
        <f t="shared" si="5"/>
        <v>149595</v>
      </c>
      <c r="F84" s="24">
        <f t="shared" si="5"/>
        <v>115501</v>
      </c>
      <c r="G84" s="24">
        <f t="shared" si="5"/>
        <v>94421</v>
      </c>
      <c r="H84" s="24">
        <f t="shared" si="5"/>
        <v>45011.999999999993</v>
      </c>
      <c r="I84" s="24">
        <f t="shared" si="5"/>
        <v>23662</v>
      </c>
      <c r="J84" s="24">
        <f t="shared" si="5"/>
        <v>23281.000000000004</v>
      </c>
      <c r="K84" s="24">
        <f t="shared" si="5"/>
        <v>22172.000000000004</v>
      </c>
      <c r="L84" s="34">
        <f t="shared" si="5"/>
        <v>2356284</v>
      </c>
    </row>
    <row r="85" spans="1:14" ht="10" customHeight="1" x14ac:dyDescent="0.2"/>
    <row r="86" spans="1:14" ht="10" customHeight="1" x14ac:dyDescent="0.2"/>
    <row r="87" spans="1:14" ht="10" customHeight="1" x14ac:dyDescent="0.2">
      <c r="A87" s="6" t="s">
        <v>9071</v>
      </c>
      <c r="B87" s="7"/>
      <c r="C87" s="7"/>
      <c r="D87" s="7"/>
      <c r="E87" s="7"/>
      <c r="F87" s="7"/>
      <c r="G87" s="7"/>
      <c r="H87" s="7"/>
      <c r="I87" s="7"/>
      <c r="J87" s="7"/>
      <c r="K87" s="7"/>
      <c r="L87" s="7"/>
      <c r="M87" s="7"/>
      <c r="N87" s="7"/>
    </row>
    <row r="88" spans="1:14" ht="10" customHeight="1" x14ac:dyDescent="0.2">
      <c r="A88" s="30"/>
      <c r="B88" s="31" t="s">
        <v>50</v>
      </c>
      <c r="C88" s="30"/>
      <c r="D88" s="30"/>
      <c r="E88" s="30"/>
      <c r="F88" s="30"/>
      <c r="G88" s="30"/>
      <c r="H88" s="30"/>
      <c r="I88" s="30"/>
      <c r="J88" s="30"/>
      <c r="K88" s="30"/>
      <c r="L88" s="30"/>
      <c r="M88" s="31" t="s">
        <v>6805</v>
      </c>
      <c r="N88" s="32"/>
    </row>
    <row r="89" spans="1:14" ht="10" customHeight="1" x14ac:dyDescent="0.2">
      <c r="A89" s="15" t="s">
        <v>8799</v>
      </c>
      <c r="B89" s="18" t="s">
        <v>120</v>
      </c>
      <c r="C89" s="15" t="s">
        <v>139</v>
      </c>
      <c r="D89" s="15" t="s">
        <v>4906</v>
      </c>
      <c r="E89" s="15" t="s">
        <v>150</v>
      </c>
      <c r="F89" s="15" t="s">
        <v>4956</v>
      </c>
      <c r="G89" s="15" t="s">
        <v>4900</v>
      </c>
      <c r="H89" s="15" t="s">
        <v>168</v>
      </c>
      <c r="I89" s="15" t="s">
        <v>4857</v>
      </c>
      <c r="J89" s="15" t="s">
        <v>215</v>
      </c>
      <c r="K89" s="15" t="s">
        <v>4685</v>
      </c>
      <c r="L89" s="15" t="s">
        <v>6072</v>
      </c>
      <c r="M89" s="18" t="s">
        <v>6808</v>
      </c>
      <c r="N89" s="18" t="s">
        <v>8808</v>
      </c>
    </row>
    <row r="90" spans="1:14" ht="10" customHeight="1" x14ac:dyDescent="0.2">
      <c r="A90" s="16" t="s">
        <v>4328</v>
      </c>
      <c r="B90" s="33">
        <f>IFERROR((SUMIFS(JB_26BV,JB_B,2,JB_H,"DDG",JB_RC,"ADD"))/B$94,0)</f>
        <v>0.21037440984749187</v>
      </c>
      <c r="C90" s="28">
        <f>IFERROR((SUMIFS(JB_26BV,JB_B,2,JB_H,"LCS",JB_RC,"ADD"))/C$94,0)</f>
        <v>0.41256397225661912</v>
      </c>
      <c r="D90" s="28">
        <f>IFERROR((SUMIFS(JB_26BV,JB_B,2,JB_H,"LHD",JB_RC,"ADD"))/D$94,0)</f>
        <v>0.31446619091102185</v>
      </c>
      <c r="E90" s="28">
        <f>IFERROR((SUMIFS(JB_26BV,JB_B,2,JB_H,"LPD",JB_RC,"ADD"))/E$94,0)</f>
        <v>0.5212569122858367</v>
      </c>
      <c r="F90" s="28">
        <f>IFERROR((SUMIFS(JB_26BV,JB_B,2,JB_H,"CG",JB_RC,"ADD"))/F$94,0)</f>
        <v>0.69407487530797429</v>
      </c>
      <c r="G90" s="28">
        <f>IFERROR((SUMIFS(JB_26BV,JB_B,2,JB_H,"LSD",JB_RC,"ADD"))/G$94,0)</f>
        <v>0.75882215846533418</v>
      </c>
      <c r="H90" s="28">
        <f>IFERROR((SUMIFS(JB_26BV,JB_B,2,JB_H,"LHA",JB_RC,"ADD"))/H$94,0)</f>
        <v>0.78861888326296059</v>
      </c>
      <c r="I90" s="28">
        <f>IFERROR((SUMIFS(JB_26BV,JB_B,2,JB_H,"LCC",JB_RC,"ADD"))/I$94,0)</f>
        <v>0.53493534066782478</v>
      </c>
      <c r="J90" s="28">
        <f>IFERROR((SUMIFS(JB_26BV,JB_B,2,JB_H,"T-AGOS",JB_RC,"ADD"))/J$94,0)</f>
        <v>0</v>
      </c>
      <c r="K90" s="28">
        <f>IFERROR((SUMIFS(JB_26BV,JB_B,2,JB_H,"MCM",JB_RC,"ADD"))/K$94,0)</f>
        <v>0.95613782906895561</v>
      </c>
      <c r="L90" s="28">
        <f>IFERROR((SUMIFS(JB_26BV,JB_B,2,JB_H,"ESB",JB_RC,"ADD"))/L$94,0)</f>
        <v>1</v>
      </c>
      <c r="M90" s="33">
        <f>IFERROR((SUMIFS(JB_26BV,JB_B,2,JB_H,"WMSL",JB_RC,"ADD"))/M$94,0)</f>
        <v>0</v>
      </c>
      <c r="N90" s="3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$94,0)</f>
        <v>0.30025188300609695</v>
      </c>
    </row>
    <row r="91" spans="1:14" ht="10" customHeight="1" x14ac:dyDescent="0.2">
      <c r="A91" s="16" t="s">
        <v>9038</v>
      </c>
      <c r="B91" s="33">
        <f>IFERROR((SUMIFS(JB_26BV,JB_B,3,JB_H,"DDG",JB_RC,"ADD"))/B$94,0)</f>
        <v>2.8744208066842306E-2</v>
      </c>
      <c r="C91" s="28">
        <f>IFERROR((SUMIFS(JB_26BV,JB_B,3,JB_H,"LCS",JB_RC,"ADD"))/C$94,0)</f>
        <v>4.9931643630689505E-2</v>
      </c>
      <c r="D91" s="28">
        <f>IFERROR((SUMIFS(JB_26BV,JB_B,3,JB_H,"LHD",JB_RC,"ADD"))/D$94,0)</f>
        <v>0</v>
      </c>
      <c r="E91" s="28">
        <f>IFERROR((SUMIFS(JB_26BV,JB_B,3,JB_H,"LPD",JB_RC,"ADD"))/E$94,0)</f>
        <v>0</v>
      </c>
      <c r="F91" s="28">
        <f>IFERROR((SUMIFS(JB_26BV,JB_B,3,JB_H,"CG",JB_RC,"ADD"))/F$94,0)</f>
        <v>3.5869238627486331E-2</v>
      </c>
      <c r="G91" s="28">
        <f>IFERROR((SUMIFS(JB_26BV,JB_B,3,JB_H,"LSD",JB_RC,"ADD"))/G$94,0)</f>
        <v>0</v>
      </c>
      <c r="H91" s="28">
        <f>IFERROR((SUMIFS(JB_26BV,JB_B,3,JB_H,"LHA",JB_RC,"ADD"))/H$94,0)</f>
        <v>0</v>
      </c>
      <c r="I91" s="28">
        <f>IFERROR((SUMIFS(JB_26BV,JB_B,3,JB_H,"LCC",JB_RC,"ADD"))/I$94,0)</f>
        <v>0</v>
      </c>
      <c r="J91" s="28">
        <f>IFERROR((SUMIFS(JB_26BV,JB_B,3,JB_H,"T-AGOS",JB_RC,"ADD"))/J$94,0)</f>
        <v>0</v>
      </c>
      <c r="K91" s="28">
        <f>IFERROR((SUMIFS(JB_26BV,JB_B,3,JB_H,"MCM",JB_RC,"ADD"))/K$94,0)</f>
        <v>4.3862170931044393E-2</v>
      </c>
      <c r="L91" s="28">
        <f>IFERROR((SUMIFS(JB_26BV,JB_B,3,JB_H,"ESB",JB_RC,"ADD"))/L$94,0)</f>
        <v>0</v>
      </c>
      <c r="M91" s="33">
        <f>IFERROR((SUMIFS(JB_26BV,JB_B,3,JB_H,"WMSL",JB_RC,"ADD"))/M$94,0)</f>
        <v>0</v>
      </c>
      <c r="N91" s="3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$94,0)</f>
        <v>2.6496710943384495E-2</v>
      </c>
    </row>
    <row r="92" spans="1:14" ht="10" customHeight="1" x14ac:dyDescent="0.2">
      <c r="A92" s="16" t="s">
        <v>9039</v>
      </c>
      <c r="B92" s="33">
        <f>IFERROR((SUMIFS(JB_26BV,JB_B,4,JB_H,"DDG",JB_RC,"ADD"))/B$94,0)</f>
        <v>0.7608813820856658</v>
      </c>
      <c r="C92" s="28">
        <f>IFERROR((SUMIFS(JB_26BV,JB_B,4,JB_H,"LCS",JB_RC,"ADD"))/C$94,0)</f>
        <v>0.53750438411269141</v>
      </c>
      <c r="D92" s="28">
        <f>IFERROR((SUMIFS(JB_26BV,JB_B,4,JB_H,"LHD",JB_RC,"ADD"))/D$94,0)</f>
        <v>0.68553380908897821</v>
      </c>
      <c r="E92" s="28">
        <f>IFERROR((SUMIFS(JB_26BV,JB_B,4,JB_H,"LPD",JB_RC,"ADD"))/E$94,0)</f>
        <v>0.47874308771416324</v>
      </c>
      <c r="F92" s="28">
        <f>IFERROR((SUMIFS(JB_26BV,JB_B,4,JB_H,"CG",JB_RC,"ADD"))/F$94,0)</f>
        <v>0.2700558860645394</v>
      </c>
      <c r="G92" s="28">
        <f>IFERROR((SUMIFS(JB_26BV,JB_B,4,JB_H,"LSD",JB_RC,"ADD"))/G$94,0)</f>
        <v>0.24117784153466579</v>
      </c>
      <c r="H92" s="28">
        <f>IFERROR((SUMIFS(JB_26BV,JB_B,4,JB_H,"LHA",JB_RC,"ADD"))/H$94,0)</f>
        <v>0.21138111673703944</v>
      </c>
      <c r="I92" s="28">
        <f>IFERROR((SUMIFS(JB_26BV,JB_B,4,JB_H,"LCC",JB_RC,"ADD"))/I$94,0)</f>
        <v>0</v>
      </c>
      <c r="J92" s="28">
        <f>IFERROR((SUMIFS(JB_26BV,JB_B,4,JB_H,"T-AGOS",JB_RC,"ADD"))/J$94,0)</f>
        <v>1</v>
      </c>
      <c r="K92" s="28">
        <f>IFERROR((SUMIFS(JB_26BV,JB_B,4,JB_H,"MCM",JB_RC,"ADD"))/K$94,0)</f>
        <v>0</v>
      </c>
      <c r="L92" s="28">
        <f>IFERROR((SUMIFS(JB_26BV,JB_B,4,JB_H,"ESB",JB_RC,"ADD"))/L$94,0)</f>
        <v>0</v>
      </c>
      <c r="M92" s="33">
        <f>IFERROR((SUMIFS(JB_26BV,JB_B,4,JB_H,"WMSL",JB_RC,"ADD"))/M$94,0)</f>
        <v>1</v>
      </c>
      <c r="N92" s="3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$94,0)</f>
        <v>0.67079514216347202</v>
      </c>
    </row>
    <row r="93" spans="1:14" ht="10" customHeight="1" x14ac:dyDescent="0.2">
      <c r="A93" s="16" t="s">
        <v>9040</v>
      </c>
      <c r="B93" s="33">
        <f>IFERROR((SUMIFS(JB_26BV,JB_B,5,JB_H,"DDG",JB_RC,"ADD"))/B$94,0)</f>
        <v>0</v>
      </c>
      <c r="C93" s="28">
        <f>IFERROR((SUMIFS(JB_26BV,JB_B,5,JB_H,"LCS",JB_RC,"ADD"))/C$94,0)</f>
        <v>0</v>
      </c>
      <c r="D93" s="28">
        <f>IFERROR((SUMIFS(JB_26BV,JB_B,5,JB_H,"LHD",JB_RC,"ADD"))/D$94,0)</f>
        <v>0</v>
      </c>
      <c r="E93" s="28">
        <f>IFERROR((SUMIFS(JB_26BV,JB_B,5,JB_H,"LPD",JB_RC,"ADD"))/E$94,0)</f>
        <v>0</v>
      </c>
      <c r="F93" s="28">
        <f>IFERROR((SUMIFS(JB_26BV,JB_B,5,JB_H,"CG",JB_RC,"ADD"))/F$94,0)</f>
        <v>0</v>
      </c>
      <c r="G93" s="28">
        <f>IFERROR((SUMIFS(JB_26BV,JB_B,5,JB_H,"LSD",JB_RC,"ADD"))/G$94,0)</f>
        <v>0</v>
      </c>
      <c r="H93" s="28">
        <f>IFERROR((SUMIFS(JB_26BV,JB_B,5,JB_H,"LHA",JB_RC,"ADD"))/H$94,0)</f>
        <v>0</v>
      </c>
      <c r="I93" s="28">
        <f>IFERROR((SUMIFS(JB_26BV,JB_B,5,JB_H,"LCC",JB_RC,"ADD"))/I$94,0)</f>
        <v>0.46506465933217528</v>
      </c>
      <c r="J93" s="28">
        <f>IFERROR((SUMIFS(JB_26BV,JB_B,5,JB_H,"T-AGOS",JB_RC,"ADD"))/J$94,0)</f>
        <v>0</v>
      </c>
      <c r="K93" s="28">
        <f>IFERROR((SUMIFS(JB_26BV,JB_B,5,JB_H,"MCM",JB_RC,"ADD"))/K$94,0)</f>
        <v>0</v>
      </c>
      <c r="L93" s="28">
        <f>IFERROR((SUMIFS(JB_26BV,JB_B,5,JB_H,"ESB",JB_RC,"ADD"))/L$94,0)</f>
        <v>0</v>
      </c>
      <c r="M93" s="33">
        <f>IFERROR((SUMIFS(JB_26BV,JB_B,5,JB_H,"WMSL",JB_RC,"ADD"))/M$94,0)</f>
        <v>0</v>
      </c>
      <c r="N93" s="3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$94,0)</f>
        <v>2.4562638870465211E-3</v>
      </c>
    </row>
    <row r="94" spans="1:14" ht="10" customHeight="1" x14ac:dyDescent="0.2">
      <c r="A94" s="23" t="s">
        <v>8840</v>
      </c>
      <c r="B94" s="34">
        <f>SUMIFS(JB_26BV,JB_B,2,JB_H,"DDG",JB_RC,"ADD")+SUMIFS(JB_26BV,JB_B,3,JB_H,"DDG",JB_RC,"ADD")+SUMIFS(JB_26BV,JB_B,4,JB_H,"DDG",JB_RC,"ADD")+SUMIFS(JB_26BV,JB_B,5,JB_H,"DDG",JB_RC,"ADD")</f>
        <v>4562380</v>
      </c>
      <c r="C94" s="24">
        <f>SUMIFS(JB_26BV,JB_B,2,JB_H,"LCS",JB_RC,"ADD")+SUMIFS(JB_26BV,JB_B,3,JB_H,"LCS",JB_RC,"ADD")+SUMIFS(JB_26BV,JB_B,4,JB_H,"LCS",JB_RC,"ADD")+SUMIFS(JB_26BV,JB_B,5,JB_H,"LCS",JB_RC,"ADD")</f>
        <v>1397090</v>
      </c>
      <c r="D94" s="24">
        <f>SUMIFS(JB_26BV,JB_B,2,JB_H,"LHD",JB_RC,"ADD")+SUMIFS(JB_26BV,JB_B,3,JB_H,"LHD",JB_RC,"ADD")+SUMIFS(JB_26BV,JB_B,4,JB_H,"LHD",JB_RC,"ADD")+SUMIFS(JB_26BV,JB_B,5,JB_H,"LHD",JB_RC,"ADD")</f>
        <v>1101686</v>
      </c>
      <c r="E94" s="24">
        <f>SUMIFS(JB_26BV,JB_B,2,JB_H,"LPD",JB_RC,"ADD")+SUMIFS(JB_26BV,JB_B,3,JB_H,"LPD",JB_RC,"ADD")+SUMIFS(JB_26BV,JB_B,4,JB_H,"LPD",JB_RC,"ADD")+SUMIFS(JB_26BV,JB_B,5,JB_H,"LPD",JB_RC,"ADD")</f>
        <v>286989</v>
      </c>
      <c r="F94" s="24">
        <f>SUMIFS(JB_26BV,JB_B,2,JB_H,"CG",JB_RC,"ADD")+SUMIFS(JB_26BV,JB_B,3,JB_H,"CG",JB_RC,"ADD")+SUMIFS(JB_26BV,JB_B,4,JB_H,"CG",JB_RC,"ADD")+SUMIFS(JB_26BV,JB_B,5,JB_H,"CG",JB_RC,"ADD")</f>
        <v>166410</v>
      </c>
      <c r="G94" s="24">
        <f>SUMIFS(JB_26BV,JB_B,2,JB_H,"LSD",JB_RC,"ADD")+SUMIFS(JB_26BV,JB_B,3,JB_H,"LSD",JB_RC,"ADD")+SUMIFS(JB_26BV,JB_B,4,JB_H,"LSD",JB_RC,"ADD")+SUMIFS(JB_26BV,JB_B,5,JB_H,"LSD",JB_RC,"ADD")</f>
        <v>124431</v>
      </c>
      <c r="H94" s="24">
        <f>SUMIFS(JB_26BV,JB_B,2,JB_H,"LHA",JB_RC,"ADD")+SUMIFS(JB_26BV,JB_B,3,JB_H,"LHA",JB_RC,"ADD")+SUMIFS(JB_26BV,JB_B,4,JB_H,"LHA",JB_RC,"ADD")+SUMIFS(JB_26BV,JB_B,5,JB_H,"LHA",JB_RC,"ADD")</f>
        <v>57077</v>
      </c>
      <c r="I94" s="24">
        <f>SUMIFS(JB_26BV,JB_B,2,JB_H,"LCC",JB_RC,"ADD")+SUMIFS(JB_26BV,JB_B,3,JB_H,"LCC",JB_RC,"ADD")+SUMIFS(JB_26BV,JB_B,4,JB_H,"LCC",JB_RC,"ADD")+SUMIFS(JB_26BV,JB_B,5,JB_H,"LCC",JB_RC,"ADD")</f>
        <v>41448</v>
      </c>
      <c r="J94" s="24">
        <f>SUMIFS(JB_26BV,JB_B,2,JB_H,"T-AGOS",JB_RC,"ADD")+SUMIFS(JB_26BV,JB_B,3,JB_H,"T-AGOS",JB_RC,"ADD")+SUMIFS(JB_26BV,JB_B,4,JB_H,"T-AGOS",JB_RC,"ADD")+SUMIFS(JB_26BV,JB_B,5,JB_H,"T-AGOS",JB_RC,"ADD")</f>
        <v>31169</v>
      </c>
      <c r="K94" s="24">
        <f>SUMIFS(JB_26BV,JB_B,2,JB_H,"MCM",JB_RC,"ADD")+SUMIFS(JB_26BV,JB_B,3,JB_H,"MCM",JB_RC,"ADD")+SUMIFS(JB_26BV,JB_B,4,JB_H,"MCM",JB_RC,"ADD")+SUMIFS(JB_26BV,JB_B,5,JB_H,"MCM",JB_RC,"ADD")</f>
        <v>24349</v>
      </c>
      <c r="L94" s="24">
        <f>SUMIFS(JB_26BV,JB_B,2,JB_H,"ESB",JB_RC,"ADD")+SUMIFS(JB_26BV,JB_B,3,JB_H,"ESB",JB_RC,"ADD")+SUMIFS(JB_26BV,JB_B,4,JB_H,"ESB",JB_RC,"ADD")+SUMIFS(JB_26BV,JB_B,5,JB_H,"ESB",JB_RC,"ADD")</f>
        <v>23662</v>
      </c>
      <c r="M94" s="34">
        <f>SUMIFS(JB_26BV,JB_B,2,JB_H,"WMSL",JB_RC,"ADD")+SUMIFS(JB_26BV,JB_B,3,JB_H,"WMSL",JB_RC,"ADD")+SUMIFS(JB_26BV,JB_B,4,JB_H,"WMSL",JB_RC,"ADD")+SUMIFS(JB_26BV,JB_B,5,JB_H,"WMSL",JB_RC,"ADD")</f>
        <v>31000</v>
      </c>
      <c r="N94" s="34">
        <f>SUM(B94:M94)</f>
        <v>7847691</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9072</v>
      </c>
      <c r="B1" s="21"/>
      <c r="C1" s="21"/>
      <c r="D1" s="21"/>
      <c r="E1" s="21"/>
      <c r="F1" s="2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9073</v>
      </c>
    </row>
    <row r="3" spans="1:3" ht="10" customHeight="1" x14ac:dyDescent="0.2"/>
    <row r="4" spans="1:3" ht="10" customHeight="1" x14ac:dyDescent="0.2">
      <c r="A4" s="6" t="s">
        <v>9074</v>
      </c>
      <c r="B4" s="7"/>
    </row>
    <row r="5" spans="1:3" ht="10" customHeight="1" x14ac:dyDescent="0.2">
      <c r="A5" s="15" t="s">
        <v>8799</v>
      </c>
      <c r="B5" s="15" t="s">
        <v>9075</v>
      </c>
    </row>
    <row r="6" spans="1:3" ht="10" customHeight="1" x14ac:dyDescent="0.2">
      <c r="A6" s="16" t="s">
        <v>8801</v>
      </c>
      <c r="B6" s="17">
        <f>SUMIFS(JB_27BV,JB_B,1,JB_RC,"ADD")</f>
        <v>61800680</v>
      </c>
    </row>
    <row r="7" spans="1:3" ht="10" customHeight="1" x14ac:dyDescent="0.2">
      <c r="A7" s="16" t="s">
        <v>8802</v>
      </c>
      <c r="B7" s="17">
        <f>SUMIFS(JB_27BV,JB_B,2,JB_RC,"ADD")</f>
        <v>2737140</v>
      </c>
    </row>
    <row r="8" spans="1:3" ht="10" customHeight="1" x14ac:dyDescent="0.2">
      <c r="A8" s="16" t="s">
        <v>8803</v>
      </c>
      <c r="B8" s="17">
        <f>SUMIFS(JB_27BV,JB_B,3,JB_RC,"ADD")</f>
        <v>0</v>
      </c>
    </row>
    <row r="9" spans="1:3" ht="10" customHeight="1" x14ac:dyDescent="0.2">
      <c r="A9" s="16" t="s">
        <v>8804</v>
      </c>
      <c r="B9" s="17">
        <f>SUMIFS(JB_27BV,JB_B,4,JB_RC,"ADD")</f>
        <v>27072117</v>
      </c>
    </row>
    <row r="10" spans="1:3" ht="10" customHeight="1" x14ac:dyDescent="0.2">
      <c r="A10" s="16" t="s">
        <v>8805</v>
      </c>
      <c r="B10" s="17">
        <f>SUMIFS(JB_27BV,JB_B,5,JB_RC,"ADD")</f>
        <v>4540736</v>
      </c>
    </row>
    <row r="11" spans="1:3" ht="10" customHeight="1" x14ac:dyDescent="0.2">
      <c r="A11" s="16" t="s">
        <v>8806</v>
      </c>
      <c r="B11" s="17">
        <f>SUMIFS(JB_27BV,JB_B,6,JB_RC,"ADD")</f>
        <v>3540796</v>
      </c>
    </row>
    <row r="12" spans="1:3" ht="10" customHeight="1" x14ac:dyDescent="0.2">
      <c r="A12" s="16" t="s">
        <v>8807</v>
      </c>
      <c r="B12" s="17">
        <f>SUMIFS(JB_27BV,JB_B,7,JB_RC,"ADD")</f>
        <v>646857</v>
      </c>
    </row>
    <row r="13" spans="1:3" ht="10" customHeight="1" x14ac:dyDescent="0.2">
      <c r="A13" s="23" t="s">
        <v>8808</v>
      </c>
      <c r="B13" s="24">
        <f>SUM(B6:B12)</f>
        <v>100338326</v>
      </c>
    </row>
    <row r="14" spans="1:3" ht="10" customHeight="1" x14ac:dyDescent="0.2"/>
    <row r="15" spans="1:3" ht="10" customHeight="1" x14ac:dyDescent="0.2"/>
    <row r="16" spans="1:3" ht="10" customHeight="1" x14ac:dyDescent="0.2">
      <c r="A16" s="6" t="s">
        <v>9076</v>
      </c>
      <c r="B16" s="7"/>
      <c r="C16" s="7"/>
    </row>
    <row r="17" spans="1:3" ht="10" customHeight="1" x14ac:dyDescent="0.2">
      <c r="A17" s="15" t="s">
        <v>8810</v>
      </c>
      <c r="B17" s="15" t="s">
        <v>9075</v>
      </c>
      <c r="C17" s="15" t="s">
        <v>8811</v>
      </c>
    </row>
    <row r="18" spans="1:3" ht="10" customHeight="1" x14ac:dyDescent="0.2">
      <c r="A18" s="16" t="s">
        <v>51</v>
      </c>
      <c r="B18" s="17">
        <f>SUMIFS(JB_27BV,JB_V,"Combatant Ships",JB_RC,"ADD")</f>
        <v>74026722</v>
      </c>
      <c r="C18" s="22" t="s">
        <v>8812</v>
      </c>
    </row>
    <row r="19" spans="1:3" ht="10" customHeight="1" x14ac:dyDescent="0.2">
      <c r="A19" s="16" t="s">
        <v>232</v>
      </c>
      <c r="B19" s="17">
        <f>SUMIFS(JB_27BV,JB_V,"Auxiliary Ships",JB_RC,"ADD")</f>
        <v>1230000</v>
      </c>
      <c r="C19" s="22" t="s">
        <v>8812</v>
      </c>
    </row>
    <row r="20" spans="1:3" ht="10" customHeight="1" x14ac:dyDescent="0.2">
      <c r="A20" s="16" t="s">
        <v>6806</v>
      </c>
      <c r="B20" s="17">
        <f>SUMIFS(JB_27BV,JB_V,"Cutters",JB_RC,"ADD")</f>
        <v>0</v>
      </c>
      <c r="C20" s="22" t="s">
        <v>8812</v>
      </c>
    </row>
    <row r="21" spans="1:3" ht="10" customHeight="1" x14ac:dyDescent="0.2">
      <c r="A21" s="16" t="s">
        <v>4675</v>
      </c>
      <c r="B21" s="17">
        <f>SUMIFS(JB_27BV,JB_V,"Unmanned Maritime Platforms",JB_RC,"ADD")</f>
        <v>417887</v>
      </c>
      <c r="C21" s="22" t="s">
        <v>8812</v>
      </c>
    </row>
    <row r="22" spans="1:3" ht="10" customHeight="1" x14ac:dyDescent="0.2">
      <c r="A22" s="16" t="s">
        <v>239</v>
      </c>
      <c r="B22" s="17">
        <f>SUMIFS(JB_27BV,JB_V,"Combatant Crafts",JB_RC,"ADD")</f>
        <v>794408</v>
      </c>
      <c r="C22" s="22" t="s">
        <v>8813</v>
      </c>
    </row>
    <row r="23" spans="1:3" ht="10" customHeight="1" x14ac:dyDescent="0.2">
      <c r="A23" s="16" t="s">
        <v>304</v>
      </c>
      <c r="B23" s="17">
        <f>SUMIFS(JB_27BV,JB_V,"Support Crafts",JB_RC,"ADD")</f>
        <v>355500</v>
      </c>
      <c r="C23" s="22" t="s">
        <v>8814</v>
      </c>
    </row>
    <row r="24" spans="1:3" ht="10" customHeight="1" x14ac:dyDescent="0.2">
      <c r="A24" s="16" t="s">
        <v>8192</v>
      </c>
      <c r="B24" s="17">
        <f>SUMIFS(JB_27BV,JB_V,"Boats",JB_RC,"ADD")</f>
        <v>0</v>
      </c>
      <c r="C24" s="22" t="s">
        <v>8815</v>
      </c>
    </row>
    <row r="25" spans="1:3" ht="10" customHeight="1" x14ac:dyDescent="0.2">
      <c r="A25" s="16" t="s">
        <v>8816</v>
      </c>
      <c r="B25" s="17">
        <f>SUMIFS(JB_27BV,JB_V,"",JB_RC,"ADD")</f>
        <v>23513809</v>
      </c>
      <c r="C25" s="22" t="s">
        <v>8817</v>
      </c>
    </row>
    <row r="26" spans="1:3" ht="10" customHeight="1" x14ac:dyDescent="0.2">
      <c r="A26" s="23" t="s">
        <v>8808</v>
      </c>
      <c r="B26" s="24">
        <f>SUM(B18:B25)</f>
        <v>100338326</v>
      </c>
      <c r="C26" s="25"/>
    </row>
    <row r="27" spans="1:3" ht="10" customHeight="1" x14ac:dyDescent="0.2">
      <c r="A27" s="26" t="s">
        <v>8818</v>
      </c>
      <c r="B27" s="27">
        <f>B18+B19+B20+B21</f>
        <v>75674609</v>
      </c>
    </row>
    <row r="28" spans="1:3" ht="10" customHeight="1" x14ac:dyDescent="0.2"/>
    <row r="29" spans="1:3" ht="10" customHeight="1" x14ac:dyDescent="0.2"/>
    <row r="30" spans="1:3" ht="10" customHeight="1" x14ac:dyDescent="0.2">
      <c r="A30" s="6" t="s">
        <v>9077</v>
      </c>
      <c r="B30" s="7"/>
    </row>
    <row r="31" spans="1:3" ht="10" customHeight="1" x14ac:dyDescent="0.2">
      <c r="A31" s="15" t="s">
        <v>8</v>
      </c>
      <c r="B31" s="15" t="s">
        <v>9075</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8808</v>
      </c>
      <c r="B43" s="24">
        <f>SUM(B32:B42)</f>
        <v>100338326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R85"/>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9078</v>
      </c>
      <c r="B1" s="21"/>
      <c r="C1" s="21"/>
      <c r="D1" s="21"/>
      <c r="E1" s="21"/>
      <c r="F1" s="21"/>
      <c r="G1" s="21"/>
      <c r="H1" s="21"/>
      <c r="I1" s="21"/>
      <c r="J1" s="21"/>
      <c r="K1" s="21"/>
      <c r="L1" s="21"/>
      <c r="M1" s="21"/>
      <c r="N1" s="21"/>
      <c r="O1" s="21"/>
      <c r="P1" s="21"/>
      <c r="Q1" s="21"/>
      <c r="R1" s="21"/>
    </row>
    <row r="2" spans="1:18" ht="10" customHeight="1" x14ac:dyDescent="0.2">
      <c r="A2" s="22" t="s">
        <v>8821</v>
      </c>
    </row>
    <row r="3" spans="1:18" ht="10" customHeight="1" x14ac:dyDescent="0.2"/>
    <row r="4" spans="1:18" ht="10" customHeight="1" x14ac:dyDescent="0.2">
      <c r="A4" s="6" t="s">
        <v>8822</v>
      </c>
      <c r="B4" s="7"/>
    </row>
    <row r="5" spans="1:18" ht="10" customHeight="1" x14ac:dyDescent="0.2">
      <c r="A5" s="16" t="s">
        <v>8823</v>
      </c>
      <c r="B5" s="17">
        <f>SUMIFS(JB_27BV,JB_B,1,JB_RC,"ADD")</f>
        <v>61800680</v>
      </c>
    </row>
    <row r="6" spans="1:18" ht="10" customHeight="1" x14ac:dyDescent="0.2">
      <c r="A6" s="16" t="s">
        <v>8824</v>
      </c>
      <c r="B6" s="17">
        <f>-SUMIFS(JB_27BV,JB_B,1,JB_V,"",JB_RC,"ADD")</f>
        <v>-3628085</v>
      </c>
    </row>
    <row r="7" spans="1:18" ht="10" customHeight="1" x14ac:dyDescent="0.2">
      <c r="A7" s="16" t="s">
        <v>8825</v>
      </c>
      <c r="B7" s="17">
        <f>-SUMIFS(JB_27BV,JB_B,1,JB_V,"Combatant Crafts",JB_RC,"ADD")</f>
        <v>-733895</v>
      </c>
    </row>
    <row r="8" spans="1:18" ht="10" customHeight="1" x14ac:dyDescent="0.2">
      <c r="A8" s="16" t="s">
        <v>8826</v>
      </c>
      <c r="B8" s="17">
        <f>-SUMIFS(JB_27BV,JB_B,1,JB_V,"Support Crafts",JB_RC,"ADD")</f>
        <v>-355500</v>
      </c>
    </row>
    <row r="9" spans="1:18" ht="10" customHeight="1" x14ac:dyDescent="0.2">
      <c r="A9" s="16" t="s">
        <v>8827</v>
      </c>
      <c r="B9" s="17">
        <f>-SUMIFS(JB_27BV,JB_B,1,JB_V,"Boats",JB_RC,"ADD")</f>
        <v>0</v>
      </c>
    </row>
    <row r="10" spans="1:18" ht="10" customHeight="1" x14ac:dyDescent="0.2">
      <c r="A10" s="16" t="s">
        <v>8828</v>
      </c>
      <c r="B10" s="17">
        <f>-(SUMIFS(JB_27BV,JB_B,1,JB_V,"Auxiliary Ships",JB_W,"",JB_RC,"ADD")+SUMIFS(JB_27BV,JB_B,1,JB_V,"Combatant Ships",JB_W,"",JB_RC,"ADD")+SUMIFS(JB_27BV,JB_B,1,JB_V,"Cutters",JB_W,"",JB_RC,"ADD")+SUMIFS(JB_27BV,JB_B,1,JB_V,"Unmanned Maritime Platforms",JB_W,"",JB_RC,"ADD"))</f>
        <v>0</v>
      </c>
    </row>
    <row r="11" spans="1:18" ht="10" customHeight="1" x14ac:dyDescent="0.2">
      <c r="A11" s="23" t="s">
        <v>8829</v>
      </c>
      <c r="B11" s="24">
        <f>SUM(B5:B10)</f>
        <v>57083200</v>
      </c>
    </row>
    <row r="12" spans="1:18" ht="10" customHeight="1" x14ac:dyDescent="0.2"/>
    <row r="13" spans="1:18" ht="10" customHeight="1" x14ac:dyDescent="0.2"/>
    <row r="14" spans="1:18" ht="10" customHeight="1" x14ac:dyDescent="0.2">
      <c r="A14" s="6" t="s">
        <v>8830</v>
      </c>
      <c r="B14" s="7"/>
      <c r="C14" s="7"/>
      <c r="D14" s="7"/>
    </row>
    <row r="15" spans="1:18" ht="10" customHeight="1" x14ac:dyDescent="0.2">
      <c r="A15" s="15" t="s">
        <v>20</v>
      </c>
      <c r="B15" s="15" t="s">
        <v>8831</v>
      </c>
      <c r="C15" s="15" t="s">
        <v>9075</v>
      </c>
      <c r="D15" s="15" t="s">
        <v>8832</v>
      </c>
    </row>
    <row r="16" spans="1:18" ht="10" customHeight="1" x14ac:dyDescent="0.2">
      <c r="A16" s="16" t="s">
        <v>52</v>
      </c>
      <c r="B16" s="16" t="s">
        <v>50</v>
      </c>
      <c r="C16" s="17">
        <f>SUMIFS(JB_27BV,JB_B,1,JB_W,"Submarines",JB_RC,"ADD")</f>
        <v>29188808</v>
      </c>
      <c r="D16" s="28">
        <f t="shared" ref="D16:D43" si="0">IFERROR(C16/C$44,0)</f>
        <v>0.51133797684782911</v>
      </c>
    </row>
    <row r="17" spans="1:4" ht="10" customHeight="1" x14ac:dyDescent="0.2">
      <c r="A17" s="16" t="s">
        <v>149</v>
      </c>
      <c r="B17" s="16" t="s">
        <v>50</v>
      </c>
      <c r="C17" s="17">
        <f>SUMIFS(JB_27BV,JB_B,1,JB_W,"Amphibious Warfare Ships",JB_RC,"ADD")</f>
        <v>6400969</v>
      </c>
      <c r="D17" s="28">
        <f t="shared" si="0"/>
        <v>0.11213402542254114</v>
      </c>
    </row>
    <row r="18" spans="1:4" ht="10" customHeight="1" x14ac:dyDescent="0.2">
      <c r="A18" s="16" t="s">
        <v>119</v>
      </c>
      <c r="B18" s="16" t="s">
        <v>50</v>
      </c>
      <c r="C18" s="17">
        <f>SUMIFS(JB_27BV,JB_B,1,JB_W,"Surface Combatants",JB_RC,"ADD")</f>
        <v>5857134</v>
      </c>
      <c r="D18" s="28">
        <f t="shared" si="0"/>
        <v>0.10260696667320683</v>
      </c>
    </row>
    <row r="19" spans="1:4" ht="10" customHeight="1" x14ac:dyDescent="0.2">
      <c r="A19" s="16" t="s">
        <v>4963</v>
      </c>
      <c r="B19" s="16" t="s">
        <v>50</v>
      </c>
      <c r="C19" s="17">
        <f>SUMIFS(JB_27BV,JB_B,1,JB_W,"Material Support Ships",JB_RC,"ADD")</f>
        <v>4444000</v>
      </c>
      <c r="D19" s="28">
        <f t="shared" si="0"/>
        <v>7.7851276732909161E-2</v>
      </c>
    </row>
    <row r="20" spans="1:4" ht="10" customHeight="1" x14ac:dyDescent="0.2">
      <c r="A20" s="16" t="s">
        <v>69</v>
      </c>
      <c r="B20" s="16" t="s">
        <v>50</v>
      </c>
      <c r="C20" s="17">
        <f>SUMIFS(JB_27BV,JB_B,1,JB_W,"Aircraft Carriers",JB_RC,"ADD")</f>
        <v>4067355</v>
      </c>
      <c r="D20" s="28">
        <f t="shared" si="0"/>
        <v>7.1253100737169603E-2</v>
      </c>
    </row>
    <row r="21" spans="1:4" ht="10" customHeight="1" x14ac:dyDescent="0.2">
      <c r="A21" s="16" t="s">
        <v>202</v>
      </c>
      <c r="B21" s="16" t="s">
        <v>190</v>
      </c>
      <c r="C21" s="17">
        <f>SUMIFS(JB_27BV,JB_B,1,JB_W,"Combat Logistics Ships",JB_RC,"ADD")</f>
        <v>2678883</v>
      </c>
      <c r="D21" s="28">
        <f t="shared" si="0"/>
        <v>4.6929446842503574E-2</v>
      </c>
    </row>
    <row r="22" spans="1:4" ht="10" customHeight="1" x14ac:dyDescent="0.2">
      <c r="A22" s="16" t="s">
        <v>182</v>
      </c>
      <c r="B22" s="16" t="s">
        <v>50</v>
      </c>
      <c r="C22" s="17">
        <f>SUMIFS(JB_27BV,JB_B,1,JB_W,"Expeditionary &amp; Seabasing Ships",JB_RC,"ADD")</f>
        <v>1887500</v>
      </c>
      <c r="D22" s="28">
        <f t="shared" si="0"/>
        <v>3.3065770664573814E-2</v>
      </c>
    </row>
    <row r="23" spans="1:4" ht="10" customHeight="1" x14ac:dyDescent="0.2">
      <c r="A23" s="16" t="s">
        <v>214</v>
      </c>
      <c r="B23" s="16" t="s">
        <v>50</v>
      </c>
      <c r="C23" s="17">
        <f>SUMIFS(JB_27BV,JB_B,1,JB_W,"Surveillance Ships",JB_RC,"ADD")</f>
        <v>910664</v>
      </c>
      <c r="D23" s="28">
        <f t="shared" si="0"/>
        <v>1.5953275219328978E-2</v>
      </c>
    </row>
    <row r="24" spans="1:4" ht="10" customHeight="1" x14ac:dyDescent="0.2">
      <c r="A24" s="16" t="s">
        <v>5026</v>
      </c>
      <c r="B24" s="16" t="s">
        <v>190</v>
      </c>
      <c r="C24" s="17">
        <f>SUMIFS(JB_27BV,JB_B,1,JB_W,"Hospital Ship",JB_RC,"ADD")</f>
        <v>650000</v>
      </c>
      <c r="D24" s="28">
        <f t="shared" si="0"/>
        <v>1.1386887910979061E-2</v>
      </c>
    </row>
    <row r="25" spans="1:4" ht="10" customHeight="1" x14ac:dyDescent="0.2">
      <c r="A25" s="16" t="s">
        <v>245</v>
      </c>
      <c r="B25" s="16" t="s">
        <v>50</v>
      </c>
      <c r="C25" s="17">
        <f>SUMIFS(JB_27BV,JB_B,1,JB_W,"Cargo &amp; Vehicle Cargo Ships",JB_RC,"ADD")</f>
        <v>580000</v>
      </c>
      <c r="D25" s="28">
        <f t="shared" si="0"/>
        <v>1.0160607674412086E-2</v>
      </c>
    </row>
    <row r="26" spans="1:4" ht="10" customHeight="1" x14ac:dyDescent="0.2">
      <c r="A26" s="16" t="s">
        <v>4676</v>
      </c>
      <c r="B26" s="16" t="s">
        <v>50</v>
      </c>
      <c r="C26" s="17">
        <f>SUMIFS(JB_27BV,JB_B,1,JB_W,"Unmanned Undersea Vehicles",JB_RC,"ADD")</f>
        <v>246757</v>
      </c>
      <c r="D26" s="28">
        <f t="shared" si="0"/>
        <v>4.3227604619222471E-3</v>
      </c>
    </row>
    <row r="27" spans="1:4" ht="10" customHeight="1" x14ac:dyDescent="0.2">
      <c r="A27" s="16" t="s">
        <v>5413</v>
      </c>
      <c r="B27" s="16" t="s">
        <v>50</v>
      </c>
      <c r="C27" s="17">
        <f>SUMIFS(JB_27BV,JB_B,1,JB_W,"Unmanned Surface Vehicles",JB_RC,"ADD")</f>
        <v>171130</v>
      </c>
      <c r="D27" s="28">
        <f t="shared" si="0"/>
        <v>2.9979048126243797E-3</v>
      </c>
    </row>
    <row r="28" spans="1:4" ht="10" customHeight="1" x14ac:dyDescent="0.2">
      <c r="A28" s="16" t="s">
        <v>5269</v>
      </c>
      <c r="B28" s="16" t="s">
        <v>50</v>
      </c>
      <c r="C28" s="17">
        <f>SUMIFS(JB_27BV,JB_B,1,JB_W,"Aviation Logistics Support Ship",JB_RC,"ADD")</f>
        <v>0</v>
      </c>
      <c r="D28" s="28">
        <f t="shared" si="0"/>
        <v>0</v>
      </c>
    </row>
    <row r="29" spans="1:4" ht="10" customHeight="1" x14ac:dyDescent="0.2">
      <c r="A29" s="16" t="s">
        <v>4684</v>
      </c>
      <c r="B29" s="16" t="s">
        <v>50</v>
      </c>
      <c r="C29" s="17">
        <f>SUMIFS(JB_27BV,JB_B,1,JB_W,"Mine Warfare",JB_RC,"ADD")</f>
        <v>0</v>
      </c>
      <c r="D29" s="28">
        <f t="shared" si="0"/>
        <v>0</v>
      </c>
    </row>
    <row r="30" spans="1:4" ht="10" customHeight="1" x14ac:dyDescent="0.2">
      <c r="A30" s="16" t="s">
        <v>233</v>
      </c>
      <c r="B30" s="16" t="s">
        <v>190</v>
      </c>
      <c r="C30" s="17">
        <f>SUMIFS(JB_27BV,JB_B,1,JB_W,"Research, Survey &amp; Instrumentation Ships",JB_RC,"ADD")</f>
        <v>0</v>
      </c>
      <c r="D30" s="28">
        <f t="shared" si="0"/>
        <v>0</v>
      </c>
    </row>
    <row r="31" spans="1:4" ht="10" customHeight="1" x14ac:dyDescent="0.2">
      <c r="A31" s="16" t="s">
        <v>226</v>
      </c>
      <c r="B31" s="16" t="s">
        <v>190</v>
      </c>
      <c r="C31" s="17">
        <f>SUMIFS(JB_27BV,JB_B,1,JB_W,"Salvage Ships &amp; Fleet Ocean Tugs",JB_RC,"ADD")</f>
        <v>0</v>
      </c>
      <c r="D31" s="28">
        <f t="shared" si="0"/>
        <v>0</v>
      </c>
    </row>
    <row r="32" spans="1:4" ht="10" customHeight="1" x14ac:dyDescent="0.2">
      <c r="A32" s="16" t="s">
        <v>4856</v>
      </c>
      <c r="B32" s="16" t="s">
        <v>50</v>
      </c>
      <c r="C32" s="17">
        <f>SUMIFS(JB_27BV,JB_B,1,JB_W,"Command Ships",JB_RC,"ADD")</f>
        <v>0</v>
      </c>
      <c r="D32" s="28">
        <f t="shared" si="0"/>
        <v>0</v>
      </c>
    </row>
    <row r="33" spans="1:5" ht="10" customHeight="1" x14ac:dyDescent="0.2">
      <c r="A33" s="16" t="s">
        <v>5274</v>
      </c>
      <c r="B33" s="16" t="s">
        <v>50</v>
      </c>
      <c r="C33" s="17">
        <f>SUMIFS(JB_27BV,JB_B,1,JB_W,"Crane Ship",JB_RC,"ADD")</f>
        <v>0</v>
      </c>
      <c r="D33" s="28">
        <f t="shared" si="0"/>
        <v>0</v>
      </c>
    </row>
    <row r="34" spans="1:5" ht="10" customHeight="1" x14ac:dyDescent="0.2">
      <c r="A34" s="16" t="s">
        <v>5016</v>
      </c>
      <c r="B34" s="16" t="s">
        <v>50</v>
      </c>
      <c r="C34" s="17">
        <f>SUMIFS(JB_27BV,JB_B,1,JB_W,"Submarine Escort Ship",JB_RC,"ADD")</f>
        <v>0</v>
      </c>
      <c r="D34" s="28">
        <f t="shared" si="0"/>
        <v>0</v>
      </c>
    </row>
    <row r="35" spans="1:5" ht="10" customHeight="1" x14ac:dyDescent="0.2">
      <c r="A35" s="16" t="s">
        <v>4982</v>
      </c>
      <c r="B35" s="16" t="s">
        <v>50</v>
      </c>
      <c r="C35" s="17">
        <f>SUMIFS(JB_27BV,JB_B,1,JB_W,"High Speed Transport",JB_RC,"ADD")</f>
        <v>0</v>
      </c>
      <c r="D35" s="28">
        <f t="shared" si="0"/>
        <v>0</v>
      </c>
    </row>
    <row r="36" spans="1:5" ht="10" customHeight="1" x14ac:dyDescent="0.2">
      <c r="A36" s="16" t="s">
        <v>4643</v>
      </c>
      <c r="B36" s="16" t="s">
        <v>50</v>
      </c>
      <c r="C36" s="17">
        <f>SUMIFS(JB_27BV,JB_B,1,JB_W,"General Auxiliary",JB_RC,"ADD")</f>
        <v>0</v>
      </c>
      <c r="D36" s="28">
        <f t="shared" si="0"/>
        <v>0</v>
      </c>
    </row>
    <row r="37" spans="1:5" ht="10" customHeight="1" x14ac:dyDescent="0.2">
      <c r="A37" s="16" t="s">
        <v>6807</v>
      </c>
      <c r="B37" s="16" t="s">
        <v>6805</v>
      </c>
      <c r="C37" s="17">
        <f>SUMIFS(JB_27BV,JB_B,1,JB_W,"National Security Cutters",JB_RC,"ADD")</f>
        <v>0</v>
      </c>
      <c r="D37" s="28">
        <f t="shared" si="0"/>
        <v>0</v>
      </c>
    </row>
    <row r="38" spans="1:5" ht="10" customHeight="1" x14ac:dyDescent="0.2">
      <c r="A38" s="16" t="s">
        <v>8196</v>
      </c>
      <c r="B38" s="16" t="s">
        <v>6805</v>
      </c>
      <c r="C38" s="17">
        <f>SUMIFS(JB_27BV,JB_B,1,JB_W,"Icebreakers, Oceangoing",JB_RC,"ADD")</f>
        <v>0</v>
      </c>
      <c r="D38" s="28">
        <f t="shared" si="0"/>
        <v>0</v>
      </c>
    </row>
    <row r="39" spans="1:5" ht="10" customHeight="1" x14ac:dyDescent="0.2">
      <c r="A39" s="16" t="s">
        <v>8207</v>
      </c>
      <c r="B39" s="16" t="s">
        <v>6805</v>
      </c>
      <c r="C39" s="17">
        <f>SUMIFS(JB_27BV,JB_B,1,JB_W,"Waterways Commerce Cutters",JB_RC,"ADD")</f>
        <v>0</v>
      </c>
      <c r="D39" s="28">
        <f t="shared" si="0"/>
        <v>0</v>
      </c>
    </row>
    <row r="40" spans="1:5" ht="10" customHeight="1" x14ac:dyDescent="0.2">
      <c r="A40" s="16" t="s">
        <v>8203</v>
      </c>
      <c r="B40" s="16" t="s">
        <v>6805</v>
      </c>
      <c r="C40" s="17">
        <f>SUMIFS(JB_27BV,JB_B,1,JB_W,"Icebreakers, Great Lakes",JB_RC,"ADD")</f>
        <v>0</v>
      </c>
      <c r="D40" s="28">
        <f t="shared" si="0"/>
        <v>0</v>
      </c>
    </row>
    <row r="41" spans="1:5" ht="10" customHeight="1" x14ac:dyDescent="0.2">
      <c r="A41" s="16" t="s">
        <v>8182</v>
      </c>
      <c r="B41" s="16" t="s">
        <v>6805</v>
      </c>
      <c r="C41" s="17">
        <f>SUMIFS(JB_27BV,JB_B,1,JB_W,"Offshore Patrol Cutter",JB_RC,"ADD")</f>
        <v>0</v>
      </c>
      <c r="D41" s="28">
        <f t="shared" si="0"/>
        <v>0</v>
      </c>
    </row>
    <row r="42" spans="1:5" ht="10" customHeight="1" x14ac:dyDescent="0.2">
      <c r="A42" s="16" t="s">
        <v>8188</v>
      </c>
      <c r="B42" s="16" t="s">
        <v>6805</v>
      </c>
      <c r="C42" s="17">
        <f>SUMIFS(JB_27BV,JB_B,1,JB_W,"Fast Response Cutters",JB_RC,"ADD")</f>
        <v>0</v>
      </c>
      <c r="D42" s="28">
        <f t="shared" si="0"/>
        <v>0</v>
      </c>
    </row>
    <row r="43" spans="1:5" ht="10" customHeight="1" x14ac:dyDescent="0.2">
      <c r="A43" s="16" t="s">
        <v>8169</v>
      </c>
      <c r="B43" s="16" t="s">
        <v>6805</v>
      </c>
      <c r="C43" s="17">
        <f>SUMIFS(JB_27BV,JB_B,1,JB_W,"Coastal Buoy Tenders",JB_RC,"ADD")</f>
        <v>0</v>
      </c>
      <c r="D43" s="28">
        <f t="shared" si="0"/>
        <v>0</v>
      </c>
    </row>
    <row r="44" spans="1:5" ht="10" customHeight="1" x14ac:dyDescent="0.2">
      <c r="A44" s="23" t="s">
        <v>8829</v>
      </c>
      <c r="B44" s="23"/>
      <c r="C44" s="24">
        <f>SUM(C16:C43)</f>
        <v>57083200</v>
      </c>
      <c r="D44" s="29">
        <v>1</v>
      </c>
    </row>
    <row r="45" spans="1:5" ht="10" customHeight="1" x14ac:dyDescent="0.2"/>
    <row r="46" spans="1:5" ht="10" customHeight="1" x14ac:dyDescent="0.2"/>
    <row r="47" spans="1:5" ht="10" customHeight="1" x14ac:dyDescent="0.2">
      <c r="A47" s="6" t="s">
        <v>9079</v>
      </c>
      <c r="B47" s="7"/>
      <c r="C47" s="7"/>
      <c r="D47" s="7"/>
      <c r="E47" s="7"/>
    </row>
    <row r="48" spans="1:5" ht="10" customHeight="1" x14ac:dyDescent="0.2">
      <c r="A48" s="22" t="s">
        <v>8834</v>
      </c>
    </row>
    <row r="49" spans="1:5" ht="10" customHeight="1" x14ac:dyDescent="0.2">
      <c r="A49" s="15" t="s">
        <v>8835</v>
      </c>
      <c r="B49" s="15" t="s">
        <v>20</v>
      </c>
      <c r="C49" s="15" t="s">
        <v>8831</v>
      </c>
      <c r="D49" s="15" t="s">
        <v>9075</v>
      </c>
      <c r="E49" s="15" t="s">
        <v>8832</v>
      </c>
    </row>
    <row r="50" spans="1:5" ht="10" customHeight="1" x14ac:dyDescent="0.2">
      <c r="A50" s="16" t="s">
        <v>53</v>
      </c>
      <c r="B50" s="16" t="s">
        <v>52</v>
      </c>
      <c r="C50" s="16" t="s">
        <v>50</v>
      </c>
      <c r="D50" s="17">
        <f>SUMIFS(JB_27BV,JB_B,1,JB_H,"SSBN",JB_RC,"ADD")</f>
        <v>15202874</v>
      </c>
      <c r="E50" s="28">
        <f t="shared" ref="E50:E64" si="1">IFERROR(D50/D$65,0)</f>
        <v>0.27471852998437651</v>
      </c>
    </row>
    <row r="51" spans="1:5" ht="10" customHeight="1" x14ac:dyDescent="0.2">
      <c r="A51" s="16" t="s">
        <v>88</v>
      </c>
      <c r="B51" s="16" t="s">
        <v>52</v>
      </c>
      <c r="C51" s="16" t="s">
        <v>50</v>
      </c>
      <c r="D51" s="17">
        <f>SUMIFS(JB_27BV,JB_B,1,JB_H,"SSN",JB_RC,"ADD")</f>
        <v>13985934</v>
      </c>
      <c r="E51" s="28">
        <f t="shared" si="1"/>
        <v>0.2527282163187376</v>
      </c>
    </row>
    <row r="52" spans="1:5" ht="10" customHeight="1" x14ac:dyDescent="0.2">
      <c r="A52" s="16" t="s">
        <v>4964</v>
      </c>
      <c r="B52" s="16" t="s">
        <v>4963</v>
      </c>
      <c r="C52" s="16" t="s">
        <v>50</v>
      </c>
      <c r="D52" s="17">
        <f>SUMIFS(JB_27BV,JB_B,1,JB_H,"AS",JB_RC,"ADD")</f>
        <v>4444000</v>
      </c>
      <c r="E52" s="28">
        <f t="shared" si="1"/>
        <v>8.0303839080069286E-2</v>
      </c>
    </row>
    <row r="53" spans="1:5" ht="10" customHeight="1" x14ac:dyDescent="0.2">
      <c r="A53" s="16" t="s">
        <v>70</v>
      </c>
      <c r="B53" s="16" t="s">
        <v>69</v>
      </c>
      <c r="C53" s="16" t="s">
        <v>50</v>
      </c>
      <c r="D53" s="17">
        <f>SUMIFS(JB_27BV,JB_B,1,JB_H,"CVN",JB_RC,"ADD")</f>
        <v>4067355</v>
      </c>
      <c r="E53" s="28">
        <f t="shared" si="1"/>
        <v>7.349779959530045E-2</v>
      </c>
    </row>
    <row r="54" spans="1:5" ht="10" customHeight="1" x14ac:dyDescent="0.2">
      <c r="A54" s="16" t="s">
        <v>168</v>
      </c>
      <c r="B54" s="16" t="s">
        <v>149</v>
      </c>
      <c r="C54" s="16" t="s">
        <v>50</v>
      </c>
      <c r="D54" s="17">
        <f>SUMIFS(JB_27BV,JB_B,1,JB_H,"LHA",JB_RC,"ADD")</f>
        <v>3852319</v>
      </c>
      <c r="E54" s="28">
        <f t="shared" si="1"/>
        <v>6.9612062344980519E-2</v>
      </c>
    </row>
    <row r="55" spans="1:5" ht="10" customHeight="1" x14ac:dyDescent="0.2">
      <c r="A55" s="16" t="s">
        <v>120</v>
      </c>
      <c r="B55" s="16" t="s">
        <v>119</v>
      </c>
      <c r="C55" s="16" t="s">
        <v>50</v>
      </c>
      <c r="D55" s="17">
        <f>SUMIFS(JB_27BV,JB_B,1,JB_H,"DDG",JB_RC,"ADD")</f>
        <v>3334754</v>
      </c>
      <c r="E55" s="28">
        <f t="shared" si="1"/>
        <v>6.0259574389652876E-2</v>
      </c>
    </row>
    <row r="56" spans="1:5" ht="10" customHeight="1" x14ac:dyDescent="0.2">
      <c r="A56" s="16" t="s">
        <v>150</v>
      </c>
      <c r="B56" s="16" t="s">
        <v>149</v>
      </c>
      <c r="C56" s="16" t="s">
        <v>50</v>
      </c>
      <c r="D56" s="17">
        <f>SUMIFS(JB_27BV,JB_B,1,JB_H,"LPD",JB_RC,"ADD")</f>
        <v>2548650</v>
      </c>
      <c r="E56" s="28">
        <f t="shared" si="1"/>
        <v>4.6054540835152695E-2</v>
      </c>
    </row>
    <row r="57" spans="1:5" ht="10" customHeight="1" x14ac:dyDescent="0.2">
      <c r="A57" s="16" t="s">
        <v>203</v>
      </c>
      <c r="B57" s="16" t="s">
        <v>202</v>
      </c>
      <c r="C57" s="16" t="s">
        <v>190</v>
      </c>
      <c r="D57" s="17">
        <f>SUMIFS(JB_27BV,JB_B,1,JB_H,"T-AO",JB_RC,"ADD")</f>
        <v>2228883</v>
      </c>
      <c r="E57" s="28">
        <f t="shared" si="1"/>
        <v>4.027629652572054E-2</v>
      </c>
    </row>
    <row r="58" spans="1:5" ht="10" customHeight="1" x14ac:dyDescent="0.2">
      <c r="A58" s="16" t="s">
        <v>183</v>
      </c>
      <c r="B58" s="16" t="s">
        <v>182</v>
      </c>
      <c r="C58" s="16" t="s">
        <v>50</v>
      </c>
      <c r="D58" s="17">
        <f>SUMIFS(JB_27BV,JB_B,1,JB_H,"LSM",JB_RC,"ADD")</f>
        <v>1887500</v>
      </c>
      <c r="E58" s="28">
        <f t="shared" si="1"/>
        <v>3.4107447404057328E-2</v>
      </c>
    </row>
    <row r="59" spans="1:5" ht="10" customHeight="1" x14ac:dyDescent="0.2">
      <c r="A59" s="16" t="s">
        <v>144</v>
      </c>
      <c r="B59" s="16" t="s">
        <v>119</v>
      </c>
      <c r="C59" s="16" t="s">
        <v>50</v>
      </c>
      <c r="D59" s="17">
        <f>SUMIFS(JB_27BV,JB_B,1,JB_H,"FFG",JB_RC,"ADD")</f>
        <v>1429000</v>
      </c>
      <c r="E59" s="28">
        <f t="shared" si="1"/>
        <v>2.5822274087628039E-2</v>
      </c>
    </row>
    <row r="60" spans="1:5" ht="10" customHeight="1" x14ac:dyDescent="0.2">
      <c r="A60" s="16" t="s">
        <v>215</v>
      </c>
      <c r="B60" s="16" t="s">
        <v>214</v>
      </c>
      <c r="C60" s="16" t="s">
        <v>190</v>
      </c>
      <c r="D60" s="17">
        <f>SUMIFS(JB_27BV,JB_B,1,JB_H,"T-AGOS",JB_RC,"ADD")</f>
        <v>710664</v>
      </c>
      <c r="E60" s="28">
        <f t="shared" si="1"/>
        <v>1.284181986858649E-2</v>
      </c>
    </row>
    <row r="61" spans="1:5" ht="10" customHeight="1" x14ac:dyDescent="0.2">
      <c r="A61" s="16" t="s">
        <v>5027</v>
      </c>
      <c r="B61" s="16" t="s">
        <v>5026</v>
      </c>
      <c r="C61" s="16" t="s">
        <v>190</v>
      </c>
      <c r="D61" s="17">
        <f>SUMIFS(JB_27BV,JB_B,1,JB_H,"T-AH",JB_RC,"ADD")</f>
        <v>650000</v>
      </c>
      <c r="E61" s="28">
        <f t="shared" si="1"/>
        <v>1.174561102656279E-2</v>
      </c>
    </row>
    <row r="62" spans="1:5" ht="10" customHeight="1" x14ac:dyDescent="0.2">
      <c r="A62" s="16" t="s">
        <v>246</v>
      </c>
      <c r="B62" s="16" t="s">
        <v>245</v>
      </c>
      <c r="C62" s="16" t="s">
        <v>190</v>
      </c>
      <c r="D62" s="17">
        <f>SUMIFS(JB_27BV,JB_B,1,JB_H,"T-AKR",JB_RC,"ADD")</f>
        <v>580000</v>
      </c>
      <c r="E62" s="28">
        <f t="shared" si="1"/>
        <v>1.0480699069856029E-2</v>
      </c>
    </row>
    <row r="63" spans="1:5" ht="10" customHeight="1" x14ac:dyDescent="0.2">
      <c r="A63" s="16" t="s">
        <v>6446</v>
      </c>
      <c r="B63" s="16" t="s">
        <v>4676</v>
      </c>
      <c r="C63" s="16" t="s">
        <v>50</v>
      </c>
      <c r="D63" s="17">
        <f>SUMIFS(JB_27BV,JB_B,1,JB_H,"UUV",JB_RC,"ADD")</f>
        <v>246757</v>
      </c>
      <c r="E63" s="28">
        <f t="shared" si="1"/>
        <v>4.4589411385870066E-3</v>
      </c>
    </row>
    <row r="64" spans="1:5" ht="10" customHeight="1" x14ac:dyDescent="0.2">
      <c r="A64" s="16" t="s">
        <v>5414</v>
      </c>
      <c r="B64" s="16" t="s">
        <v>5413</v>
      </c>
      <c r="C64" s="16" t="s">
        <v>50</v>
      </c>
      <c r="D64" s="17">
        <f>SUMIFS(JB_27BV,JB_B,1,JB_H,"MUSV",JB_RC,"ADD")</f>
        <v>171130</v>
      </c>
      <c r="E64" s="28">
        <f t="shared" si="1"/>
        <v>3.0923483307318312E-3</v>
      </c>
    </row>
    <row r="65" spans="1:17" ht="10" customHeight="1" x14ac:dyDescent="0.2">
      <c r="A65" s="23" t="s">
        <v>8829</v>
      </c>
      <c r="B65" s="23"/>
      <c r="C65" s="23"/>
      <c r="D65" s="24">
        <f>SUM(D50:D64)</f>
        <v>55339820</v>
      </c>
      <c r="E65" s="29">
        <v>1</v>
      </c>
    </row>
    <row r="66" spans="1:17" ht="10" customHeight="1" x14ac:dyDescent="0.2"/>
    <row r="67" spans="1:17" ht="10" customHeight="1" x14ac:dyDescent="0.2"/>
    <row r="68" spans="1:17" ht="10" customHeight="1" x14ac:dyDescent="0.2">
      <c r="A68" s="6" t="s">
        <v>8836</v>
      </c>
      <c r="B68" s="7"/>
      <c r="C68" s="7"/>
      <c r="D68" s="7"/>
      <c r="E68" s="7"/>
      <c r="F68" s="7"/>
      <c r="G68" s="7"/>
      <c r="H68" s="7"/>
      <c r="I68" s="7"/>
      <c r="J68" s="7"/>
      <c r="K68" s="7"/>
      <c r="L68" s="7"/>
      <c r="M68" s="7"/>
      <c r="N68" s="7"/>
    </row>
    <row r="69" spans="1:17" ht="10" customHeight="1" x14ac:dyDescent="0.2">
      <c r="A69" s="30"/>
      <c r="B69" s="31" t="s">
        <v>50</v>
      </c>
      <c r="C69" s="30"/>
      <c r="D69" s="30"/>
      <c r="E69" s="30"/>
      <c r="F69" s="30"/>
      <c r="G69" s="30"/>
      <c r="H69" s="30"/>
      <c r="I69" s="30"/>
      <c r="J69" s="30"/>
      <c r="K69" s="30"/>
      <c r="L69" s="30"/>
      <c r="M69" s="30"/>
      <c r="N69" s="32"/>
    </row>
    <row r="70" spans="1:17" ht="10" customHeight="1" x14ac:dyDescent="0.2">
      <c r="A70" s="15" t="s">
        <v>8837</v>
      </c>
      <c r="B70" s="18" t="s">
        <v>52</v>
      </c>
      <c r="C70" s="15" t="s">
        <v>149</v>
      </c>
      <c r="D70" s="15" t="s">
        <v>119</v>
      </c>
      <c r="E70" s="15" t="s">
        <v>4963</v>
      </c>
      <c r="F70" s="15" t="s">
        <v>69</v>
      </c>
      <c r="G70" s="15" t="s">
        <v>202</v>
      </c>
      <c r="H70" s="15" t="s">
        <v>182</v>
      </c>
      <c r="I70" s="15" t="s">
        <v>214</v>
      </c>
      <c r="J70" s="15" t="s">
        <v>5026</v>
      </c>
      <c r="K70" s="15" t="s">
        <v>245</v>
      </c>
      <c r="L70" s="15" t="s">
        <v>4676</v>
      </c>
      <c r="M70" s="15" t="s">
        <v>5413</v>
      </c>
      <c r="N70" s="18" t="s">
        <v>8808</v>
      </c>
    </row>
    <row r="71" spans="1:17" ht="10" customHeight="1" x14ac:dyDescent="0.2">
      <c r="A71" s="16" t="s">
        <v>8838</v>
      </c>
      <c r="B71" s="33">
        <f>IFERROR((SUMIFS(JB_27BV,JB_B,1,JB_W,"Submarines",JB_F,"Full ship DD&amp;C",JB_RC,"ADD")+SUMIFS(JB_27BV,JB_B,1,JB_W,"Submarines",JB_F,"Full ship DD&amp;C / LLTM",JB_RC,"ADD")+SUMIFS(JB_27BV,JB_B,1,JB_W,"Submarines",JB_F,"Full vessel procurement",JB_RC,"ADD"))/B$75,0)</f>
        <v>0.63846896385765395</v>
      </c>
      <c r="C71" s="28">
        <f>IFERROR((SUMIFS(JB_27BV,JB_B,1,JB_W,"Amphibious Warfare Ships",JB_F,"Full ship DD&amp;C",JB_RC,"ADD")+SUMIFS(JB_27BV,JB_B,1,JB_W,"Amphibious Warfare Ships",JB_F,"Full ship DD&amp;C / LLTM",JB_RC,"ADD")+SUMIFS(JB_27BV,JB_B,1,JB_W,"Amphibious Warfare Ships",JB_F,"Full vessel procurement",JB_RC,"ADD"))/C$75,0)</f>
        <v>0.94439123201502773</v>
      </c>
      <c r="D71" s="28">
        <f>IFERROR((SUMIFS(JB_27BV,JB_B,1,JB_W,"Surface Combatants",JB_F,"Full ship DD&amp;C",JB_RC,"ADD")+SUMIFS(JB_27BV,JB_B,1,JB_W,"Surface Combatants",JB_F,"Full ship DD&amp;C / LLTM",JB_RC,"ADD")+SUMIFS(JB_27BV,JB_B,1,JB_W,"Surface Combatants",JB_F,"Full vessel procurement",JB_RC,"ADD"))/D$75,0)</f>
        <v>0.81332508356476052</v>
      </c>
      <c r="E71" s="28">
        <f>IFERROR((SUMIFS(JB_27BV,JB_B,1,JB_W,"Material Support Ships",JB_F,"Full ship DD&amp;C",JB_RC,"ADD")+SUMIFS(JB_27BV,JB_B,1,JB_W,"Material Support Ships",JB_F,"Full ship DD&amp;C / LLTM",JB_RC,"ADD")+SUMIFS(JB_27BV,JB_B,1,JB_W,"Material Support Ships",JB_F,"Full vessel procurement",JB_RC,"ADD"))/E$75,0)</f>
        <v>1</v>
      </c>
      <c r="F71" s="28">
        <f>IFERROR((SUMIFS(JB_27BV,JB_B,1,JB_W,"Aircraft Carriers",JB_F,"Full ship DD&amp;C",JB_RC,"ADD")+SUMIFS(JB_27BV,JB_B,1,JB_W,"Aircraft Carriers",JB_F,"Full ship DD&amp;C / LLTM",JB_RC,"ADD")+SUMIFS(JB_27BV,JB_B,1,JB_W,"Aircraft Carriers",JB_F,"Full vessel procurement",JB_RC,"ADD"))/F$75,0)</f>
        <v>0.52289239567237189</v>
      </c>
      <c r="G71" s="28">
        <f>IFERROR((SUMIFS(JB_27BV,JB_B,1,JB_W,"Combat Logistics Ships",JB_F,"Full ship DD&amp;C",JB_RC,"ADD")+SUMIFS(JB_27BV,JB_B,1,JB_W,"Combat Logistics Ships",JB_F,"Full ship DD&amp;C / LLTM",JB_RC,"ADD")+SUMIFS(JB_27BV,JB_B,1,JB_W,"Combat Logistics Ships",JB_F,"Full vessel procurement",JB_RC,"ADD"))/G$75,0)</f>
        <v>1</v>
      </c>
      <c r="H71" s="28">
        <f>IFERROR((SUMIFS(JB_27BV,JB_B,1,JB_W,"Expeditionary &amp; Seabasing Ships",JB_F,"Full ship DD&amp;C",JB_RC,"ADD")+SUMIFS(JB_27BV,JB_B,1,JB_W,"Expeditionary &amp; Seabasing Ships",JB_F,"Full ship DD&amp;C / LLTM",JB_RC,"ADD")+SUMIFS(JB_27BV,JB_B,1,JB_W,"Expeditionary &amp; Seabasing Ships",JB_F,"Full vessel procurement",JB_RC,"ADD"))/H$75,0)</f>
        <v>1</v>
      </c>
      <c r="I71" s="28">
        <f>IFERROR((SUMIFS(JB_27BV,JB_B,1,JB_W,"Surveillance Ships",JB_F,"Full ship DD&amp;C",JB_RC,"ADD")+SUMIFS(JB_27BV,JB_B,1,JB_W,"Surveillance Ships",JB_F,"Full ship DD&amp;C / LLTM",JB_RC,"ADD")+SUMIFS(JB_27BV,JB_B,1,JB_W,"Surveillance Ships",JB_F,"Full vessel procurement",JB_RC,"ADD"))/I$75,0)</f>
        <v>1</v>
      </c>
      <c r="J71" s="28">
        <f>IFERROR((SUMIFS(JB_27BV,JB_B,1,JB_W,"Hospital Ship",JB_F,"Full ship DD&amp;C",JB_RC,"ADD")+SUMIFS(JB_27BV,JB_B,1,JB_W,"Hospital Ship",JB_F,"Full ship DD&amp;C / LLTM",JB_RC,"ADD")+SUMIFS(JB_27BV,JB_B,1,JB_W,"Hospital Ship",JB_F,"Full vessel procurement",JB_RC,"ADD"))/J$75,0)</f>
        <v>1</v>
      </c>
      <c r="K71" s="28">
        <f>IFERROR((SUMIFS(JB_27BV,JB_B,1,JB_W,"Cargo &amp; Vehicle Cargo Ships",JB_F,"Full ship DD&amp;C",JB_RC,"ADD")+SUMIFS(JB_27BV,JB_B,1,JB_W,"Cargo &amp; Vehicle Cargo Ships",JB_F,"Full ship DD&amp;C / LLTM",JB_RC,"ADD")+SUMIFS(JB_27BV,JB_B,1,JB_W,"Cargo &amp; Vehicle Cargo Ships",JB_F,"Full vessel procurement",JB_RC,"ADD"))/K$75,0)</f>
        <v>1</v>
      </c>
      <c r="L71" s="28">
        <f>IFERROR((SUMIFS(JB_27BV,JB_B,1,JB_W,"Unmanned Undersea Vehicles",JB_F,"Full ship DD&amp;C",JB_RC,"ADD")+SUMIFS(JB_27BV,JB_B,1,JB_W,"Unmanned Undersea Vehicles",JB_F,"Full ship DD&amp;C / LLTM",JB_RC,"ADD")+SUMIFS(JB_27BV,JB_B,1,JB_W,"Unmanned Undersea Vehicles",JB_F,"Full vessel procurement",JB_RC,"ADD"))/L$75,0)</f>
        <v>1</v>
      </c>
      <c r="M71" s="28">
        <f>IFERROR((SUMIFS(JB_27BV,JB_B,1,JB_W,"Unmanned Surface Vehicles",JB_F,"Full ship DD&amp;C",JB_RC,"ADD")+SUMIFS(JB_27BV,JB_B,1,JB_W,"Unmanned Surface Vehicles",JB_F,"Full ship DD&amp;C / LLTM",JB_RC,"ADD")+SUMIFS(JB_27BV,JB_B,1,JB_W,"Unmanned Surface Vehicles",JB_F,"Full vessel procurement",JB_RC,"ADD"))/M$75,0)</f>
        <v>1</v>
      </c>
      <c r="N71" s="33">
        <f>IFERROR(SUMPRODUCT(B71:M71,B$75:M$75)/N$75,0)</f>
        <v>0.75575027328530986</v>
      </c>
    </row>
    <row r="72" spans="1:17" ht="10" customHeight="1" x14ac:dyDescent="0.2">
      <c r="A72" s="16" t="s">
        <v>8839</v>
      </c>
      <c r="B72" s="33">
        <f>IFERROR((SUMIFS(JB_27BV,JB_B,1,JB_W,"Submarines",JB_F,"Advance procurement / LLTM",JB_RC,"ADD"))/B$75,0)</f>
        <v>0.36153103614234605</v>
      </c>
      <c r="C72" s="28">
        <f>IFERROR((SUMIFS(JB_27BV,JB_B,1,JB_W,"Amphibious Warfare Ships",JB_F,"Advance procurement / LLTM",JB_RC,"ADD"))/C$75,0)</f>
        <v>5.5608767984972274E-2</v>
      </c>
      <c r="D72" s="28">
        <f>IFERROR((SUMIFS(JB_27BV,JB_B,1,JB_W,"Surface Combatants",JB_F,"Advance procurement / LLTM",JB_RC,"ADD"))/D$75,0)</f>
        <v>0.17073196549711855</v>
      </c>
      <c r="E72" s="28">
        <f>IFERROR((SUMIFS(JB_27BV,JB_B,1,JB_W,"Material Support Ships",JB_F,"Advance procurement / LLTM",JB_RC,"ADD"))/E$75,0)</f>
        <v>0</v>
      </c>
      <c r="F72" s="28">
        <f>IFERROR((SUMIFS(JB_27BV,JB_B,1,JB_W,"Aircraft Carriers",JB_F,"Advance procurement / LLTM",JB_RC,"ADD"))/F$75,0)</f>
        <v>0.47710760432762817</v>
      </c>
      <c r="G72" s="28">
        <f>IFERROR((SUMIFS(JB_27BV,JB_B,1,JB_W,"Combat Logistics Ships",JB_F,"Advance procurement / LLTM",JB_RC,"ADD"))/G$75,0)</f>
        <v>0</v>
      </c>
      <c r="H72" s="28">
        <f>IFERROR((SUMIFS(JB_27BV,JB_B,1,JB_W,"Expeditionary &amp; Seabasing Ships",JB_F,"Advance procurement / LLTM",JB_RC,"ADD"))/H$75,0)</f>
        <v>0</v>
      </c>
      <c r="I72" s="28">
        <f>IFERROR((SUMIFS(JB_27BV,JB_B,1,JB_W,"Surveillance Ships",JB_F,"Advance procurement / LLTM",JB_RC,"ADD"))/I$75,0)</f>
        <v>0</v>
      </c>
      <c r="J72" s="28">
        <f>IFERROR((SUMIFS(JB_27BV,JB_B,1,JB_W,"Hospital Ship",JB_F,"Advance procurement / LLTM",JB_RC,"ADD"))/J$75,0)</f>
        <v>0</v>
      </c>
      <c r="K72" s="28">
        <f>IFERROR((SUMIFS(JB_27BV,JB_B,1,JB_W,"Cargo &amp; Vehicle Cargo Ships",JB_F,"Advance procurement / LLTM",JB_RC,"ADD"))/K$75,0)</f>
        <v>0</v>
      </c>
      <c r="L72" s="28">
        <f>IFERROR((SUMIFS(JB_27BV,JB_B,1,JB_W,"Unmanned Undersea Vehicles",JB_F,"Advance procurement / LLTM",JB_RC,"ADD"))/L$75,0)</f>
        <v>0</v>
      </c>
      <c r="M72" s="28">
        <f>IFERROR((SUMIFS(JB_27BV,JB_B,1,JB_W,"Unmanned Surface Vehicles",JB_F,"Advance procurement / LLTM",JB_RC,"ADD"))/M$75,0)</f>
        <v>0</v>
      </c>
      <c r="N72" s="33">
        <f>IFERROR(SUMPRODUCT(B72:M72,B$75:M$75)/N$75,0)</f>
        <v>0.2426138688791098</v>
      </c>
    </row>
    <row r="73" spans="1:17" ht="10" customHeight="1" x14ac:dyDescent="0.2">
      <c r="A73" s="16" t="s">
        <v>104</v>
      </c>
      <c r="B73" s="33">
        <f>IFERROR((SUMIFS(JB_27BV,JB_B,1,JB_W,"Submarines",JB_F,"RCOH",JB_RC,"ADD"))/B$75,0)</f>
        <v>0</v>
      </c>
      <c r="C73" s="28">
        <f>IFERROR((SUMIFS(JB_27BV,JB_B,1,JB_W,"Amphibious Warfare Ships",JB_F,"RCOH",JB_RC,"ADD"))/C$75,0)</f>
        <v>0</v>
      </c>
      <c r="D73" s="28">
        <f>IFERROR((SUMIFS(JB_27BV,JB_B,1,JB_W,"Surface Combatants",JB_F,"RCOH",JB_RC,"ADD"))/D$75,0)</f>
        <v>0</v>
      </c>
      <c r="E73" s="28">
        <f>IFERROR((SUMIFS(JB_27BV,JB_B,1,JB_W,"Material Support Ships",JB_F,"RCOH",JB_RC,"ADD"))/E$75,0)</f>
        <v>0</v>
      </c>
      <c r="F73" s="28">
        <f>IFERROR((SUMIFS(JB_27BV,JB_B,1,JB_W,"Aircraft Carriers",JB_F,"RCOH",JB_RC,"ADD"))/F$75,0)</f>
        <v>0</v>
      </c>
      <c r="G73" s="28">
        <f>IFERROR((SUMIFS(JB_27BV,JB_B,1,JB_W,"Combat Logistics Ships",JB_F,"RCOH",JB_RC,"ADD"))/G$75,0)</f>
        <v>0</v>
      </c>
      <c r="H73" s="28">
        <f>IFERROR((SUMIFS(JB_27BV,JB_B,1,JB_W,"Expeditionary &amp; Seabasing Ships",JB_F,"RCOH",JB_RC,"ADD"))/H$75,0)</f>
        <v>0</v>
      </c>
      <c r="I73" s="28">
        <f>IFERROR((SUMIFS(JB_27BV,JB_B,1,JB_W,"Surveillance Ships",JB_F,"RCOH",JB_RC,"ADD"))/I$75,0)</f>
        <v>0</v>
      </c>
      <c r="J73" s="28">
        <f>IFERROR((SUMIFS(JB_27BV,JB_B,1,JB_W,"Hospital Ship",JB_F,"RCOH",JB_RC,"ADD"))/J$75,0)</f>
        <v>0</v>
      </c>
      <c r="K73" s="28">
        <f>IFERROR((SUMIFS(JB_27BV,JB_B,1,JB_W,"Cargo &amp; Vehicle Cargo Ships",JB_F,"RCOH",JB_RC,"ADD"))/K$75,0)</f>
        <v>0</v>
      </c>
      <c r="L73" s="28">
        <f>IFERROR((SUMIFS(JB_27BV,JB_B,1,JB_W,"Unmanned Undersea Vehicles",JB_F,"RCOH",JB_RC,"ADD"))/L$75,0)</f>
        <v>0</v>
      </c>
      <c r="M73" s="28">
        <f>IFERROR((SUMIFS(JB_27BV,JB_B,1,JB_W,"Unmanned Surface Vehicles",JB_F,"RCOH",JB_RC,"ADD"))/M$75,0)</f>
        <v>0</v>
      </c>
      <c r="N73" s="33">
        <f>IFERROR(SUMPRODUCT(B73:M73,B$75:M$75)/N$75,0)</f>
        <v>0</v>
      </c>
    </row>
    <row r="74" spans="1:17" ht="10" customHeight="1" x14ac:dyDescent="0.2">
      <c r="A74" s="16" t="s">
        <v>290</v>
      </c>
      <c r="B74" s="33">
        <f>IFERROR((SUMIFS(JB_27BV,JB_B,1,JB_W,"Submarines",JB_F,"SLEP",JB_RC,"ADD"))/B$75,0)</f>
        <v>0</v>
      </c>
      <c r="C74" s="28">
        <f>IFERROR((SUMIFS(JB_27BV,JB_B,1,JB_W,"Amphibious Warfare Ships",JB_F,"SLEP",JB_RC,"ADD"))/C$75,0)</f>
        <v>0</v>
      </c>
      <c r="D74" s="28">
        <f>IFERROR((SUMIFS(JB_27BV,JB_B,1,JB_W,"Surface Combatants",JB_F,"SLEP",JB_RC,"ADD"))/D$75,0)</f>
        <v>0</v>
      </c>
      <c r="E74" s="28">
        <f>IFERROR((SUMIFS(JB_27BV,JB_B,1,JB_W,"Material Support Ships",JB_F,"SLEP",JB_RC,"ADD"))/E$75,0)</f>
        <v>0</v>
      </c>
      <c r="F74" s="28">
        <f>IFERROR((SUMIFS(JB_27BV,JB_B,1,JB_W,"Aircraft Carriers",JB_F,"SLEP",JB_RC,"ADD"))/F$75,0)</f>
        <v>0</v>
      </c>
      <c r="G74" s="28">
        <f>IFERROR((SUMIFS(JB_27BV,JB_B,1,JB_W,"Combat Logistics Ships",JB_F,"SLEP",JB_RC,"ADD"))/G$75,0)</f>
        <v>0</v>
      </c>
      <c r="H74" s="28">
        <f>IFERROR((SUMIFS(JB_27BV,JB_B,1,JB_W,"Expeditionary &amp; Seabasing Ships",JB_F,"SLEP",JB_RC,"ADD"))/H$75,0)</f>
        <v>0</v>
      </c>
      <c r="I74" s="28">
        <f>IFERROR((SUMIFS(JB_27BV,JB_B,1,JB_W,"Surveillance Ships",JB_F,"SLEP",JB_RC,"ADD"))/I$75,0)</f>
        <v>0</v>
      </c>
      <c r="J74" s="28">
        <f>IFERROR((SUMIFS(JB_27BV,JB_B,1,JB_W,"Hospital Ship",JB_F,"SLEP",JB_RC,"ADD"))/J$75,0)</f>
        <v>0</v>
      </c>
      <c r="K74" s="28">
        <f>IFERROR((SUMIFS(JB_27BV,JB_B,1,JB_W,"Cargo &amp; Vehicle Cargo Ships",JB_F,"SLEP",JB_RC,"ADD"))/K$75,0)</f>
        <v>0</v>
      </c>
      <c r="L74" s="28">
        <f>IFERROR((SUMIFS(JB_27BV,JB_B,1,JB_W,"Unmanned Undersea Vehicles",JB_F,"SLEP",JB_RC,"ADD"))/L$75,0)</f>
        <v>0</v>
      </c>
      <c r="M74" s="28">
        <f>IFERROR((SUMIFS(JB_27BV,JB_B,1,JB_W,"Unmanned Surface Vehicles",JB_F,"SLEP",JB_RC,"ADD"))/M$75,0)</f>
        <v>0</v>
      </c>
      <c r="N74" s="33">
        <f>IFERROR(SUMPRODUCT(B74:M74,B$75:M$75)/N$75,0)</f>
        <v>0</v>
      </c>
    </row>
    <row r="75" spans="1:17" ht="10" customHeight="1" x14ac:dyDescent="0.2">
      <c r="A75" s="23" t="s">
        <v>8840</v>
      </c>
      <c r="B75" s="34">
        <f>SUMIFS(JB_27BV,JB_B,1,JB_W,"Submarines",JB_RC,"ADD")</f>
        <v>29188808</v>
      </c>
      <c r="C75" s="24">
        <f>SUMIFS(JB_27BV,JB_B,1,JB_W,"Amphibious Warfare Ships",JB_RC,"ADD")</f>
        <v>6400969</v>
      </c>
      <c r="D75" s="24">
        <f>SUMIFS(JB_27BV,JB_B,1,JB_W,"Surface Combatants",JB_RC,"ADD")</f>
        <v>5857134</v>
      </c>
      <c r="E75" s="24">
        <f>SUMIFS(JB_27BV,JB_B,1,JB_W,"Material Support Ships",JB_RC,"ADD")</f>
        <v>4444000</v>
      </c>
      <c r="F75" s="24">
        <f>SUMIFS(JB_27BV,JB_B,1,JB_W,"Aircraft Carriers",JB_RC,"ADD")</f>
        <v>4067355</v>
      </c>
      <c r="G75" s="24">
        <f>SUMIFS(JB_27BV,JB_B,1,JB_W,"Combat Logistics Ships",JB_RC,"ADD")</f>
        <v>2678883</v>
      </c>
      <c r="H75" s="24">
        <f>SUMIFS(JB_27BV,JB_B,1,JB_W,"Expeditionary &amp; Seabasing Ships",JB_RC,"ADD")</f>
        <v>1887500</v>
      </c>
      <c r="I75" s="24">
        <f>SUMIFS(JB_27BV,JB_B,1,JB_W,"Surveillance Ships",JB_RC,"ADD")</f>
        <v>910664</v>
      </c>
      <c r="J75" s="24">
        <f>SUMIFS(JB_27BV,JB_B,1,JB_W,"Hospital Ship",JB_RC,"ADD")</f>
        <v>650000</v>
      </c>
      <c r="K75" s="24">
        <f>SUMIFS(JB_27BV,JB_B,1,JB_W,"Cargo &amp; Vehicle Cargo Ships",JB_RC,"ADD")</f>
        <v>580000</v>
      </c>
      <c r="L75" s="24">
        <f>SUMIFS(JB_27BV,JB_B,1,JB_W,"Unmanned Undersea Vehicles",JB_RC,"ADD")</f>
        <v>246757</v>
      </c>
      <c r="M75" s="24">
        <f>SUMIFS(JB_27BV,JB_B,1,JB_W,"Unmanned Surface Vehicles",JB_RC,"ADD")</f>
        <v>171130</v>
      </c>
      <c r="N75" s="34">
        <f>SUM(B75:M75)</f>
        <v>57083200</v>
      </c>
    </row>
    <row r="76" spans="1:17" ht="10" customHeight="1" x14ac:dyDescent="0.2"/>
    <row r="77" spans="1:17" ht="10" customHeight="1" x14ac:dyDescent="0.2"/>
    <row r="78" spans="1:17" ht="10" customHeight="1" x14ac:dyDescent="0.2">
      <c r="A78" s="6" t="s">
        <v>8841</v>
      </c>
      <c r="B78" s="7"/>
      <c r="C78" s="7"/>
      <c r="D78" s="7"/>
      <c r="E78" s="7"/>
      <c r="F78" s="7"/>
      <c r="G78" s="7"/>
      <c r="H78" s="7"/>
      <c r="I78" s="7"/>
      <c r="J78" s="7"/>
      <c r="K78" s="7"/>
      <c r="L78" s="7"/>
      <c r="M78" s="7"/>
      <c r="N78" s="7"/>
      <c r="O78" s="7"/>
      <c r="P78" s="7"/>
      <c r="Q78" s="7"/>
    </row>
    <row r="79" spans="1:17" ht="10" customHeight="1" x14ac:dyDescent="0.2">
      <c r="A79" s="30"/>
      <c r="B79" s="31" t="s">
        <v>50</v>
      </c>
      <c r="C79" s="30"/>
      <c r="D79" s="30"/>
      <c r="E79" s="30"/>
      <c r="F79" s="30"/>
      <c r="G79" s="30"/>
      <c r="H79" s="30"/>
      <c r="I79" s="30"/>
      <c r="J79" s="30"/>
      <c r="K79" s="30"/>
      <c r="L79" s="30"/>
      <c r="M79" s="30"/>
      <c r="N79" s="30"/>
      <c r="O79" s="30"/>
      <c r="P79" s="30"/>
      <c r="Q79" s="32"/>
    </row>
    <row r="80" spans="1:17" ht="10" customHeight="1" x14ac:dyDescent="0.2">
      <c r="A80" s="15" t="s">
        <v>8837</v>
      </c>
      <c r="B80" s="18" t="s">
        <v>53</v>
      </c>
      <c r="C80" s="15" t="s">
        <v>88</v>
      </c>
      <c r="D80" s="15" t="s">
        <v>4964</v>
      </c>
      <c r="E80" s="15" t="s">
        <v>70</v>
      </c>
      <c r="F80" s="15" t="s">
        <v>168</v>
      </c>
      <c r="G80" s="15" t="s">
        <v>120</v>
      </c>
      <c r="H80" s="15" t="s">
        <v>150</v>
      </c>
      <c r="I80" s="15" t="s">
        <v>203</v>
      </c>
      <c r="J80" s="15" t="s">
        <v>183</v>
      </c>
      <c r="K80" s="15" t="s">
        <v>144</v>
      </c>
      <c r="L80" s="15" t="s">
        <v>215</v>
      </c>
      <c r="M80" s="15" t="s">
        <v>5027</v>
      </c>
      <c r="N80" s="15" t="s">
        <v>246</v>
      </c>
      <c r="O80" s="15" t="s">
        <v>6446</v>
      </c>
      <c r="P80" s="15" t="s">
        <v>5414</v>
      </c>
      <c r="Q80" s="18" t="s">
        <v>8808</v>
      </c>
    </row>
    <row r="81" spans="1:17" ht="10" customHeight="1" x14ac:dyDescent="0.2">
      <c r="A81" s="16" t="s">
        <v>8838</v>
      </c>
      <c r="B81" s="33">
        <f>IFERROR((SUMIFS(JB_27BV,JB_B,1,JB_H,"SSBN",JB_F,"Full ship DD&amp;C",JB_RC,"ADD")+SUMIFS(JB_27BV,JB_B,1,JB_H,"SSBN",JB_F,"Full ship DD&amp;C / LLTM",JB_RC,"ADD")+SUMIFS(JB_27BV,JB_B,1,JB_H,"SSBN",JB_F,"Full vessel procurement",JB_RC,"ADD"))/B$85,0)</f>
        <v>0.67315114234321749</v>
      </c>
      <c r="C81" s="28">
        <f>IFERROR((SUMIFS(JB_27BV,JB_B,1,JB_H,"SSN",JB_F,"Full ship DD&amp;C",JB_RC,"ADD")+SUMIFS(JB_27BV,JB_B,1,JB_H,"SSN",JB_F,"Full ship DD&amp;C / LLTM",JB_RC,"ADD")+SUMIFS(JB_27BV,JB_B,1,JB_H,"SSN",JB_F,"Full vessel procurement",JB_RC,"ADD"))/C$85,0)</f>
        <v>0.60076902979808144</v>
      </c>
      <c r="D81" s="28">
        <f>IFERROR((SUMIFS(JB_27BV,JB_B,1,JB_H,"AS",JB_F,"Full ship DD&amp;C",JB_RC,"ADD")+SUMIFS(JB_27BV,JB_B,1,JB_H,"AS",JB_F,"Full ship DD&amp;C / LLTM",JB_RC,"ADD")+SUMIFS(JB_27BV,JB_B,1,JB_H,"AS",JB_F,"Full vessel procurement",JB_RC,"ADD"))/D$85,0)</f>
        <v>1</v>
      </c>
      <c r="E81" s="28">
        <f>IFERROR((SUMIFS(JB_27BV,JB_B,1,JB_H,"CVN",JB_F,"Full ship DD&amp;C",JB_RC,"ADD")+SUMIFS(JB_27BV,JB_B,1,JB_H,"CVN",JB_F,"Full ship DD&amp;C / LLTM",JB_RC,"ADD")+SUMIFS(JB_27BV,JB_B,1,JB_H,"CVN",JB_F,"Full vessel procurement",JB_RC,"ADD"))/E$85,0)</f>
        <v>0.52289239567237189</v>
      </c>
      <c r="F81" s="28">
        <f>IFERROR((SUMIFS(JB_27BV,JB_B,1,JB_H,"LHA",JB_F,"Full ship DD&amp;C",JB_RC,"ADD")+SUMIFS(JB_27BV,JB_B,1,JB_H,"LHA",JB_F,"Full ship DD&amp;C / LLTM",JB_RC,"ADD")+SUMIFS(JB_27BV,JB_B,1,JB_H,"LHA",JB_F,"Full vessel procurement",JB_RC,"ADD"))/F$85,0)</f>
        <v>1</v>
      </c>
      <c r="G81" s="28">
        <f>IFERROR((SUMIFS(JB_27BV,JB_B,1,JB_H,"DDG",JB_F,"Full ship DD&amp;C",JB_RC,"ADD")+SUMIFS(JB_27BV,JB_B,1,JB_H,"DDG",JB_F,"Full ship DD&amp;C / LLTM",JB_RC,"ADD")+SUMIFS(JB_27BV,JB_B,1,JB_H,"DDG",JB_F,"Full vessel procurement",JB_RC,"ADD"))/G$85,0)</f>
        <v>1</v>
      </c>
      <c r="H81" s="28">
        <f>IFERROR((SUMIFS(JB_27BV,JB_B,1,JB_H,"LPD",JB_F,"Full ship DD&amp;C",JB_RC,"ADD")+SUMIFS(JB_27BV,JB_B,1,JB_H,"LPD",JB_F,"Full ship DD&amp;C / LLTM",JB_RC,"ADD")+SUMIFS(JB_27BV,JB_B,1,JB_H,"LPD",JB_F,"Full vessel procurement",JB_RC,"ADD"))/H$85,0)</f>
        <v>0.86033782590783359</v>
      </c>
      <c r="I81" s="28">
        <f>IFERROR((SUMIFS(JB_27BV,JB_B,1,JB_H,"T-AO",JB_F,"Full ship DD&amp;C",JB_RC,"ADD")+SUMIFS(JB_27BV,JB_B,1,JB_H,"T-AO",JB_F,"Full ship DD&amp;C / LLTM",JB_RC,"ADD")+SUMIFS(JB_27BV,JB_B,1,JB_H,"T-AO",JB_F,"Full vessel procurement",JB_RC,"ADD"))/I$85,0)</f>
        <v>1</v>
      </c>
      <c r="J81" s="28">
        <f>IFERROR((SUMIFS(JB_27BV,JB_B,1,JB_H,"LSM",JB_F,"Full ship DD&amp;C",JB_RC,"ADD")+SUMIFS(JB_27BV,JB_B,1,JB_H,"LSM",JB_F,"Full ship DD&amp;C / LLTM",JB_RC,"ADD")+SUMIFS(JB_27BV,JB_B,1,JB_H,"LSM",JB_F,"Full vessel procurement",JB_RC,"ADD"))/J$85,0)</f>
        <v>1</v>
      </c>
      <c r="K81" s="28">
        <f>IFERROR((SUMIFS(JB_27BV,JB_B,1,JB_H,"FFG",JB_F,"Full ship DD&amp;C",JB_RC,"ADD")+SUMIFS(JB_27BV,JB_B,1,JB_H,"FFG",JB_F,"Full ship DD&amp;C / LLTM",JB_RC,"ADD")+SUMIFS(JB_27BV,JB_B,1,JB_H,"FFG",JB_F,"Full vessel procurement",JB_RC,"ADD"))/K$85,0)</f>
        <v>1</v>
      </c>
      <c r="L81" s="28">
        <f>IFERROR((SUMIFS(JB_27BV,JB_B,1,JB_H,"T-AGOS",JB_F,"Full ship DD&amp;C",JB_RC,"ADD")+SUMIFS(JB_27BV,JB_B,1,JB_H,"T-AGOS",JB_F,"Full ship DD&amp;C / LLTM",JB_RC,"ADD")+SUMIFS(JB_27BV,JB_B,1,JB_H,"T-AGOS",JB_F,"Full vessel procurement",JB_RC,"ADD"))/L$85,0)</f>
        <v>1</v>
      </c>
      <c r="M81" s="28">
        <f>IFERROR((SUMIFS(JB_27BV,JB_B,1,JB_H,"T-AH",JB_F,"Full ship DD&amp;C",JB_RC,"ADD")+SUMIFS(JB_27BV,JB_B,1,JB_H,"T-AH",JB_F,"Full ship DD&amp;C / LLTM",JB_RC,"ADD")+SUMIFS(JB_27BV,JB_B,1,JB_H,"T-AH",JB_F,"Full vessel procurement",JB_RC,"ADD"))/M$85,0)</f>
        <v>1</v>
      </c>
      <c r="N81" s="28">
        <f>IFERROR((SUMIFS(JB_27BV,JB_B,1,JB_H,"T-AKR",JB_F,"Full ship DD&amp;C",JB_RC,"ADD")+SUMIFS(JB_27BV,JB_B,1,JB_H,"T-AKR",JB_F,"Full ship DD&amp;C / LLTM",JB_RC,"ADD")+SUMIFS(JB_27BV,JB_B,1,JB_H,"T-AKR",JB_F,"Full vessel procurement",JB_RC,"ADD"))/N$85,0)</f>
        <v>1</v>
      </c>
      <c r="O81" s="28">
        <f>IFERROR((SUMIFS(JB_27BV,JB_B,1,JB_H,"UUV",JB_F,"Full ship DD&amp;C",JB_RC,"ADD")+SUMIFS(JB_27BV,JB_B,1,JB_H,"UUV",JB_F,"Full ship DD&amp;C / LLTM",JB_RC,"ADD")+SUMIFS(JB_27BV,JB_B,1,JB_H,"UUV",JB_F,"Full vessel procurement",JB_RC,"ADD"))/O$85,0)</f>
        <v>1</v>
      </c>
      <c r="P81" s="28">
        <f>IFERROR((SUMIFS(JB_27BV,JB_B,1,JB_H,"MUSV",JB_F,"Full ship DD&amp;C",JB_RC,"ADD")+SUMIFS(JB_27BV,JB_B,1,JB_H,"MUSV",JB_F,"Full ship DD&amp;C / LLTM",JB_RC,"ADD")+SUMIFS(JB_27BV,JB_B,1,JB_H,"MUSV",JB_F,"Full vessel procurement",JB_RC,"ADD"))/P$85,0)</f>
        <v>1</v>
      </c>
      <c r="Q8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0.77955880593756899</v>
      </c>
    </row>
    <row r="82" spans="1:17" ht="10" customHeight="1" x14ac:dyDescent="0.2">
      <c r="A82" s="16" t="s">
        <v>8839</v>
      </c>
      <c r="B82" s="33">
        <f>IFERROR((SUMIFS(JB_27BV,JB_B,1,JB_H,"SSBN",JB_F,"Advance procurement / LLTM",JB_RC,"ADD"))/B$85,0)</f>
        <v>0.32684885765678251</v>
      </c>
      <c r="C82" s="28">
        <f>IFERROR((SUMIFS(JB_27BV,JB_B,1,JB_H,"SSN",JB_F,"Advance procurement / LLTM",JB_RC,"ADD"))/C$85,0)</f>
        <v>0.39923097020191861</v>
      </c>
      <c r="D82" s="28">
        <f>IFERROR((SUMIFS(JB_27BV,JB_B,1,JB_H,"AS",JB_F,"Advance procurement / LLTM",JB_RC,"ADD"))/D$85,0)</f>
        <v>0</v>
      </c>
      <c r="E82" s="28">
        <f>IFERROR((SUMIFS(JB_27BV,JB_B,1,JB_H,"CVN",JB_F,"Advance procurement / LLTM",JB_RC,"ADD"))/E$85,0)</f>
        <v>0.47710760432762817</v>
      </c>
      <c r="F82" s="28">
        <f>IFERROR((SUMIFS(JB_27BV,JB_B,1,JB_H,"LHA",JB_F,"Advance procurement / LLTM",JB_RC,"ADD"))/F$85,0)</f>
        <v>0</v>
      </c>
      <c r="G82" s="28">
        <f>IFERROR((SUMIFS(JB_27BV,JB_B,1,JB_H,"DDG",JB_F,"Advance procurement / LLTM",JB_RC,"ADD"))/G$85,0)</f>
        <v>0</v>
      </c>
      <c r="H82" s="28">
        <f>IFERROR((SUMIFS(JB_27BV,JB_B,1,JB_H,"LPD",JB_F,"Advance procurement / LLTM",JB_RC,"ADD"))/H$85,0)</f>
        <v>0.13966217409216644</v>
      </c>
      <c r="I82" s="28">
        <f>IFERROR((SUMIFS(JB_27BV,JB_B,1,JB_H,"T-AO",JB_F,"Advance procurement / LLTM",JB_RC,"ADD"))/I$85,0)</f>
        <v>0</v>
      </c>
      <c r="J82" s="28">
        <f>IFERROR((SUMIFS(JB_27BV,JB_B,1,JB_H,"LSM",JB_F,"Advance procurement / LLTM",JB_RC,"ADD"))/J$85,0)</f>
        <v>0</v>
      </c>
      <c r="K82" s="28">
        <f>IFERROR((SUMIFS(JB_27BV,JB_B,1,JB_H,"FFG",JB_F,"Advance procurement / LLTM",JB_RC,"ADD"))/K$85,0)</f>
        <v>0</v>
      </c>
      <c r="L82" s="28">
        <f>IFERROR((SUMIFS(JB_27BV,JB_B,1,JB_H,"T-AGOS",JB_F,"Advance procurement / LLTM",JB_RC,"ADD"))/L$85,0)</f>
        <v>0</v>
      </c>
      <c r="M82" s="28">
        <f>IFERROR((SUMIFS(JB_27BV,JB_B,1,JB_H,"T-AH",JB_F,"Advance procurement / LLTM",JB_RC,"ADD"))/M$85,0)</f>
        <v>0</v>
      </c>
      <c r="N82" s="28">
        <f>IFERROR((SUMIFS(JB_27BV,JB_B,1,JB_H,"T-AKR",JB_F,"Advance procurement / LLTM",JB_RC,"ADD"))/N$85,0)</f>
        <v>0</v>
      </c>
      <c r="O82" s="28">
        <f>IFERROR((SUMIFS(JB_27BV,JB_B,1,JB_H,"UUV",JB_F,"Advance procurement / LLTM",JB_RC,"ADD"))/O$85,0)</f>
        <v>0</v>
      </c>
      <c r="P82" s="28">
        <f>IFERROR((SUMIFS(JB_27BV,JB_B,1,JB_H,"MUSV",JB_F,"Advance procurement / LLTM",JB_RC,"ADD"))/P$85,0)</f>
        <v>0</v>
      </c>
      <c r="Q8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0.25025697589909041</v>
      </c>
    </row>
    <row r="83" spans="1:17" ht="10" customHeight="1" x14ac:dyDescent="0.2">
      <c r="A83" s="16" t="s">
        <v>104</v>
      </c>
      <c r="B83" s="33">
        <f>IFERROR((SUMIFS(JB_27BV,JB_B,1,JB_H,"SSBN",JB_F,"RCOH",JB_RC,"ADD"))/B$85,0)</f>
        <v>0</v>
      </c>
      <c r="C83" s="28">
        <f>IFERROR((SUMIFS(JB_27BV,JB_B,1,JB_H,"SSN",JB_F,"RCOH",JB_RC,"ADD"))/C$85,0)</f>
        <v>0</v>
      </c>
      <c r="D83" s="28">
        <f>IFERROR((SUMIFS(JB_27BV,JB_B,1,JB_H,"AS",JB_F,"RCOH",JB_RC,"ADD"))/D$85,0)</f>
        <v>0</v>
      </c>
      <c r="E83" s="28">
        <f>IFERROR((SUMIFS(JB_27BV,JB_B,1,JB_H,"CVN",JB_F,"RCOH",JB_RC,"ADD"))/E$85,0)</f>
        <v>0</v>
      </c>
      <c r="F83" s="28">
        <f>IFERROR((SUMIFS(JB_27BV,JB_B,1,JB_H,"LHA",JB_F,"RCOH",JB_RC,"ADD"))/F$85,0)</f>
        <v>0</v>
      </c>
      <c r="G83" s="28">
        <f>IFERROR((SUMIFS(JB_27BV,JB_B,1,JB_H,"DDG",JB_F,"RCOH",JB_RC,"ADD"))/G$85,0)</f>
        <v>0</v>
      </c>
      <c r="H83" s="28">
        <f>IFERROR((SUMIFS(JB_27BV,JB_B,1,JB_H,"LPD",JB_F,"RCOH",JB_RC,"ADD"))/H$85,0)</f>
        <v>0</v>
      </c>
      <c r="I83" s="28">
        <f>IFERROR((SUMIFS(JB_27BV,JB_B,1,JB_H,"T-AO",JB_F,"RCOH",JB_RC,"ADD"))/I$85,0)</f>
        <v>0</v>
      </c>
      <c r="J83" s="28">
        <f>IFERROR((SUMIFS(JB_27BV,JB_B,1,JB_H,"LSM",JB_F,"RCOH",JB_RC,"ADD"))/J$85,0)</f>
        <v>0</v>
      </c>
      <c r="K83" s="28">
        <f>IFERROR((SUMIFS(JB_27BV,JB_B,1,JB_H,"FFG",JB_F,"RCOH",JB_RC,"ADD"))/K$85,0)</f>
        <v>0</v>
      </c>
      <c r="L83" s="28">
        <f>IFERROR((SUMIFS(JB_27BV,JB_B,1,JB_H,"T-AGOS",JB_F,"RCOH",JB_RC,"ADD"))/L$85,0)</f>
        <v>0</v>
      </c>
      <c r="M83" s="28">
        <f>IFERROR((SUMIFS(JB_27BV,JB_B,1,JB_H,"T-AH",JB_F,"RCOH",JB_RC,"ADD"))/M$85,0)</f>
        <v>0</v>
      </c>
      <c r="N83" s="28">
        <f>IFERROR((SUMIFS(JB_27BV,JB_B,1,JB_H,"T-AKR",JB_F,"RCOH",JB_RC,"ADD"))/N$85,0)</f>
        <v>0</v>
      </c>
      <c r="O83" s="28">
        <f>IFERROR((SUMIFS(JB_27BV,JB_B,1,JB_H,"UUV",JB_F,"RCOH",JB_RC,"ADD"))/O$85,0)</f>
        <v>0</v>
      </c>
      <c r="P83" s="28">
        <f>IFERROR((SUMIFS(JB_27BV,JB_B,1,JB_H,"MUSV",JB_F,"RCOH",JB_RC,"ADD"))/P$85,0)</f>
        <v>0</v>
      </c>
      <c r="Q83" s="33">
        <f>IFERROR((SUMIFS(JB_27BV,JB_B,1,JB_V,"Auxiliary Ships",JB_F,"RCOH",JB_RC,"ADD")+SUMIFS(JB_27BV,JB_B,1,JB_V,"Combatant Ships",JB_F,"RCOH",JB_RC,"ADD")+SUMIFS(JB_27BV,JB_B,1,JB_V,"Cutters",JB_F,"RCOH",JB_RC,"ADD")+SUMIFS(JB_27BV,JB_B,1,JB_V,"Unmanned Maritime Platforms",JB_F,"RCOH",JB_RC,"ADD"))/Q$85,0)</f>
        <v>0</v>
      </c>
    </row>
    <row r="84" spans="1:17" ht="10" customHeight="1" x14ac:dyDescent="0.2">
      <c r="A84" s="16" t="s">
        <v>290</v>
      </c>
      <c r="B84" s="33">
        <f>IFERROR((SUMIFS(JB_27BV,JB_B,1,JB_H,"SSBN",JB_F,"SLEP",JB_RC,"ADD"))/B$85,0)</f>
        <v>0</v>
      </c>
      <c r="C84" s="28">
        <f>IFERROR((SUMIFS(JB_27BV,JB_B,1,JB_H,"SSN",JB_F,"SLEP",JB_RC,"ADD"))/C$85,0)</f>
        <v>0</v>
      </c>
      <c r="D84" s="28">
        <f>IFERROR((SUMIFS(JB_27BV,JB_B,1,JB_H,"AS",JB_F,"SLEP",JB_RC,"ADD"))/D$85,0)</f>
        <v>0</v>
      </c>
      <c r="E84" s="28">
        <f>IFERROR((SUMIFS(JB_27BV,JB_B,1,JB_H,"CVN",JB_F,"SLEP",JB_RC,"ADD"))/E$85,0)</f>
        <v>0</v>
      </c>
      <c r="F84" s="28">
        <f>IFERROR((SUMIFS(JB_27BV,JB_B,1,JB_H,"LHA",JB_F,"SLEP",JB_RC,"ADD"))/F$85,0)</f>
        <v>0</v>
      </c>
      <c r="G84" s="28">
        <f>IFERROR((SUMIFS(JB_27BV,JB_B,1,JB_H,"DDG",JB_F,"SLEP",JB_RC,"ADD"))/G$85,0)</f>
        <v>0</v>
      </c>
      <c r="H84" s="28">
        <f>IFERROR((SUMIFS(JB_27BV,JB_B,1,JB_H,"LPD",JB_F,"SLEP",JB_RC,"ADD"))/H$85,0)</f>
        <v>0</v>
      </c>
      <c r="I84" s="28">
        <f>IFERROR((SUMIFS(JB_27BV,JB_B,1,JB_H,"T-AO",JB_F,"SLEP",JB_RC,"ADD"))/I$85,0)</f>
        <v>0</v>
      </c>
      <c r="J84" s="28">
        <f>IFERROR((SUMIFS(JB_27BV,JB_B,1,JB_H,"LSM",JB_F,"SLEP",JB_RC,"ADD"))/J$85,0)</f>
        <v>0</v>
      </c>
      <c r="K84" s="28">
        <f>IFERROR((SUMIFS(JB_27BV,JB_B,1,JB_H,"FFG",JB_F,"SLEP",JB_RC,"ADD"))/K$85,0)</f>
        <v>0</v>
      </c>
      <c r="L84" s="28">
        <f>IFERROR((SUMIFS(JB_27BV,JB_B,1,JB_H,"T-AGOS",JB_F,"SLEP",JB_RC,"ADD"))/L$85,0)</f>
        <v>0</v>
      </c>
      <c r="M84" s="28">
        <f>IFERROR((SUMIFS(JB_27BV,JB_B,1,JB_H,"T-AH",JB_F,"SLEP",JB_RC,"ADD"))/M$85,0)</f>
        <v>0</v>
      </c>
      <c r="N84" s="28">
        <f>IFERROR((SUMIFS(JB_27BV,JB_B,1,JB_H,"T-AKR",JB_F,"SLEP",JB_RC,"ADD"))/N$85,0)</f>
        <v>0</v>
      </c>
      <c r="O84" s="28">
        <f>IFERROR((SUMIFS(JB_27BV,JB_B,1,JB_H,"UUV",JB_F,"SLEP",JB_RC,"ADD"))/O$85,0)</f>
        <v>0</v>
      </c>
      <c r="P84" s="28">
        <f>IFERROR((SUMIFS(JB_27BV,JB_B,1,JB_H,"MUSV",JB_F,"SLEP",JB_RC,"ADD"))/P$85,0)</f>
        <v>0</v>
      </c>
      <c r="Q84" s="33">
        <f>IFERROR((SUMIFS(JB_27BV,JB_B,1,JB_V,"Auxiliary Ships",JB_F,"SLEP",JB_RC,"ADD")+SUMIFS(JB_27BV,JB_B,1,JB_V,"Combatant Ships",JB_F,"SLEP",JB_RC,"ADD")+SUMIFS(JB_27BV,JB_B,1,JB_V,"Cutters",JB_F,"SLEP",JB_RC,"ADD")+SUMIFS(JB_27BV,JB_B,1,JB_V,"Unmanned Maritime Platforms",JB_F,"SLEP",JB_RC,"ADD"))/Q$85,0)</f>
        <v>0</v>
      </c>
    </row>
    <row r="85" spans="1:17" ht="10" customHeight="1" x14ac:dyDescent="0.2">
      <c r="A85" s="23" t="s">
        <v>8840</v>
      </c>
      <c r="B85" s="34">
        <f>SUMIFS(JB_27BV,JB_B,1,JB_H,"SSBN",JB_RC,"ADD")</f>
        <v>15202874</v>
      </c>
      <c r="C85" s="24">
        <f>SUMIFS(JB_27BV,JB_B,1,JB_H,"SSN",JB_RC,"ADD")</f>
        <v>13985934</v>
      </c>
      <c r="D85" s="24">
        <f>SUMIFS(JB_27BV,JB_B,1,JB_H,"AS",JB_RC,"ADD")</f>
        <v>4444000</v>
      </c>
      <c r="E85" s="24">
        <f>SUMIFS(JB_27BV,JB_B,1,JB_H,"CVN",JB_RC,"ADD")</f>
        <v>4067355</v>
      </c>
      <c r="F85" s="24">
        <f>SUMIFS(JB_27BV,JB_B,1,JB_H,"LHA",JB_RC,"ADD")</f>
        <v>3852319</v>
      </c>
      <c r="G85" s="24">
        <f>SUMIFS(JB_27BV,JB_B,1,JB_H,"DDG",JB_RC,"ADD")</f>
        <v>3334754</v>
      </c>
      <c r="H85" s="24">
        <f>SUMIFS(JB_27BV,JB_B,1,JB_H,"LPD",JB_RC,"ADD")</f>
        <v>2548650</v>
      </c>
      <c r="I85" s="24">
        <f>SUMIFS(JB_27BV,JB_B,1,JB_H,"T-AO",JB_RC,"ADD")</f>
        <v>2228883</v>
      </c>
      <c r="J85" s="24">
        <f>SUMIFS(JB_27BV,JB_B,1,JB_H,"LSM",JB_RC,"ADD")</f>
        <v>1887500</v>
      </c>
      <c r="K85" s="24">
        <f>SUMIFS(JB_27BV,JB_B,1,JB_H,"FFG",JB_RC,"ADD")</f>
        <v>1429000</v>
      </c>
      <c r="L85" s="24">
        <f>SUMIFS(JB_27BV,JB_B,1,JB_H,"T-AGOS",JB_RC,"ADD")</f>
        <v>710664</v>
      </c>
      <c r="M85" s="24">
        <f>SUMIFS(JB_27BV,JB_B,1,JB_H,"T-AH",JB_RC,"ADD")</f>
        <v>650000</v>
      </c>
      <c r="N85" s="24">
        <f>SUMIFS(JB_27BV,JB_B,1,JB_H,"T-AKR",JB_RC,"ADD")</f>
        <v>580000</v>
      </c>
      <c r="O85" s="24">
        <f>SUMIFS(JB_27BV,JB_B,1,JB_H,"UUV",JB_RC,"ADD")</f>
        <v>246757</v>
      </c>
      <c r="P85" s="24">
        <f>SUMIFS(JB_27BV,JB_B,1,JB_H,"MUSV",JB_RC,"ADD")</f>
        <v>171130</v>
      </c>
      <c r="Q85" s="34">
        <f>SUM(B85:P85)</f>
        <v>55339820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I42"/>
  <sheetViews>
    <sheetView showGridLines="0" workbookViewId="0"/>
  </sheetViews>
  <sheetFormatPr baseColWidth="10" defaultColWidth="8.83203125" defaultRowHeight="15" x14ac:dyDescent="0.2"/>
  <cols>
    <col min="1" max="1" width="16" customWidth="1"/>
    <col min="2" max="2" width="24" customWidth="1"/>
    <col min="3" max="3" width="8" customWidth="1"/>
    <col min="4" max="8" width="12" customWidth="1"/>
    <col min="9" max="9" width="10" customWidth="1"/>
  </cols>
  <sheetData>
    <row r="1" spans="1:9" ht="10" customHeight="1" x14ac:dyDescent="0.2">
      <c r="A1" s="20" t="s">
        <v>9080</v>
      </c>
      <c r="B1" s="21"/>
      <c r="C1" s="21"/>
      <c r="D1" s="21"/>
      <c r="E1" s="21"/>
      <c r="F1" s="21"/>
      <c r="G1" s="21"/>
      <c r="H1" s="21"/>
      <c r="I1" s="21"/>
    </row>
    <row r="2" spans="1:9" ht="10" customHeight="1" x14ac:dyDescent="0.2">
      <c r="A2" s="22" t="s">
        <v>9081</v>
      </c>
    </row>
    <row r="3" spans="1:9" ht="10" customHeight="1" x14ac:dyDescent="0.2"/>
    <row r="4" spans="1:9" ht="10" customHeight="1" x14ac:dyDescent="0.2">
      <c r="A4" s="6" t="s">
        <v>8844</v>
      </c>
      <c r="B4" s="7"/>
    </row>
    <row r="5" spans="1:9" ht="10" customHeight="1" x14ac:dyDescent="0.2">
      <c r="A5" s="16" t="s">
        <v>8829</v>
      </c>
      <c r="B5" s="17">
        <f>SUMIFS(JB_27BV,JB_B,1,JB_V,"Auxiliary Ships",JB_RC,"ADD")+SUMIFS(JB_27BV,JB_B,1,JB_V,"Combatant Ships",JB_RC,"ADD")+SUMIFS(JB_27BV,JB_B,1,JB_V,"Cutters",JB_RC,"ADD")+SUMIFS(JB_27BV,JB_B,1,JB_V,"Unmanned Maritime Platforms",JB_RC,"ADD")</f>
        <v>57083200</v>
      </c>
    </row>
    <row r="6" spans="1:9" ht="10" customHeight="1" x14ac:dyDescent="0.2">
      <c r="A6" s="16" t="s">
        <v>8845</v>
      </c>
      <c r="B6" s="17">
        <f>-SUMIFS(JB_27BV,JB_B,1,JB_W,"Submarines",JB_RC,"ADD")</f>
        <v>-29188808</v>
      </c>
    </row>
    <row r="7" spans="1:9" ht="10" customHeight="1" x14ac:dyDescent="0.2">
      <c r="A7" s="16" t="s">
        <v>8846</v>
      </c>
      <c r="B7" s="17">
        <f>-SUMIFS(JB_27BV,JB_B,1,JB_W,"Aircraft Carriers",JB_RC,"ADD")</f>
        <v>-4067355</v>
      </c>
    </row>
    <row r="8" spans="1:9" ht="10" customHeight="1" x14ac:dyDescent="0.2">
      <c r="A8" s="16" t="s">
        <v>8847</v>
      </c>
      <c r="B8" s="17">
        <f>-SUMIFS(JB_27BV,JB_B,1,JB_W,"Unmanned Undersea Vehicles",JB_RC,"ADD")</f>
        <v>-246757</v>
      </c>
    </row>
    <row r="9" spans="1:9" ht="10" customHeight="1" x14ac:dyDescent="0.2">
      <c r="A9" s="23" t="s">
        <v>8848</v>
      </c>
      <c r="B9" s="24">
        <f>SUM(B5:B8)</f>
        <v>23580280</v>
      </c>
    </row>
    <row r="10" spans="1:9" ht="10" customHeight="1" x14ac:dyDescent="0.2"/>
    <row r="11" spans="1:9" ht="10" customHeight="1" x14ac:dyDescent="0.2"/>
    <row r="12" spans="1:9" ht="10" customHeight="1" x14ac:dyDescent="0.2">
      <c r="A12" s="6" t="s">
        <v>9082</v>
      </c>
      <c r="B12" s="7"/>
      <c r="C12" s="7"/>
      <c r="D12" s="7"/>
      <c r="E12" s="7"/>
      <c r="F12" s="7"/>
      <c r="G12" s="7"/>
      <c r="H12" s="7"/>
    </row>
    <row r="13" spans="1:9" ht="10" customHeight="1" x14ac:dyDescent="0.2">
      <c r="A13" s="15" t="s">
        <v>20</v>
      </c>
      <c r="B13" s="15" t="s">
        <v>8831</v>
      </c>
      <c r="C13" s="15" t="s">
        <v>8850</v>
      </c>
      <c r="D13" s="15" t="s">
        <v>8851</v>
      </c>
      <c r="E13" s="15" t="s">
        <v>104</v>
      </c>
      <c r="F13" s="15" t="s">
        <v>290</v>
      </c>
      <c r="G13" s="15" t="s">
        <v>8808</v>
      </c>
      <c r="H13" s="15" t="s">
        <v>8852</v>
      </c>
    </row>
    <row r="14" spans="1:9" ht="10" customHeight="1" x14ac:dyDescent="0.2">
      <c r="A14" s="16" t="s">
        <v>149</v>
      </c>
      <c r="B14" s="16" t="s">
        <v>50</v>
      </c>
      <c r="C14" s="17">
        <f>SUMIFS(JB_27BV,JB_B,1,JB_W,"Amphibious Warfare Ships",JB_F,"Full ship DD&amp;C",JB_RC,"ADD")+SUMIFS(JB_27BV,JB_B,1,JB_W,"Amphibious Warfare Ships",JB_F,"Full ship DD&amp;C / LLTM",JB_RC,"ADD")+SUMIFS(JB_27BV,JB_B,1,JB_W,"Amphibious Warfare Ships",JB_F,"Full vessel procurement",JB_RC,"ADD")</f>
        <v>6045019</v>
      </c>
      <c r="D14" s="17">
        <f>SUMIFS(JB_27BV,JB_B,1,JB_W,"Amphibious Warfare Ships",JB_F,"Advance procurement / LLTM",JB_RC,"ADD")</f>
        <v>355950</v>
      </c>
      <c r="E14" s="17">
        <f>SUMIFS(JB_27BV,JB_B,1,JB_W,"Amphibious Warfare Ships",JB_F,"RCOH",JB_RC,"ADD")</f>
        <v>0</v>
      </c>
      <c r="F14" s="17">
        <f>SUMIFS(JB_27BV,JB_B,1,JB_W,"Amphibious Warfare Ships",JB_F,"SLEP",JB_RC,"ADD")</f>
        <v>0</v>
      </c>
      <c r="G14" s="17">
        <f>SUMIFS(JB_27BV,JB_B,1,JB_W,"Amphibious Warfare Ships",JB_RC,"ADD")</f>
        <v>6400969</v>
      </c>
      <c r="H14" s="28">
        <f t="shared" ref="H14:H22" si="0">IFERROR(G14/G$23,0)</f>
        <v>0.27145432539393088</v>
      </c>
    </row>
    <row r="15" spans="1:9" ht="10" customHeight="1" x14ac:dyDescent="0.2">
      <c r="A15" s="16" t="s">
        <v>119</v>
      </c>
      <c r="B15" s="16" t="s">
        <v>50</v>
      </c>
      <c r="C15" s="17">
        <f>SUMIFS(JB_27BV,JB_B,1,JB_W,"Surface Combatants",JB_F,"Full ship DD&amp;C",JB_RC,"ADD")+SUMIFS(JB_27BV,JB_B,1,JB_W,"Surface Combatants",JB_F,"Full ship DD&amp;C / LLTM",JB_RC,"ADD")+SUMIFS(JB_27BV,JB_B,1,JB_W,"Surface Combatants",JB_F,"Full vessel procurement",JB_RC,"ADD")</f>
        <v>4763754</v>
      </c>
      <c r="D15" s="17">
        <f>SUMIFS(JB_27BV,JB_B,1,JB_W,"Surface Combatants",JB_F,"Advance procurement / LLTM",JB_RC,"ADD")</f>
        <v>1000000</v>
      </c>
      <c r="E15" s="17">
        <f>SUMIFS(JB_27BV,JB_B,1,JB_W,"Surface Combatants",JB_F,"RCOH",JB_RC,"ADD")</f>
        <v>0</v>
      </c>
      <c r="F15" s="17">
        <f>SUMIFS(JB_27BV,JB_B,1,JB_W,"Surface Combatants",JB_F,"SLEP",JB_RC,"ADD")</f>
        <v>0</v>
      </c>
      <c r="G15" s="17">
        <f>SUMIFS(JB_27BV,JB_B,1,JB_W,"Surface Combatants",JB_RC,"ADD")</f>
        <v>5857134</v>
      </c>
      <c r="H15" s="28">
        <f t="shared" si="0"/>
        <v>0.24839119806889487</v>
      </c>
    </row>
    <row r="16" spans="1:9" ht="10" customHeight="1" x14ac:dyDescent="0.2">
      <c r="A16" s="16" t="s">
        <v>4963</v>
      </c>
      <c r="B16" s="16" t="s">
        <v>50</v>
      </c>
      <c r="C16" s="17">
        <f>SUMIFS(JB_27BV,JB_B,1,JB_W,"Material Support Ships",JB_F,"Full ship DD&amp;C",JB_RC,"ADD")+SUMIFS(JB_27BV,JB_B,1,JB_W,"Material Support Ships",JB_F,"Full ship DD&amp;C / LLTM",JB_RC,"ADD")+SUMIFS(JB_27BV,JB_B,1,JB_W,"Material Support Ships",JB_F,"Full vessel procurement",JB_RC,"ADD")</f>
        <v>4444000</v>
      </c>
      <c r="D16" s="17">
        <f>SUMIFS(JB_27BV,JB_B,1,JB_W,"Material Support Ships",JB_F,"Advance procurement / LLTM",JB_RC,"ADD")</f>
        <v>0</v>
      </c>
      <c r="E16" s="17">
        <f>SUMIFS(JB_27BV,JB_B,1,JB_W,"Material Support Ships",JB_F,"RCOH",JB_RC,"ADD")</f>
        <v>0</v>
      </c>
      <c r="F16" s="17">
        <f>SUMIFS(JB_27BV,JB_B,1,JB_W,"Material Support Ships",JB_F,"SLEP",JB_RC,"ADD")</f>
        <v>0</v>
      </c>
      <c r="G16" s="17">
        <f>SUMIFS(JB_27BV,JB_B,1,JB_W,"Material Support Ships",JB_RC,"ADD")</f>
        <v>4444000</v>
      </c>
      <c r="H16" s="28">
        <f t="shared" si="0"/>
        <v>0.18846256278551399</v>
      </c>
    </row>
    <row r="17" spans="1:9" ht="10" customHeight="1" x14ac:dyDescent="0.2">
      <c r="A17" s="16" t="s">
        <v>202</v>
      </c>
      <c r="B17" s="16" t="s">
        <v>190</v>
      </c>
      <c r="C17" s="17">
        <f>SUMIFS(JB_27BV,JB_B,1,JB_W,"Combat Logistics Ships",JB_F,"Full ship DD&amp;C",JB_RC,"ADD")+SUMIFS(JB_27BV,JB_B,1,JB_W,"Combat Logistics Ships",JB_F,"Full ship DD&amp;C / LLTM",JB_RC,"ADD")+SUMIFS(JB_27BV,JB_B,1,JB_W,"Combat Logistics Ships",JB_F,"Full vessel procurement",JB_RC,"ADD")</f>
        <v>2678883</v>
      </c>
      <c r="D17" s="17">
        <f>SUMIFS(JB_27BV,JB_B,1,JB_W,"Combat Logistics Ships",JB_F,"Advance procurement / LLTM",JB_RC,"ADD")</f>
        <v>0</v>
      </c>
      <c r="E17" s="17">
        <f>SUMIFS(JB_27BV,JB_B,1,JB_W,"Combat Logistics Ships",JB_F,"RCOH",JB_RC,"ADD")</f>
        <v>0</v>
      </c>
      <c r="F17" s="17">
        <f>SUMIFS(JB_27BV,JB_B,1,JB_W,"Combat Logistics Ships",JB_F,"SLEP",JB_RC,"ADD")</f>
        <v>0</v>
      </c>
      <c r="G17" s="17">
        <f>SUMIFS(JB_27BV,JB_B,1,JB_W,"Combat Logistics Ships",JB_RC,"ADD")</f>
        <v>2678883</v>
      </c>
      <c r="H17" s="28">
        <f t="shared" si="0"/>
        <v>0.11360692069814268</v>
      </c>
    </row>
    <row r="18" spans="1:9" ht="10" customHeight="1" x14ac:dyDescent="0.2">
      <c r="A18" s="16" t="s">
        <v>182</v>
      </c>
      <c r="B18" s="16" t="s">
        <v>50</v>
      </c>
      <c r="C18" s="17">
        <f>SUMIFS(JB_27BV,JB_B,1,JB_W,"Expeditionary &amp; Seabasing Ships",JB_F,"Full ship DD&amp;C",JB_RC,"ADD")+SUMIFS(JB_27BV,JB_B,1,JB_W,"Expeditionary &amp; Seabasing Ships",JB_F,"Full ship DD&amp;C / LLTM",JB_RC,"ADD")+SUMIFS(JB_27BV,JB_B,1,JB_W,"Expeditionary &amp; Seabasing Ships",JB_F,"Full vessel procurement",JB_RC,"ADD")</f>
        <v>1887500</v>
      </c>
      <c r="D18" s="17">
        <f>SUMIFS(JB_27BV,JB_B,1,JB_W,"Expeditionary &amp; Seabasing Ships",JB_F,"Advance procurement / LLTM",JB_RC,"ADD")</f>
        <v>0</v>
      </c>
      <c r="E18" s="17">
        <f>SUMIFS(JB_27BV,JB_B,1,JB_W,"Expeditionary &amp; Seabasing Ships",JB_F,"RCOH",JB_RC,"ADD")</f>
        <v>0</v>
      </c>
      <c r="F18" s="17">
        <f>SUMIFS(JB_27BV,JB_B,1,JB_W,"Expeditionary &amp; Seabasing Ships",JB_F,"SLEP",JB_RC,"ADD")</f>
        <v>0</v>
      </c>
      <c r="G18" s="17">
        <f>SUMIFS(JB_27BV,JB_B,1,JB_W,"Expeditionary &amp; Seabasing Ships",JB_RC,"ADD")</f>
        <v>1887500</v>
      </c>
      <c r="H18" s="28">
        <f t="shared" si="0"/>
        <v>8.004569920289327E-2</v>
      </c>
    </row>
    <row r="19" spans="1:9" ht="10" customHeight="1" x14ac:dyDescent="0.2">
      <c r="A19" s="16" t="s">
        <v>214</v>
      </c>
      <c r="B19" s="16" t="s">
        <v>50</v>
      </c>
      <c r="C19" s="17">
        <f>SUMIFS(JB_27BV,JB_B,1,JB_W,"Surveillance Ships",JB_F,"Full ship DD&amp;C",JB_RC,"ADD")+SUMIFS(JB_27BV,JB_B,1,JB_W,"Surveillance Ships",JB_F,"Full ship DD&amp;C / LLTM",JB_RC,"ADD")+SUMIFS(JB_27BV,JB_B,1,JB_W,"Surveillance Ships",JB_F,"Full vessel procurement",JB_RC,"ADD")</f>
        <v>910664</v>
      </c>
      <c r="D19" s="17">
        <f>SUMIFS(JB_27BV,JB_B,1,JB_W,"Surveillance Ships",JB_F,"Advance procurement / LLTM",JB_RC,"ADD")</f>
        <v>0</v>
      </c>
      <c r="E19" s="17">
        <f>SUMIFS(JB_27BV,JB_B,1,JB_W,"Surveillance Ships",JB_F,"RCOH",JB_RC,"ADD")</f>
        <v>0</v>
      </c>
      <c r="F19" s="17">
        <f>SUMIFS(JB_27BV,JB_B,1,JB_W,"Surveillance Ships",JB_F,"SLEP",JB_RC,"ADD")</f>
        <v>0</v>
      </c>
      <c r="G19" s="17">
        <f>SUMIFS(JB_27BV,JB_B,1,JB_W,"Surveillance Ships",JB_RC,"ADD")</f>
        <v>910664</v>
      </c>
      <c r="H19" s="28">
        <f t="shared" si="0"/>
        <v>3.8619728010015147E-2</v>
      </c>
    </row>
    <row r="20" spans="1:9" ht="10" customHeight="1" x14ac:dyDescent="0.2">
      <c r="A20" s="16" t="s">
        <v>5026</v>
      </c>
      <c r="B20" s="16" t="s">
        <v>190</v>
      </c>
      <c r="C20" s="17">
        <f>SUMIFS(JB_27BV,JB_B,1,JB_W,"Hospital Ship",JB_F,"Full ship DD&amp;C",JB_RC,"ADD")+SUMIFS(JB_27BV,JB_B,1,JB_W,"Hospital Ship",JB_F,"Full ship DD&amp;C / LLTM",JB_RC,"ADD")+SUMIFS(JB_27BV,JB_B,1,JB_W,"Hospital Ship",JB_F,"Full vessel procurement",JB_RC,"ADD")</f>
        <v>650000</v>
      </c>
      <c r="D20" s="17">
        <f>SUMIFS(JB_27BV,JB_B,1,JB_W,"Hospital Ship",JB_F,"Advance procurement / LLTM",JB_RC,"ADD")</f>
        <v>0</v>
      </c>
      <c r="E20" s="17">
        <f>SUMIFS(JB_27BV,JB_B,1,JB_W,"Hospital Ship",JB_F,"RCOH",JB_RC,"ADD")</f>
        <v>0</v>
      </c>
      <c r="F20" s="17">
        <f>SUMIFS(JB_27BV,JB_B,1,JB_W,"Hospital Ship",JB_F,"SLEP",JB_RC,"ADD")</f>
        <v>0</v>
      </c>
      <c r="G20" s="17">
        <f>SUMIFS(JB_27BV,JB_B,1,JB_W,"Hospital Ship",JB_RC,"ADD")</f>
        <v>650000</v>
      </c>
      <c r="H20" s="28">
        <f t="shared" si="0"/>
        <v>2.7565406348016224E-2</v>
      </c>
    </row>
    <row r="21" spans="1:9" ht="10" customHeight="1" x14ac:dyDescent="0.2">
      <c r="A21" s="16" t="s">
        <v>245</v>
      </c>
      <c r="B21" s="16" t="s">
        <v>50</v>
      </c>
      <c r="C21" s="17">
        <f>SUMIFS(JB_27BV,JB_B,1,JB_W,"Cargo &amp; Vehicle Cargo Ships",JB_F,"Full ship DD&amp;C",JB_RC,"ADD")+SUMIFS(JB_27BV,JB_B,1,JB_W,"Cargo &amp; Vehicle Cargo Ships",JB_F,"Full ship DD&amp;C / LLTM",JB_RC,"ADD")+SUMIFS(JB_27BV,JB_B,1,JB_W,"Cargo &amp; Vehicle Cargo Ships",JB_F,"Full vessel procurement",JB_RC,"ADD")</f>
        <v>580000</v>
      </c>
      <c r="D21" s="17">
        <f>SUMIFS(JB_27BV,JB_B,1,JB_W,"Cargo &amp; Vehicle Cargo Ships",JB_F,"Advance procurement / LLTM",JB_RC,"ADD")</f>
        <v>0</v>
      </c>
      <c r="E21" s="17">
        <f>SUMIFS(JB_27BV,JB_B,1,JB_W,"Cargo &amp; Vehicle Cargo Ships",JB_F,"RCOH",JB_RC,"ADD")</f>
        <v>0</v>
      </c>
      <c r="F21" s="17">
        <f>SUMIFS(JB_27BV,JB_B,1,JB_W,"Cargo &amp; Vehicle Cargo Ships",JB_F,"SLEP",JB_RC,"ADD")</f>
        <v>0</v>
      </c>
      <c r="G21" s="17">
        <f>SUMIFS(JB_27BV,JB_B,1,JB_W,"Cargo &amp; Vehicle Cargo Ships",JB_RC,"ADD")</f>
        <v>580000</v>
      </c>
      <c r="H21" s="28">
        <f t="shared" si="0"/>
        <v>2.4596824125922168E-2</v>
      </c>
    </row>
    <row r="22" spans="1:9" ht="10" customHeight="1" x14ac:dyDescent="0.2">
      <c r="A22" s="16" t="s">
        <v>5413</v>
      </c>
      <c r="B22" s="16" t="s">
        <v>50</v>
      </c>
      <c r="C22" s="17">
        <f>SUMIFS(JB_27BV,JB_B,1,JB_W,"Unmanned Surface Vehicles",JB_F,"Full ship DD&amp;C",JB_RC,"ADD")+SUMIFS(JB_27BV,JB_B,1,JB_W,"Unmanned Surface Vehicles",JB_F,"Full ship DD&amp;C / LLTM",JB_RC,"ADD")+SUMIFS(JB_27BV,JB_B,1,JB_W,"Unmanned Surface Vehicles",JB_F,"Full vessel procurement",JB_RC,"ADD")</f>
        <v>171130</v>
      </c>
      <c r="D22" s="17">
        <f>SUMIFS(JB_27BV,JB_B,1,JB_W,"Unmanned Surface Vehicles",JB_F,"Advance procurement / LLTM",JB_RC,"ADD")</f>
        <v>0</v>
      </c>
      <c r="E22" s="17">
        <f>SUMIFS(JB_27BV,JB_B,1,JB_W,"Unmanned Surface Vehicles",JB_F,"RCOH",JB_RC,"ADD")</f>
        <v>0</v>
      </c>
      <c r="F22" s="17">
        <f>SUMIFS(JB_27BV,JB_B,1,JB_W,"Unmanned Surface Vehicles",JB_F,"SLEP",JB_RC,"ADD")</f>
        <v>0</v>
      </c>
      <c r="G22" s="17">
        <f>SUMIFS(JB_27BV,JB_B,1,JB_W,"Unmanned Surface Vehicles",JB_RC,"ADD")</f>
        <v>171130</v>
      </c>
      <c r="H22" s="28">
        <f t="shared" si="0"/>
        <v>7.2573353666707946E-3</v>
      </c>
    </row>
    <row r="23" spans="1:9" ht="10" customHeight="1" x14ac:dyDescent="0.2">
      <c r="A23" s="23" t="s">
        <v>8848</v>
      </c>
      <c r="B23" s="23"/>
      <c r="C23" s="24">
        <f>SUM(C14:C22)</f>
        <v>22130950</v>
      </c>
      <c r="D23" s="24">
        <f>SUM(D14:D22)</f>
        <v>1355950</v>
      </c>
      <c r="E23" s="24">
        <f>SUM(E14:E22)</f>
        <v>0</v>
      </c>
      <c r="F23" s="24">
        <f>SUM(F14:F22)</f>
        <v>0</v>
      </c>
      <c r="G23" s="24">
        <f>SUM(G14:G22)</f>
        <v>23580280</v>
      </c>
      <c r="H23" s="29">
        <v>1</v>
      </c>
    </row>
    <row r="24" spans="1:9" ht="10" customHeight="1" x14ac:dyDescent="0.2"/>
    <row r="25" spans="1:9" ht="10" customHeight="1" x14ac:dyDescent="0.2"/>
    <row r="26" spans="1:9" ht="10" customHeight="1" x14ac:dyDescent="0.2">
      <c r="A26" s="6" t="s">
        <v>9083</v>
      </c>
      <c r="B26" s="7"/>
      <c r="C26" s="7"/>
      <c r="D26" s="7"/>
      <c r="E26" s="7"/>
      <c r="F26" s="7"/>
      <c r="G26" s="7"/>
      <c r="H26" s="7"/>
      <c r="I26" s="7"/>
    </row>
    <row r="27" spans="1:9" ht="10" customHeight="1" x14ac:dyDescent="0.2">
      <c r="A27" s="22" t="s">
        <v>8854</v>
      </c>
    </row>
    <row r="28" spans="1:9" ht="10" customHeight="1" x14ac:dyDescent="0.2">
      <c r="A28" s="15" t="s">
        <v>8835</v>
      </c>
      <c r="B28" s="15" t="s">
        <v>20</v>
      </c>
      <c r="C28" s="15" t="s">
        <v>8831</v>
      </c>
      <c r="D28" s="15" t="s">
        <v>8850</v>
      </c>
      <c r="E28" s="15" t="s">
        <v>8851</v>
      </c>
      <c r="F28" s="15" t="s">
        <v>104</v>
      </c>
      <c r="G28" s="15" t="s">
        <v>290</v>
      </c>
      <c r="H28" s="15" t="s">
        <v>8808</v>
      </c>
      <c r="I28" s="15" t="s">
        <v>8852</v>
      </c>
    </row>
    <row r="29" spans="1:9" ht="10" customHeight="1" x14ac:dyDescent="0.2">
      <c r="A29" s="16" t="s">
        <v>4964</v>
      </c>
      <c r="B29" s="16" t="s">
        <v>4963</v>
      </c>
      <c r="C29" s="16" t="s">
        <v>50</v>
      </c>
      <c r="D29" s="17">
        <f>SUMIFS(JB_27BV,JB_B,1,JB_H,"AS",JB_F,"Full ship DD&amp;C",JB_RC,"ADD")+SUMIFS(JB_27BV,JB_B,1,JB_H,"AS",JB_F,"Full ship DD&amp;C / LLTM",JB_RC,"ADD")+SUMIFS(JB_27BV,JB_B,1,JB_H,"AS",JB_F,"Full vessel procurement",JB_RC,"ADD")</f>
        <v>4444000</v>
      </c>
      <c r="E29" s="17">
        <f>SUMIFS(JB_27BV,JB_B,1,JB_H,"AS",JB_F,"Advance procurement / LLTM",JB_RC,"ADD")</f>
        <v>0</v>
      </c>
      <c r="F29" s="17">
        <f>SUMIFS(JB_27BV,JB_B,1,JB_H,"AS",JB_F,"RCOH",JB_RC,"ADD")</f>
        <v>0</v>
      </c>
      <c r="G29" s="17">
        <f>SUMIFS(JB_27BV,JB_B,1,JB_H,"AS",JB_F,"SLEP",JB_RC,"ADD")</f>
        <v>0</v>
      </c>
      <c r="H29" s="17">
        <f>SUMIFS(JB_27BV,JB_B,1,JB_H,"AS",JB_RC,"ADD")</f>
        <v>4444000</v>
      </c>
      <c r="I29" s="28">
        <f t="shared" ref="I29:I39" si="1">IFERROR(H29/H$40,0)</f>
        <v>0.20350873979365203</v>
      </c>
    </row>
    <row r="30" spans="1:9" ht="10" customHeight="1" x14ac:dyDescent="0.2">
      <c r="A30" s="16" t="s">
        <v>168</v>
      </c>
      <c r="B30" s="16" t="s">
        <v>149</v>
      </c>
      <c r="C30" s="16" t="s">
        <v>50</v>
      </c>
      <c r="D30" s="17">
        <f>SUMIFS(JB_27BV,JB_B,1,JB_H,"LHA",JB_F,"Full ship DD&amp;C",JB_RC,"ADD")+SUMIFS(JB_27BV,JB_B,1,JB_H,"LHA",JB_F,"Full ship DD&amp;C / LLTM",JB_RC,"ADD")+SUMIFS(JB_27BV,JB_B,1,JB_H,"LHA",JB_F,"Full vessel procurement",JB_RC,"ADD")</f>
        <v>3852319</v>
      </c>
      <c r="E30" s="17">
        <f>SUMIFS(JB_27BV,JB_B,1,JB_H,"LHA",JB_F,"Advance procurement / LLTM",JB_RC,"ADD")</f>
        <v>0</v>
      </c>
      <c r="F30" s="17">
        <f>SUMIFS(JB_27BV,JB_B,1,JB_H,"LHA",JB_F,"RCOH",JB_RC,"ADD")</f>
        <v>0</v>
      </c>
      <c r="G30" s="17">
        <f>SUMIFS(JB_27BV,JB_B,1,JB_H,"LHA",JB_F,"SLEP",JB_RC,"ADD")</f>
        <v>0</v>
      </c>
      <c r="H30" s="17">
        <f>SUMIFS(JB_27BV,JB_B,1,JB_H,"LHA",JB_RC,"ADD")</f>
        <v>3852319</v>
      </c>
      <c r="I30" s="28">
        <f t="shared" si="1"/>
        <v>0.17641327294625153</v>
      </c>
    </row>
    <row r="31" spans="1:9" ht="10" customHeight="1" x14ac:dyDescent="0.2">
      <c r="A31" s="16" t="s">
        <v>120</v>
      </c>
      <c r="B31" s="16" t="s">
        <v>119</v>
      </c>
      <c r="C31" s="16" t="s">
        <v>50</v>
      </c>
      <c r="D31" s="17">
        <f>SUMIFS(JB_27BV,JB_B,1,JB_H,"DDG",JB_F,"Full ship DD&amp;C",JB_RC,"ADD")+SUMIFS(JB_27BV,JB_B,1,JB_H,"DDG",JB_F,"Full ship DD&amp;C / LLTM",JB_RC,"ADD")+SUMIFS(JB_27BV,JB_B,1,JB_H,"DDG",JB_F,"Full vessel procurement",JB_RC,"ADD")</f>
        <v>3334754</v>
      </c>
      <c r="E31" s="17">
        <f>SUMIFS(JB_27BV,JB_B,1,JB_H,"DDG",JB_F,"Advance procurement / LLTM",JB_RC,"ADD")</f>
        <v>0</v>
      </c>
      <c r="F31" s="17">
        <f>SUMIFS(JB_27BV,JB_B,1,JB_H,"DDG",JB_F,"RCOH",JB_RC,"ADD")</f>
        <v>0</v>
      </c>
      <c r="G31" s="17">
        <f>SUMIFS(JB_27BV,JB_B,1,JB_H,"DDG",JB_F,"SLEP",JB_RC,"ADD")</f>
        <v>0</v>
      </c>
      <c r="H31" s="17">
        <f>SUMIFS(JB_27BV,JB_B,1,JB_H,"DDG",JB_RC,"ADD")</f>
        <v>3334754</v>
      </c>
      <c r="I31" s="28">
        <f t="shared" si="1"/>
        <v>0.15271187760167423</v>
      </c>
    </row>
    <row r="32" spans="1:9" ht="10" customHeight="1" x14ac:dyDescent="0.2">
      <c r="A32" s="16" t="s">
        <v>150</v>
      </c>
      <c r="B32" s="16" t="s">
        <v>149</v>
      </c>
      <c r="C32" s="16" t="s">
        <v>50</v>
      </c>
      <c r="D32" s="17">
        <f>SUMIFS(JB_27BV,JB_B,1,JB_H,"LPD",JB_F,"Full ship DD&amp;C",JB_RC,"ADD")+SUMIFS(JB_27BV,JB_B,1,JB_H,"LPD",JB_F,"Full ship DD&amp;C / LLTM",JB_RC,"ADD")+SUMIFS(JB_27BV,JB_B,1,JB_H,"LPD",JB_F,"Full vessel procurement",JB_RC,"ADD")</f>
        <v>2192700</v>
      </c>
      <c r="E32" s="17">
        <f>SUMIFS(JB_27BV,JB_B,1,JB_H,"LPD",JB_F,"Advance procurement / LLTM",JB_RC,"ADD")</f>
        <v>355950</v>
      </c>
      <c r="F32" s="17">
        <f>SUMIFS(JB_27BV,JB_B,1,JB_H,"LPD",JB_F,"RCOH",JB_RC,"ADD")</f>
        <v>0</v>
      </c>
      <c r="G32" s="17">
        <f>SUMIFS(JB_27BV,JB_B,1,JB_H,"LPD",JB_F,"SLEP",JB_RC,"ADD")</f>
        <v>0</v>
      </c>
      <c r="H32" s="17">
        <f>SUMIFS(JB_27BV,JB_B,1,JB_H,"LPD",JB_RC,"ADD")</f>
        <v>2548650</v>
      </c>
      <c r="I32" s="28">
        <f t="shared" si="1"/>
        <v>0.11671299497639318</v>
      </c>
    </row>
    <row r="33" spans="1:9" ht="10" customHeight="1" x14ac:dyDescent="0.2">
      <c r="A33" s="16" t="s">
        <v>203</v>
      </c>
      <c r="B33" s="16" t="s">
        <v>202</v>
      </c>
      <c r="C33" s="16" t="s">
        <v>190</v>
      </c>
      <c r="D33" s="17">
        <f>SUMIFS(JB_27BV,JB_B,1,JB_H,"T-AO",JB_F,"Full ship DD&amp;C",JB_RC,"ADD")+SUMIFS(JB_27BV,JB_B,1,JB_H,"T-AO",JB_F,"Full ship DD&amp;C / LLTM",JB_RC,"ADD")+SUMIFS(JB_27BV,JB_B,1,JB_H,"T-AO",JB_F,"Full vessel procurement",JB_RC,"ADD")</f>
        <v>2228883</v>
      </c>
      <c r="E33" s="17">
        <f>SUMIFS(JB_27BV,JB_B,1,JB_H,"T-AO",JB_F,"Advance procurement / LLTM",JB_RC,"ADD")</f>
        <v>0</v>
      </c>
      <c r="F33" s="17">
        <f>SUMIFS(JB_27BV,JB_B,1,JB_H,"T-AO",JB_F,"RCOH",JB_RC,"ADD")</f>
        <v>0</v>
      </c>
      <c r="G33" s="17">
        <f>SUMIFS(JB_27BV,JB_B,1,JB_H,"T-AO",JB_F,"SLEP",JB_RC,"ADD")</f>
        <v>0</v>
      </c>
      <c r="H33" s="17">
        <f>SUMIFS(JB_27BV,JB_B,1,JB_H,"T-AO",JB_RC,"ADD")</f>
        <v>2228883</v>
      </c>
      <c r="I33" s="28">
        <f t="shared" si="1"/>
        <v>0.10206957031446771</v>
      </c>
    </row>
    <row r="34" spans="1:9" ht="10" customHeight="1" x14ac:dyDescent="0.2">
      <c r="A34" s="16" t="s">
        <v>183</v>
      </c>
      <c r="B34" s="16" t="s">
        <v>182</v>
      </c>
      <c r="C34" s="16" t="s">
        <v>50</v>
      </c>
      <c r="D34" s="17">
        <f>SUMIFS(JB_27BV,JB_B,1,JB_H,"LSM",JB_F,"Full ship DD&amp;C",JB_RC,"ADD")+SUMIFS(JB_27BV,JB_B,1,JB_H,"LSM",JB_F,"Full ship DD&amp;C / LLTM",JB_RC,"ADD")+SUMIFS(JB_27BV,JB_B,1,JB_H,"LSM",JB_F,"Full vessel procurement",JB_RC,"ADD")</f>
        <v>1887500</v>
      </c>
      <c r="E34" s="17">
        <f>SUMIFS(JB_27BV,JB_B,1,JB_H,"LSM",JB_F,"Advance procurement / LLTM",JB_RC,"ADD")</f>
        <v>0</v>
      </c>
      <c r="F34" s="17">
        <f>SUMIFS(JB_27BV,JB_B,1,JB_H,"LSM",JB_F,"RCOH",JB_RC,"ADD")</f>
        <v>0</v>
      </c>
      <c r="G34" s="17">
        <f>SUMIFS(JB_27BV,JB_B,1,JB_H,"LSM",JB_F,"SLEP",JB_RC,"ADD")</f>
        <v>0</v>
      </c>
      <c r="H34" s="17">
        <f>SUMIFS(JB_27BV,JB_B,1,JB_H,"LSM",JB_RC,"ADD")</f>
        <v>1887500</v>
      </c>
      <c r="I34" s="28">
        <f t="shared" si="1"/>
        <v>8.6436261557272326E-2</v>
      </c>
    </row>
    <row r="35" spans="1:9" ht="10" customHeight="1" x14ac:dyDescent="0.2">
      <c r="A35" s="16" t="s">
        <v>144</v>
      </c>
      <c r="B35" s="16" t="s">
        <v>119</v>
      </c>
      <c r="C35" s="16" t="s">
        <v>50</v>
      </c>
      <c r="D35" s="17">
        <f>SUMIFS(JB_27BV,JB_B,1,JB_H,"FFG",JB_F,"Full ship DD&amp;C",JB_RC,"ADD")+SUMIFS(JB_27BV,JB_B,1,JB_H,"FFG",JB_F,"Full ship DD&amp;C / LLTM",JB_RC,"ADD")+SUMIFS(JB_27BV,JB_B,1,JB_H,"FFG",JB_F,"Full vessel procurement",JB_RC,"ADD")</f>
        <v>1429000</v>
      </c>
      <c r="E35" s="17">
        <f>SUMIFS(JB_27BV,JB_B,1,JB_H,"FFG",JB_F,"Advance procurement / LLTM",JB_RC,"ADD")</f>
        <v>0</v>
      </c>
      <c r="F35" s="17">
        <f>SUMIFS(JB_27BV,JB_B,1,JB_H,"FFG",JB_F,"RCOH",JB_RC,"ADD")</f>
        <v>0</v>
      </c>
      <c r="G35" s="17">
        <f>SUMIFS(JB_27BV,JB_B,1,JB_H,"FFG",JB_F,"SLEP",JB_RC,"ADD")</f>
        <v>0</v>
      </c>
      <c r="H35" s="17">
        <f>SUMIFS(JB_27BV,JB_B,1,JB_H,"FFG",JB_RC,"ADD")</f>
        <v>1429000</v>
      </c>
      <c r="I35" s="28">
        <f t="shared" si="1"/>
        <v>6.5439691531307104E-2</v>
      </c>
    </row>
    <row r="36" spans="1:9" ht="10" customHeight="1" x14ac:dyDescent="0.2">
      <c r="A36" s="16" t="s">
        <v>215</v>
      </c>
      <c r="B36" s="16" t="s">
        <v>214</v>
      </c>
      <c r="C36" s="16" t="s">
        <v>190</v>
      </c>
      <c r="D36" s="17">
        <f>SUMIFS(JB_27BV,JB_B,1,JB_H,"T-AGOS",JB_F,"Full ship DD&amp;C",JB_RC,"ADD")+SUMIFS(JB_27BV,JB_B,1,JB_H,"T-AGOS",JB_F,"Full ship DD&amp;C / LLTM",JB_RC,"ADD")+SUMIFS(JB_27BV,JB_B,1,JB_H,"T-AGOS",JB_F,"Full vessel procurement",JB_RC,"ADD")</f>
        <v>710664</v>
      </c>
      <c r="E36" s="17">
        <f>SUMIFS(JB_27BV,JB_B,1,JB_H,"T-AGOS",JB_F,"Advance procurement / LLTM",JB_RC,"ADD")</f>
        <v>0</v>
      </c>
      <c r="F36" s="17">
        <f>SUMIFS(JB_27BV,JB_B,1,JB_H,"T-AGOS",JB_F,"RCOH",JB_RC,"ADD")</f>
        <v>0</v>
      </c>
      <c r="G36" s="17">
        <f>SUMIFS(JB_27BV,JB_B,1,JB_H,"T-AGOS",JB_F,"SLEP",JB_RC,"ADD")</f>
        <v>0</v>
      </c>
      <c r="H36" s="17">
        <f>SUMIFS(JB_27BV,JB_B,1,JB_H,"T-AGOS",JB_RC,"ADD")</f>
        <v>710664</v>
      </c>
      <c r="I36" s="28">
        <f t="shared" si="1"/>
        <v>3.254417980574166E-2</v>
      </c>
    </row>
    <row r="37" spans="1:9" ht="10" customHeight="1" x14ac:dyDescent="0.2">
      <c r="A37" s="16" t="s">
        <v>5027</v>
      </c>
      <c r="B37" s="16" t="s">
        <v>5026</v>
      </c>
      <c r="C37" s="16" t="s">
        <v>190</v>
      </c>
      <c r="D37" s="17">
        <f>SUMIFS(JB_27BV,JB_B,1,JB_H,"T-AH",JB_F,"Full ship DD&amp;C",JB_RC,"ADD")+SUMIFS(JB_27BV,JB_B,1,JB_H,"T-AH",JB_F,"Full ship DD&amp;C / LLTM",JB_RC,"ADD")+SUMIFS(JB_27BV,JB_B,1,JB_H,"T-AH",JB_F,"Full vessel procurement",JB_RC,"ADD")</f>
        <v>650000</v>
      </c>
      <c r="E37" s="17">
        <f>SUMIFS(JB_27BV,JB_B,1,JB_H,"T-AH",JB_F,"Advance procurement / LLTM",JB_RC,"ADD")</f>
        <v>0</v>
      </c>
      <c r="F37" s="17">
        <f>SUMIFS(JB_27BV,JB_B,1,JB_H,"T-AH",JB_F,"RCOH",JB_RC,"ADD")</f>
        <v>0</v>
      </c>
      <c r="G37" s="17">
        <f>SUMIFS(JB_27BV,JB_B,1,JB_H,"T-AH",JB_F,"SLEP",JB_RC,"ADD")</f>
        <v>0</v>
      </c>
      <c r="H37" s="17">
        <f>SUMIFS(JB_27BV,JB_B,1,JB_H,"T-AH",JB_RC,"ADD")</f>
        <v>650000</v>
      </c>
      <c r="I37" s="28">
        <f t="shared" si="1"/>
        <v>2.976612980780239E-2</v>
      </c>
    </row>
    <row r="38" spans="1:9" ht="10" customHeight="1" x14ac:dyDescent="0.2">
      <c r="A38" s="16" t="s">
        <v>246</v>
      </c>
      <c r="B38" s="16" t="s">
        <v>245</v>
      </c>
      <c r="C38" s="16" t="s">
        <v>190</v>
      </c>
      <c r="D38" s="17">
        <f>SUMIFS(JB_27BV,JB_B,1,JB_H,"T-AKR",JB_F,"Full ship DD&amp;C",JB_RC,"ADD")+SUMIFS(JB_27BV,JB_B,1,JB_H,"T-AKR",JB_F,"Full ship DD&amp;C / LLTM",JB_RC,"ADD")+SUMIFS(JB_27BV,JB_B,1,JB_H,"T-AKR",JB_F,"Full vessel procurement",JB_RC,"ADD")</f>
        <v>580000</v>
      </c>
      <c r="E38" s="17">
        <f>SUMIFS(JB_27BV,JB_B,1,JB_H,"T-AKR",JB_F,"Advance procurement / LLTM",JB_RC,"ADD")</f>
        <v>0</v>
      </c>
      <c r="F38" s="17">
        <f>SUMIFS(JB_27BV,JB_B,1,JB_H,"T-AKR",JB_F,"RCOH",JB_RC,"ADD")</f>
        <v>0</v>
      </c>
      <c r="G38" s="17">
        <f>SUMIFS(JB_27BV,JB_B,1,JB_H,"T-AKR",JB_F,"SLEP",JB_RC,"ADD")</f>
        <v>0</v>
      </c>
      <c r="H38" s="17">
        <f>SUMIFS(JB_27BV,JB_B,1,JB_H,"T-AKR",JB_RC,"ADD")</f>
        <v>580000</v>
      </c>
      <c r="I38" s="28">
        <f t="shared" si="1"/>
        <v>2.6560546597731362E-2</v>
      </c>
    </row>
    <row r="39" spans="1:9" ht="10" customHeight="1" x14ac:dyDescent="0.2">
      <c r="A39" s="16" t="s">
        <v>5414</v>
      </c>
      <c r="B39" s="16" t="s">
        <v>5413</v>
      </c>
      <c r="C39" s="16" t="s">
        <v>50</v>
      </c>
      <c r="D39" s="17">
        <f>SUMIFS(JB_27BV,JB_B,1,JB_H,"MUSV",JB_F,"Full ship DD&amp;C",JB_RC,"ADD")+SUMIFS(JB_27BV,JB_B,1,JB_H,"MUSV",JB_F,"Full ship DD&amp;C / LLTM",JB_RC,"ADD")+SUMIFS(JB_27BV,JB_B,1,JB_H,"MUSV",JB_F,"Full vessel procurement",JB_RC,"ADD")</f>
        <v>171130</v>
      </c>
      <c r="E39" s="17">
        <f>SUMIFS(JB_27BV,JB_B,1,JB_H,"MUSV",JB_F,"Advance procurement / LLTM",JB_RC,"ADD")</f>
        <v>0</v>
      </c>
      <c r="F39" s="17">
        <f>SUMIFS(JB_27BV,JB_B,1,JB_H,"MUSV",JB_F,"RCOH",JB_RC,"ADD")</f>
        <v>0</v>
      </c>
      <c r="G39" s="17">
        <f>SUMIFS(JB_27BV,JB_B,1,JB_H,"MUSV",JB_F,"SLEP",JB_RC,"ADD")</f>
        <v>0</v>
      </c>
      <c r="H39" s="17">
        <f>SUMIFS(JB_27BV,JB_B,1,JB_H,"MUSV",JB_RC,"ADD")</f>
        <v>171130</v>
      </c>
      <c r="I39" s="28">
        <f t="shared" si="1"/>
        <v>7.8367350677064976E-3</v>
      </c>
    </row>
    <row r="40" spans="1:9" ht="10" customHeight="1" x14ac:dyDescent="0.2">
      <c r="A40" s="23" t="s">
        <v>8848</v>
      </c>
      <c r="B40" s="23"/>
      <c r="C40" s="23"/>
      <c r="D40" s="24">
        <f>SUM(D29:D39)</f>
        <v>21480950</v>
      </c>
      <c r="E40" s="24">
        <f>SUM(E29:E39)</f>
        <v>355950</v>
      </c>
      <c r="F40" s="24">
        <f>SUM(F29:F39)</f>
        <v>0</v>
      </c>
      <c r="G40" s="24">
        <f>SUM(G29:G39)</f>
        <v>0</v>
      </c>
      <c r="H40" s="24">
        <f>SUM(H29:H39)</f>
        <v>21836900</v>
      </c>
      <c r="I40" s="29">
        <v>1</v>
      </c>
    </row>
    <row r="41" spans="1:9" ht="10" customHeight="1" x14ac:dyDescent="0.2"/>
    <row r="42" spans="1:9" ht="10" customHeight="1" x14ac:dyDescent="0.2">
      <c r="A42" s="22" t="s">
        <v>9084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J63"/>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9085</v>
      </c>
      <c r="B1" s="21"/>
      <c r="C1" s="21"/>
      <c r="D1" s="21"/>
      <c r="E1" s="21"/>
      <c r="F1" s="21"/>
      <c r="G1" s="21"/>
      <c r="H1" s="21"/>
      <c r="I1" s="21"/>
      <c r="J1" s="21"/>
    </row>
    <row r="2" spans="1:10" ht="10" customHeight="1" x14ac:dyDescent="0.2">
      <c r="A2" s="22" t="s">
        <v>9032</v>
      </c>
    </row>
    <row r="3" spans="1:10" ht="10" customHeight="1" x14ac:dyDescent="0.2"/>
    <row r="4" spans="1:10" ht="10" customHeight="1" x14ac:dyDescent="0.2">
      <c r="A4" s="6" t="s">
        <v>9033</v>
      </c>
      <c r="B4" s="7"/>
    </row>
    <row r="5" spans="1:10" ht="10" customHeight="1" x14ac:dyDescent="0.2">
      <c r="A5" s="16" t="s">
        <v>9034</v>
      </c>
      <c r="B5" s="17">
        <f>SUMIFS(JB_27BV,JB_B,2,JB_RC,"ADD")+SUMIFS(JB_27BV,JB_B,3,JB_RC,"ADD")+SUMIFS(JB_27BV,JB_B,4,JB_RC,"ADD")+SUMIFS(JB_27BV,JB_B,5,JB_RC,"ADD")+SUMIFS(JB_27BV,JB_B,6,JB_RC,"ADD")+SUMIFS(JB_27BV,JB_B,7,JB_RC,"ADD")</f>
        <v>38537646</v>
      </c>
    </row>
    <row r="6" spans="1:10" ht="10" customHeight="1" x14ac:dyDescent="0.2">
      <c r="A6" s="16" t="s">
        <v>9035</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8825</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8826</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16" t="s">
        <v>8827</v>
      </c>
      <c r="B9" s="17">
        <f>-(SUMIFS(JB_27BV,JB_B,2,JB_V,"Boats",JB_RC,"ADD")+SUMIFS(JB_27BV,JB_B,3,JB_V,"Boats",JB_RC,"ADD")+SUMIFS(JB_27BV,JB_B,4,JB_V,"Boats",JB_RC,"ADD")+SUMIFS(JB_27BV,JB_B,5,JB_V,"Boats",JB_RC,"ADD")+SUMIFS(JB_27BV,JB_B,6,JB_V,"Boats",JB_RC,"ADD")+SUMIFS(JB_27BV,JB_B,7,JB_V,"Boats",JB_RC,"ADD"))</f>
        <v>0</v>
      </c>
    </row>
    <row r="10" spans="1:10" ht="10" customHeight="1" x14ac:dyDescent="0.2">
      <c r="A10" s="16" t="s">
        <v>8828</v>
      </c>
      <c r="B10" s="17">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0</v>
      </c>
    </row>
    <row r="11" spans="1:10" ht="10" customHeight="1" x14ac:dyDescent="0.2">
      <c r="A11" s="23" t="s">
        <v>9036</v>
      </c>
      <c r="B11" s="24">
        <f>SUM(B5:B10)</f>
        <v>18591409</v>
      </c>
    </row>
    <row r="12" spans="1:10" ht="10" customHeight="1" x14ac:dyDescent="0.2"/>
    <row r="13" spans="1:10" ht="10" customHeight="1" x14ac:dyDescent="0.2"/>
    <row r="14" spans="1:10" ht="10" customHeight="1" x14ac:dyDescent="0.2">
      <c r="A14" s="6" t="s">
        <v>9037</v>
      </c>
      <c r="B14" s="7"/>
      <c r="C14" s="7"/>
    </row>
    <row r="15" spans="1:10" ht="10" customHeight="1" x14ac:dyDescent="0.2">
      <c r="A15" s="15" t="s">
        <v>8799</v>
      </c>
      <c r="B15" s="15" t="s">
        <v>9075</v>
      </c>
      <c r="C15" s="15" t="s">
        <v>8832</v>
      </c>
    </row>
    <row r="16" spans="1:10" ht="10" customHeight="1" x14ac:dyDescent="0.2">
      <c r="A16" s="16" t="s">
        <v>9039</v>
      </c>
      <c r="B16" s="17">
        <f>SUMIFS(JB_27BV,JB_B,4,JB_V,"Auxiliary Ships",JB_RC,"ADD")+SUMIFS(JB_27BV,JB_B,4,JB_V,"Combatant Ships",JB_RC,"ADD")+SUMIFS(JB_27BV,JB_B,4,JB_V,"Cutters",JB_RC,"ADD")+SUMIFS(JB_27BV,JB_B,4,JB_V,"Unmanned Maritime Platforms",JB_RC,"ADD")</f>
        <v>13835373</v>
      </c>
      <c r="C16" s="28">
        <f>IFERROR(B16/B$20,0)</f>
        <v>0.74418098165663504</v>
      </c>
    </row>
    <row r="17" spans="1:4" ht="10" customHeight="1" x14ac:dyDescent="0.2">
      <c r="A17" s="16" t="s">
        <v>9040</v>
      </c>
      <c r="B17" s="17">
        <f>SUMIFS(JB_27BV,JB_B,5,JB_V,"Auxiliary Ships",JB_RC,"ADD")+SUMIFS(JB_27BV,JB_B,5,JB_V,"Combatant Ships",JB_RC,"ADD")+SUMIFS(JB_27BV,JB_B,5,JB_V,"Cutters",JB_RC,"ADD")+SUMIFS(JB_27BV,JB_B,5,JB_V,"Unmanned Maritime Platforms",JB_RC,"ADD")</f>
        <v>4502738</v>
      </c>
      <c r="C17" s="28">
        <f>IFERROR(B17/B$20,0)</f>
        <v>0.24219455340905038</v>
      </c>
    </row>
    <row r="18" spans="1:4" ht="10" customHeight="1" x14ac:dyDescent="0.2">
      <c r="A18" s="16" t="s">
        <v>9041</v>
      </c>
      <c r="B18" s="17">
        <f>SUMIFS(JB_27BV,JB_B,6,JB_V,"Auxiliary Ships",JB_RC,"ADD")+SUMIFS(JB_27BV,JB_B,6,JB_V,"Combatant Ships",JB_RC,"ADD")+SUMIFS(JB_27BV,JB_B,6,JB_V,"Cutters",JB_RC,"ADD")+SUMIFS(JB_27BV,JB_B,6,JB_V,"Unmanned Maritime Platforms",JB_RC,"ADD")</f>
        <v>199382</v>
      </c>
      <c r="C18" s="28">
        <f>IFERROR(B18/B$20,0)</f>
        <v>1.0724415777201179E-2</v>
      </c>
    </row>
    <row r="19" spans="1:4" ht="10" customHeight="1" x14ac:dyDescent="0.2">
      <c r="A19" s="16" t="s">
        <v>5514</v>
      </c>
      <c r="B19" s="17">
        <f>SUMIFS(JB_27BV,JB_B,7,JB_V,"Auxiliary Ships",JB_RC,"ADD")+SUMIFS(JB_27BV,JB_B,7,JB_V,"Combatant Ships",JB_RC,"ADD")+SUMIFS(JB_27BV,JB_B,7,JB_V,"Cutters",JB_RC,"ADD")+SUMIFS(JB_27BV,JB_B,7,JB_V,"Unmanned Maritime Platforms",JB_RC,"ADD")</f>
        <v>53916</v>
      </c>
      <c r="C19" s="28">
        <f>IFERROR(B19/B$20,0)</f>
        <v>2.9000491571133744E-3</v>
      </c>
    </row>
    <row r="20" spans="1:4" ht="10" customHeight="1" x14ac:dyDescent="0.2">
      <c r="A20" s="23" t="s">
        <v>9036</v>
      </c>
      <c r="B20" s="24">
        <f>SUM(B16:B19)</f>
        <v>18591409</v>
      </c>
      <c r="C20" s="29">
        <v>1</v>
      </c>
    </row>
    <row r="21" spans="1:4" ht="10" customHeight="1" x14ac:dyDescent="0.2"/>
    <row r="22" spans="1:4" ht="10" customHeight="1" x14ac:dyDescent="0.2"/>
    <row r="23" spans="1:4" ht="10" customHeight="1" x14ac:dyDescent="0.2">
      <c r="A23" s="6" t="s">
        <v>9042</v>
      </c>
      <c r="B23" s="7"/>
      <c r="C23" s="7"/>
      <c r="D23" s="7"/>
    </row>
    <row r="24" spans="1:4" ht="10" customHeight="1" x14ac:dyDescent="0.2">
      <c r="A24" s="15" t="s">
        <v>20</v>
      </c>
      <c r="B24" s="15" t="s">
        <v>8831</v>
      </c>
      <c r="C24" s="15" t="s">
        <v>9075</v>
      </c>
      <c r="D24" s="15" t="s">
        <v>8832</v>
      </c>
    </row>
    <row r="25" spans="1:4" ht="10" customHeight="1" x14ac:dyDescent="0.2">
      <c r="A25" s="16" t="s">
        <v>52</v>
      </c>
      <c r="B25" s="16" t="s">
        <v>50</v>
      </c>
      <c r="C25" s="17">
        <f>SUMIFS(JB_27BV,JB_B,2,JB_W,"Submarines",JB_RC,"ADD")+SUMIFS(JB_27BV,JB_B,3,JB_W,"Submarines",JB_RC,"ADD")+SUMIFS(JB_27BV,JB_B,4,JB_W,"Submarines",JB_RC,"ADD")+SUMIFS(JB_27BV,JB_B,5,JB_W,"Submarines",JB_RC,"ADD")+SUMIFS(JB_27BV,JB_B,6,JB_W,"Submarines",JB_RC,"ADD")+SUMIFS(JB_27BV,JB_B,7,JB_W,"Submarines",JB_RC,"ADD")</f>
        <v>6955612</v>
      </c>
      <c r="D25" s="28">
        <f t="shared" ref="D25:D52" si="0">IFERROR(C25/C$53,0)</f>
        <v>0.37413043841916449</v>
      </c>
    </row>
    <row r="26" spans="1:4" ht="10" customHeight="1" x14ac:dyDescent="0.2">
      <c r="A26" s="16" t="s">
        <v>119</v>
      </c>
      <c r="B26" s="16" t="s">
        <v>50</v>
      </c>
      <c r="C26"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6" s="28">
        <f t="shared" si="0"/>
        <v>0.32909420689954161</v>
      </c>
    </row>
    <row r="27" spans="1:4" ht="10" customHeight="1" x14ac:dyDescent="0.2">
      <c r="A27" s="16" t="s">
        <v>69</v>
      </c>
      <c r="B27" s="16" t="s">
        <v>50</v>
      </c>
      <c r="C2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7" s="28">
        <f t="shared" si="0"/>
        <v>0.27137921606694793</v>
      </c>
    </row>
    <row r="28" spans="1:4" ht="10" customHeight="1" x14ac:dyDescent="0.2">
      <c r="A28" s="16" t="s">
        <v>149</v>
      </c>
      <c r="B28" s="16" t="s">
        <v>50</v>
      </c>
      <c r="C28"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8" s="28">
        <f t="shared" si="0"/>
        <v>1.8571911359703829E-2</v>
      </c>
    </row>
    <row r="29" spans="1:4" ht="10" customHeight="1" x14ac:dyDescent="0.2">
      <c r="A29" s="16" t="s">
        <v>214</v>
      </c>
      <c r="B29" s="16" t="s">
        <v>50</v>
      </c>
      <c r="C29"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9" s="28">
        <f t="shared" si="0"/>
        <v>3.882976271459576E-3</v>
      </c>
    </row>
    <row r="30" spans="1:4" ht="10" customHeight="1" x14ac:dyDescent="0.2">
      <c r="A30" s="16" t="s">
        <v>182</v>
      </c>
      <c r="B30" s="16" t="s">
        <v>50</v>
      </c>
      <c r="C30"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30" s="28">
        <f t="shared" si="0"/>
        <v>2.9000491571133744E-3</v>
      </c>
    </row>
    <row r="31" spans="1:4" ht="10" customHeight="1" x14ac:dyDescent="0.2">
      <c r="A31" s="16" t="s">
        <v>4856</v>
      </c>
      <c r="B31" s="16" t="s">
        <v>50</v>
      </c>
      <c r="C31" s="17">
        <f>SUMIFS(JB_27BV,JB_B,2,JB_W,"Command Ships",JB_RC,"ADD")+SUMIFS(JB_27BV,JB_B,3,JB_W,"Command Ships",JB_RC,"ADD")+SUMIFS(JB_27BV,JB_B,4,JB_W,"Command Ships",JB_RC,"ADD")+SUMIFS(JB_27BV,JB_B,5,JB_W,"Command Ships",JB_RC,"ADD")+SUMIFS(JB_27BV,JB_B,6,JB_W,"Command Ships",JB_RC,"ADD")+SUMIFS(JB_27BV,JB_B,7,JB_W,"Command Ships",JB_RC,"ADD")</f>
        <v>766</v>
      </c>
      <c r="D31" s="28">
        <f t="shared" si="0"/>
        <v>4.1201826069234454E-5</v>
      </c>
    </row>
    <row r="32" spans="1:4" ht="10" customHeight="1" x14ac:dyDescent="0.2">
      <c r="A32" s="16" t="s">
        <v>5269</v>
      </c>
      <c r="B32" s="16" t="s">
        <v>50</v>
      </c>
      <c r="C32"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2" s="28">
        <f t="shared" si="0"/>
        <v>0</v>
      </c>
    </row>
    <row r="33" spans="1:4" ht="10" customHeight="1" x14ac:dyDescent="0.2">
      <c r="A33" s="16" t="s">
        <v>4963</v>
      </c>
      <c r="B33" s="16" t="s">
        <v>50</v>
      </c>
      <c r="C33"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3" s="28">
        <f t="shared" si="0"/>
        <v>0</v>
      </c>
    </row>
    <row r="34" spans="1:4" ht="10" customHeight="1" x14ac:dyDescent="0.2">
      <c r="A34" s="16" t="s">
        <v>4684</v>
      </c>
      <c r="B34" s="16" t="s">
        <v>50</v>
      </c>
      <c r="C34" s="17">
        <f>SUMIFS(JB_27BV,JB_B,2,JB_W,"Mine Warfare",JB_RC,"ADD")+SUMIFS(JB_27BV,JB_B,3,JB_W,"Mine Warfare",JB_RC,"ADD")+SUMIFS(JB_27BV,JB_B,4,JB_W,"Mine Warfare",JB_RC,"ADD")+SUMIFS(JB_27BV,JB_B,5,JB_W,"Mine Warfare",JB_RC,"ADD")+SUMIFS(JB_27BV,JB_B,6,JB_W,"Mine Warfare",JB_RC,"ADD")+SUMIFS(JB_27BV,JB_B,7,JB_W,"Mine Warfare",JB_RC,"ADD")</f>
        <v>0</v>
      </c>
      <c r="D34" s="28">
        <f t="shared" si="0"/>
        <v>0</v>
      </c>
    </row>
    <row r="35" spans="1:4" ht="10" customHeight="1" x14ac:dyDescent="0.2">
      <c r="A35" s="16" t="s">
        <v>202</v>
      </c>
      <c r="B35" s="16" t="s">
        <v>190</v>
      </c>
      <c r="C35"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5" s="28">
        <f t="shared" si="0"/>
        <v>0</v>
      </c>
    </row>
    <row r="36" spans="1:4" ht="10" customHeight="1" x14ac:dyDescent="0.2">
      <c r="A36" s="16" t="s">
        <v>5026</v>
      </c>
      <c r="B36" s="16" t="s">
        <v>190</v>
      </c>
      <c r="C36" s="17">
        <f>SUMIFS(JB_27BV,JB_B,2,JB_W,"Hospital Ship",JB_RC,"ADD")+SUMIFS(JB_27BV,JB_B,3,JB_W,"Hospital Ship",JB_RC,"ADD")+SUMIFS(JB_27BV,JB_B,4,JB_W,"Hospital Ship",JB_RC,"ADD")+SUMIFS(JB_27BV,JB_B,5,JB_W,"Hospital Ship",JB_RC,"ADD")+SUMIFS(JB_27BV,JB_B,6,JB_W,"Hospital Ship",JB_RC,"ADD")+SUMIFS(JB_27BV,JB_B,7,JB_W,"Hospital Ship",JB_RC,"ADD")</f>
        <v>0</v>
      </c>
      <c r="D36" s="28">
        <f t="shared" si="0"/>
        <v>0</v>
      </c>
    </row>
    <row r="37" spans="1:4" ht="10" customHeight="1" x14ac:dyDescent="0.2">
      <c r="A37" s="16" t="s">
        <v>233</v>
      </c>
      <c r="B37" s="16" t="s">
        <v>190</v>
      </c>
      <c r="C37"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7" s="28">
        <f t="shared" si="0"/>
        <v>0</v>
      </c>
    </row>
    <row r="38" spans="1:4" ht="10" customHeight="1" x14ac:dyDescent="0.2">
      <c r="A38" s="16" t="s">
        <v>5413</v>
      </c>
      <c r="B38" s="16" t="s">
        <v>50</v>
      </c>
      <c r="C38"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8" s="28">
        <f t="shared" si="0"/>
        <v>0</v>
      </c>
    </row>
    <row r="39" spans="1:4" ht="10" customHeight="1" x14ac:dyDescent="0.2">
      <c r="A39" s="16" t="s">
        <v>245</v>
      </c>
      <c r="B39" s="16" t="s">
        <v>50</v>
      </c>
      <c r="C39"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9" s="28">
        <f t="shared" si="0"/>
        <v>0</v>
      </c>
    </row>
    <row r="40" spans="1:4" ht="10" customHeight="1" x14ac:dyDescent="0.2">
      <c r="A40" s="16" t="s">
        <v>226</v>
      </c>
      <c r="B40" s="16" t="s">
        <v>190</v>
      </c>
      <c r="C40"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40" s="28">
        <f t="shared" si="0"/>
        <v>0</v>
      </c>
    </row>
    <row r="41" spans="1:4" ht="10" customHeight="1" x14ac:dyDescent="0.2">
      <c r="A41" s="16" t="s">
        <v>4676</v>
      </c>
      <c r="B41" s="16" t="s">
        <v>50</v>
      </c>
      <c r="C41"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41" s="28">
        <f t="shared" si="0"/>
        <v>0</v>
      </c>
    </row>
    <row r="42" spans="1:4" ht="10" customHeight="1" x14ac:dyDescent="0.2">
      <c r="A42" s="16" t="s">
        <v>5274</v>
      </c>
      <c r="B42" s="16" t="s">
        <v>50</v>
      </c>
      <c r="C42" s="17">
        <f>SUMIFS(JB_27BV,JB_B,2,JB_W,"Crane Ship",JB_RC,"ADD")+SUMIFS(JB_27BV,JB_B,3,JB_W,"Crane Ship",JB_RC,"ADD")+SUMIFS(JB_27BV,JB_B,4,JB_W,"Crane Ship",JB_RC,"ADD")+SUMIFS(JB_27BV,JB_B,5,JB_W,"Crane Ship",JB_RC,"ADD")+SUMIFS(JB_27BV,JB_B,6,JB_W,"Crane Ship",JB_RC,"ADD")+SUMIFS(JB_27BV,JB_B,7,JB_W,"Crane Ship",JB_RC,"ADD")</f>
        <v>0</v>
      </c>
      <c r="D42" s="28">
        <f t="shared" si="0"/>
        <v>0</v>
      </c>
    </row>
    <row r="43" spans="1:4" ht="10" customHeight="1" x14ac:dyDescent="0.2">
      <c r="A43" s="16" t="s">
        <v>5016</v>
      </c>
      <c r="B43" s="16" t="s">
        <v>50</v>
      </c>
      <c r="C43"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43" s="28">
        <f t="shared" si="0"/>
        <v>0</v>
      </c>
    </row>
    <row r="44" spans="1:4" ht="10" customHeight="1" x14ac:dyDescent="0.2">
      <c r="A44" s="16" t="s">
        <v>4982</v>
      </c>
      <c r="B44" s="16" t="s">
        <v>50</v>
      </c>
      <c r="C44"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44" s="28">
        <f t="shared" si="0"/>
        <v>0</v>
      </c>
    </row>
    <row r="45" spans="1:4" ht="10" customHeight="1" x14ac:dyDescent="0.2">
      <c r="A45" s="16" t="s">
        <v>4643</v>
      </c>
      <c r="B45" s="16" t="s">
        <v>50</v>
      </c>
      <c r="C45"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45" s="28">
        <f t="shared" si="0"/>
        <v>0</v>
      </c>
    </row>
    <row r="46" spans="1:4" ht="10" customHeight="1" x14ac:dyDescent="0.2">
      <c r="A46" s="16" t="s">
        <v>6807</v>
      </c>
      <c r="B46" s="16" t="s">
        <v>6805</v>
      </c>
      <c r="C46"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6" s="28">
        <f t="shared" si="0"/>
        <v>0</v>
      </c>
    </row>
    <row r="47" spans="1:4" ht="10" customHeight="1" x14ac:dyDescent="0.2">
      <c r="A47" s="16" t="s">
        <v>8196</v>
      </c>
      <c r="B47" s="16" t="s">
        <v>6805</v>
      </c>
      <c r="C47"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7" s="28">
        <f t="shared" si="0"/>
        <v>0</v>
      </c>
    </row>
    <row r="48" spans="1:4" ht="10" customHeight="1" x14ac:dyDescent="0.2">
      <c r="A48" s="16" t="s">
        <v>8207</v>
      </c>
      <c r="B48" s="16" t="s">
        <v>6805</v>
      </c>
      <c r="C48"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48" s="28">
        <f t="shared" si="0"/>
        <v>0</v>
      </c>
    </row>
    <row r="49" spans="1:9" ht="10" customHeight="1" x14ac:dyDescent="0.2">
      <c r="A49" s="16" t="s">
        <v>8203</v>
      </c>
      <c r="B49" s="16" t="s">
        <v>6805</v>
      </c>
      <c r="C49"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9" s="28">
        <f t="shared" si="0"/>
        <v>0</v>
      </c>
    </row>
    <row r="50" spans="1:9" ht="10" customHeight="1" x14ac:dyDescent="0.2">
      <c r="A50" s="16" t="s">
        <v>8182</v>
      </c>
      <c r="B50" s="16" t="s">
        <v>6805</v>
      </c>
      <c r="C50"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50" s="28">
        <f t="shared" si="0"/>
        <v>0</v>
      </c>
    </row>
    <row r="51" spans="1:9" ht="10" customHeight="1" x14ac:dyDescent="0.2">
      <c r="A51" s="16" t="s">
        <v>8188</v>
      </c>
      <c r="B51" s="16" t="s">
        <v>6805</v>
      </c>
      <c r="C51"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51" s="28">
        <f t="shared" si="0"/>
        <v>0</v>
      </c>
    </row>
    <row r="52" spans="1:9" ht="10" customHeight="1" x14ac:dyDescent="0.2">
      <c r="A52" s="16" t="s">
        <v>8169</v>
      </c>
      <c r="B52" s="16" t="s">
        <v>6805</v>
      </c>
      <c r="C52"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52" s="28">
        <f t="shared" si="0"/>
        <v>0</v>
      </c>
    </row>
    <row r="53" spans="1:9" ht="10" customHeight="1" x14ac:dyDescent="0.2">
      <c r="A53" s="23" t="s">
        <v>9036</v>
      </c>
      <c r="B53" s="23"/>
      <c r="C53" s="24">
        <f>SUM(C25:C52)</f>
        <v>18591409</v>
      </c>
      <c r="D53" s="29">
        <v>1</v>
      </c>
    </row>
    <row r="54" spans="1:9" ht="10" customHeight="1" x14ac:dyDescent="0.2"/>
    <row r="55" spans="1:9" ht="10" customHeight="1" x14ac:dyDescent="0.2"/>
    <row r="56" spans="1:9" ht="10" customHeight="1" x14ac:dyDescent="0.2">
      <c r="A56" s="6" t="s">
        <v>9043</v>
      </c>
      <c r="B56" s="7"/>
      <c r="C56" s="7"/>
      <c r="D56" s="7"/>
      <c r="E56" s="7"/>
      <c r="F56" s="7"/>
      <c r="G56" s="7"/>
      <c r="H56" s="7"/>
      <c r="I56" s="7"/>
    </row>
    <row r="57" spans="1:9" ht="10" customHeight="1" x14ac:dyDescent="0.2">
      <c r="A57" s="30"/>
      <c r="B57" s="31" t="s">
        <v>50</v>
      </c>
      <c r="C57" s="30"/>
      <c r="D57" s="30"/>
      <c r="E57" s="30"/>
      <c r="F57" s="30"/>
      <c r="G57" s="30"/>
      <c r="H57" s="30"/>
      <c r="I57" s="32"/>
    </row>
    <row r="58" spans="1:9" ht="10" customHeight="1" x14ac:dyDescent="0.2">
      <c r="A58" s="15" t="s">
        <v>8799</v>
      </c>
      <c r="B58" s="18" t="s">
        <v>52</v>
      </c>
      <c r="C58" s="15" t="s">
        <v>119</v>
      </c>
      <c r="D58" s="15" t="s">
        <v>69</v>
      </c>
      <c r="E58" s="15" t="s">
        <v>149</v>
      </c>
      <c r="F58" s="15" t="s">
        <v>214</v>
      </c>
      <c r="G58" s="15" t="s">
        <v>182</v>
      </c>
      <c r="H58" s="15" t="s">
        <v>4856</v>
      </c>
      <c r="I58" s="18" t="s">
        <v>8808</v>
      </c>
    </row>
    <row r="59" spans="1:9" ht="10" customHeight="1" x14ac:dyDescent="0.2">
      <c r="A59" s="16" t="s">
        <v>9039</v>
      </c>
      <c r="B59" s="33">
        <f>IFERROR((SUMIFS(JB_27BV,JB_B,4,JB_W,"Submarines",JB_RC,"ADD"))/B$63,0)</f>
        <v>0.97416618408272337</v>
      </c>
      <c r="C59" s="28">
        <f>IFERROR((SUMIFS(JB_27BV,JB_B,4,JB_W,"Surface Combatants",JB_RC,"ADD"))/C$63,0)</f>
        <v>0.99678147205321721</v>
      </c>
      <c r="D59" s="28">
        <f>IFERROR((SUMIFS(JB_27BV,JB_B,4,JB_W,"Aircraft Carriers",JB_RC,"ADD"))/D$63,0)</f>
        <v>0.10769382013675242</v>
      </c>
      <c r="E59" s="28">
        <f>IFERROR((SUMIFS(JB_27BV,JB_B,4,JB_W,"Amphibious Warfare Ships",JB_RC,"ADD"))/E$63,0)</f>
        <v>1</v>
      </c>
      <c r="F59" s="28">
        <f>IFERROR((SUMIFS(JB_27BV,JB_B,4,JB_W,"Surveillance Ships",JB_RC,"ADD"))/F$63,0)</f>
        <v>1</v>
      </c>
      <c r="G59" s="28">
        <f>IFERROR((SUMIFS(JB_27BV,JB_B,4,JB_W,"Expeditionary &amp; Seabasing Ships",JB_RC,"ADD"))/G$63,0)</f>
        <v>0</v>
      </c>
      <c r="H59" s="28">
        <f>IFERROR((SUMIFS(JB_27BV,JB_B,4,JB_W,"Command Ships",JB_RC,"ADD"))/H$63,0)</f>
        <v>0</v>
      </c>
      <c r="I59" s="33">
        <f>IFERROR((SUMIFS(JB_27BV,JB_B,4,JB_V,"Auxiliary Ships",JB_RC,"ADD")+SUMIFS(JB_27BV,JB_B,4,JB_V,"Combatant Ships",JB_RC,"ADD")+SUMIFS(JB_27BV,JB_B,4,JB_V,"Cutters",JB_RC,"ADD")+SUMIFS(JB_27BV,JB_B,4,JB_V,"Unmanned Maritime Platforms",JB_RC,"ADD"))/I$63,0)</f>
        <v>0.74418098165663504</v>
      </c>
    </row>
    <row r="60" spans="1:9" ht="10" customHeight="1" x14ac:dyDescent="0.2">
      <c r="A60" s="16" t="s">
        <v>9040</v>
      </c>
      <c r="B60" s="33">
        <f>IFERROR((SUMIFS(JB_27BV,JB_B,5,JB_W,"Submarines",JB_RC,"ADD"))/B$63,0)</f>
        <v>0</v>
      </c>
      <c r="C60" s="28">
        <f>IFERROR((SUMIFS(JB_27BV,JB_B,5,JB_W,"Surface Combatants",JB_RC,"ADD"))/C$63,0)</f>
        <v>0</v>
      </c>
      <c r="D60" s="28">
        <f>IFERROR((SUMIFS(JB_27BV,JB_B,5,JB_W,"Aircraft Carriers",JB_RC,"ADD"))/D$63,0)</f>
        <v>0.89230617986324756</v>
      </c>
      <c r="E60" s="28">
        <f>IFERROR((SUMIFS(JB_27BV,JB_B,5,JB_W,"Amphibious Warfare Ships",JB_RC,"ADD"))/E$63,0)</f>
        <v>0</v>
      </c>
      <c r="F60" s="28">
        <f>IFERROR((SUMIFS(JB_27BV,JB_B,5,JB_W,"Surveillance Ships",JB_RC,"ADD"))/F$63,0)</f>
        <v>0</v>
      </c>
      <c r="G60" s="28">
        <f>IFERROR((SUMIFS(JB_27BV,JB_B,5,JB_W,"Expeditionary &amp; Seabasing Ships",JB_RC,"ADD"))/G$63,0)</f>
        <v>0</v>
      </c>
      <c r="H60" s="28">
        <f>IFERROR((SUMIFS(JB_27BV,JB_B,5,JB_W,"Command Ships",JB_RC,"ADD"))/H$63,0)</f>
        <v>1</v>
      </c>
      <c r="I60" s="33">
        <f>IFERROR((SUMIFS(JB_27BV,JB_B,5,JB_V,"Auxiliary Ships",JB_RC,"ADD")+SUMIFS(JB_27BV,JB_B,5,JB_V,"Combatant Ships",JB_RC,"ADD")+SUMIFS(JB_27BV,JB_B,5,JB_V,"Cutters",JB_RC,"ADD")+SUMIFS(JB_27BV,JB_B,5,JB_V,"Unmanned Maritime Platforms",JB_RC,"ADD"))/I$63,0)</f>
        <v>0.24219455340905038</v>
      </c>
    </row>
    <row r="61" spans="1:9" ht="10" customHeight="1" x14ac:dyDescent="0.2">
      <c r="A61" s="16" t="s">
        <v>9041</v>
      </c>
      <c r="B61" s="33">
        <f>IFERROR((SUMIFS(JB_27BV,JB_B,6,JB_W,"Submarines",JB_RC,"ADD"))/B$63,0)</f>
        <v>2.5833815917276581E-2</v>
      </c>
      <c r="C61" s="28">
        <f>IFERROR((SUMIFS(JB_27BV,JB_B,6,JB_W,"Surface Combatants",JB_RC,"ADD"))/C$63,0)</f>
        <v>3.2185279467828207E-3</v>
      </c>
      <c r="D61" s="28">
        <f>IFERROR((SUMIFS(JB_27BV,JB_B,6,JB_W,"Aircraft Carriers",JB_RC,"ADD"))/D$63,0)</f>
        <v>0</v>
      </c>
      <c r="E61" s="28">
        <f>IFERROR((SUMIFS(JB_27BV,JB_B,6,JB_W,"Amphibious Warfare Ships",JB_RC,"ADD"))/E$63,0)</f>
        <v>0</v>
      </c>
      <c r="F61" s="28">
        <f>IFERROR((SUMIFS(JB_27BV,JB_B,6,JB_W,"Surveillance Ships",JB_RC,"ADD"))/F$63,0)</f>
        <v>0</v>
      </c>
      <c r="G61" s="28">
        <f>IFERROR((SUMIFS(JB_27BV,JB_B,6,JB_W,"Expeditionary &amp; Seabasing Ships",JB_RC,"ADD"))/G$63,0)</f>
        <v>0</v>
      </c>
      <c r="H61" s="28">
        <f>IFERROR((SUMIFS(JB_27BV,JB_B,6,JB_W,"Command Ships",JB_RC,"ADD"))/H$63,0)</f>
        <v>0</v>
      </c>
      <c r="I61" s="33">
        <f>IFERROR((SUMIFS(JB_27BV,JB_B,6,JB_V,"Auxiliary Ships",JB_RC,"ADD")+SUMIFS(JB_27BV,JB_B,6,JB_V,"Combatant Ships",JB_RC,"ADD")+SUMIFS(JB_27BV,JB_B,6,JB_V,"Cutters",JB_RC,"ADD")+SUMIFS(JB_27BV,JB_B,6,JB_V,"Unmanned Maritime Platforms",JB_RC,"ADD"))/I$63,0)</f>
        <v>1.0724415777201179E-2</v>
      </c>
    </row>
    <row r="62" spans="1:9" ht="10" customHeight="1" x14ac:dyDescent="0.2">
      <c r="A62" s="16" t="s">
        <v>5514</v>
      </c>
      <c r="B62" s="33">
        <f>IFERROR((SUMIFS(JB_27BV,JB_B,7,JB_W,"Submarines",JB_RC,"ADD"))/B$63,0)</f>
        <v>0</v>
      </c>
      <c r="C62" s="28">
        <f>IFERROR((SUMIFS(JB_27BV,JB_B,7,JB_W,"Surface Combatants",JB_RC,"ADD"))/C$63,0)</f>
        <v>0</v>
      </c>
      <c r="D62" s="28">
        <f>IFERROR((SUMIFS(JB_27BV,JB_B,7,JB_W,"Aircraft Carriers",JB_RC,"ADD"))/D$63,0)</f>
        <v>0</v>
      </c>
      <c r="E62" s="28">
        <f>IFERROR((SUMIFS(JB_27BV,JB_B,7,JB_W,"Amphibious Warfare Ships",JB_RC,"ADD"))/E$63,0)</f>
        <v>0</v>
      </c>
      <c r="F62" s="28">
        <f>IFERROR((SUMIFS(JB_27BV,JB_B,7,JB_W,"Surveillance Ships",JB_RC,"ADD"))/F$63,0)</f>
        <v>0</v>
      </c>
      <c r="G62" s="28">
        <f>IFERROR((SUMIFS(JB_27BV,JB_B,7,JB_W,"Expeditionary &amp; Seabasing Ships",JB_RC,"ADD"))/G$63,0)</f>
        <v>1</v>
      </c>
      <c r="H62" s="28">
        <f>IFERROR((SUMIFS(JB_27BV,JB_B,7,JB_W,"Command Ships",JB_RC,"ADD"))/H$63,0)</f>
        <v>0</v>
      </c>
      <c r="I62" s="33">
        <f>IFERROR((SUMIFS(JB_27BV,JB_B,7,JB_V,"Auxiliary Ships",JB_RC,"ADD")+SUMIFS(JB_27BV,JB_B,7,JB_V,"Combatant Ships",JB_RC,"ADD")+SUMIFS(JB_27BV,JB_B,7,JB_V,"Cutters",JB_RC,"ADD")+SUMIFS(JB_27BV,JB_B,7,JB_V,"Unmanned Maritime Platforms",JB_RC,"ADD"))/I$63,0)</f>
        <v>2.9000491571133744E-3</v>
      </c>
    </row>
    <row r="63" spans="1:9" ht="10" customHeight="1" x14ac:dyDescent="0.2">
      <c r="A63" s="23" t="s">
        <v>8840</v>
      </c>
      <c r="B63" s="34">
        <f>SUMIFS(JB_27BV,JB_B,2,JB_W,"Submarines",JB_RC,"ADD")+SUMIFS(JB_27BV,JB_B,3,JB_W,"Submarines",JB_RC,"ADD")+SUMIFS(JB_27BV,JB_B,4,JB_W,"Submarines",JB_RC,"ADD")+SUMIFS(JB_27BV,JB_B,5,JB_W,"Submarines",JB_RC,"ADD")+SUMIFS(JB_27BV,JB_B,6,JB_W,"Submarines",JB_RC,"ADD")+SUMIFS(JB_27BV,JB_B,7,JB_W,"Submarines",JB_RC,"ADD")</f>
        <v>6955612</v>
      </c>
      <c r="C63"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3"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3"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3"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3"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3" s="24">
        <f>SUMIFS(JB_27BV,JB_B,2,JB_W,"Command Ships",JB_RC,"ADD")+SUMIFS(JB_27BV,JB_B,3,JB_W,"Command Ships",JB_RC,"ADD")+SUMIFS(JB_27BV,JB_B,4,JB_W,"Command Ships",JB_RC,"ADD")+SUMIFS(JB_27BV,JB_B,5,JB_W,"Command Ships",JB_RC,"ADD")+SUMIFS(JB_27BV,JB_B,6,JB_W,"Command Ships",JB_RC,"ADD")+SUMIFS(JB_27BV,JB_B,7,JB_W,"Command Ships",JB_RC,"ADD")</f>
        <v>766</v>
      </c>
      <c r="I63" s="34">
        <f>SUM(B63:H63)</f>
        <v>18591409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3"/>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9086</v>
      </c>
      <c r="B1" s="21"/>
      <c r="C1" s="21"/>
      <c r="D1" s="21"/>
      <c r="E1" s="21"/>
      <c r="F1" s="21"/>
      <c r="G1" s="21"/>
      <c r="H1" s="21"/>
      <c r="I1" s="21"/>
      <c r="J1" s="21"/>
    </row>
    <row r="2" spans="1:10" ht="10" customHeight="1" x14ac:dyDescent="0.2">
      <c r="A2" s="22" t="s">
        <v>9045</v>
      </c>
    </row>
    <row r="3" spans="1:10" ht="10" customHeight="1" x14ac:dyDescent="0.2"/>
    <row r="4" spans="1:10" ht="10" customHeight="1" x14ac:dyDescent="0.2">
      <c r="A4" s="6" t="s">
        <v>9046</v>
      </c>
      <c r="B4" s="7"/>
    </row>
    <row r="5" spans="1:10" ht="10" customHeight="1" x14ac:dyDescent="0.2">
      <c r="A5" s="16" t="s">
        <v>9036</v>
      </c>
      <c r="B5" s="38">
        <f>'FY27 MRO TAM'!B20</f>
        <v>18591409</v>
      </c>
    </row>
    <row r="6" spans="1:10" ht="10" customHeight="1" x14ac:dyDescent="0.2">
      <c r="A6" s="16" t="s">
        <v>8845</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10" ht="10" customHeight="1" x14ac:dyDescent="0.2">
      <c r="A7" s="16" t="s">
        <v>8846</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10" ht="10" customHeight="1" x14ac:dyDescent="0.2">
      <c r="A8" s="16" t="s">
        <v>8847</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10" ht="10" customHeight="1" x14ac:dyDescent="0.2">
      <c r="A9" s="16" t="s">
        <v>9047</v>
      </c>
      <c r="B9" s="17">
        <f>-(B5+B6+B7+B8-B10)</f>
        <v>-73608</v>
      </c>
    </row>
    <row r="10" spans="1:10" ht="10" customHeight="1" x14ac:dyDescent="0.2">
      <c r="A10" s="23" t="s">
        <v>9048</v>
      </c>
      <c r="B10" s="24">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6516867</v>
      </c>
    </row>
    <row r="11" spans="1:10" ht="10" customHeight="1" x14ac:dyDescent="0.2"/>
    <row r="12" spans="1:10" ht="10" customHeight="1" x14ac:dyDescent="0.2"/>
    <row r="13" spans="1:10" ht="10" customHeight="1" x14ac:dyDescent="0.2">
      <c r="A13" s="6" t="s">
        <v>9049</v>
      </c>
      <c r="B13" s="7"/>
      <c r="C13" s="7"/>
      <c r="D13" s="7"/>
      <c r="E13" s="7"/>
      <c r="F13" s="7"/>
      <c r="G13" s="7"/>
      <c r="H13" s="7"/>
    </row>
    <row r="14" spans="1:10" ht="10" customHeight="1" x14ac:dyDescent="0.2">
      <c r="A14" s="15" t="s">
        <v>20</v>
      </c>
      <c r="B14" s="15" t="s">
        <v>8831</v>
      </c>
      <c r="C14" s="15" t="s">
        <v>9050</v>
      </c>
      <c r="D14" s="15" t="s">
        <v>9051</v>
      </c>
      <c r="E14" s="15" t="s">
        <v>9052</v>
      </c>
      <c r="F14" s="15" t="s">
        <v>9053</v>
      </c>
      <c r="G14" s="15" t="s">
        <v>8840</v>
      </c>
      <c r="H14" s="15" t="s">
        <v>9054</v>
      </c>
    </row>
    <row r="15" spans="1:10" ht="10" customHeight="1" x14ac:dyDescent="0.2">
      <c r="A15" s="16" t="s">
        <v>119</v>
      </c>
      <c r="B15" s="16" t="s">
        <v>50</v>
      </c>
      <c r="C15" s="17">
        <f>SUMIFS(JB_27BV,JB_B,2,JB_W,"Surface Combatants",JB_RC,"ADD")</f>
        <v>0</v>
      </c>
      <c r="D15" s="17">
        <f>SUMIFS(JB_27BV,JB_B,3,JB_W,"Surface Combatants",JB_RC,"ADD")</f>
        <v>0</v>
      </c>
      <c r="E15" s="17">
        <f>SUMIFS(JB_27BV,JB_B,4,JB_W,"Surface Combatants",JB_RC,"ADD")</f>
        <v>6098633</v>
      </c>
      <c r="F15" s="17">
        <f>SUMIFS(JB_27BV,JB_B,5,JB_W,"Surface Combatants",JB_RC,"ADD")</f>
        <v>0</v>
      </c>
      <c r="G15" s="17">
        <f t="shared" ref="G15:G39" si="0">SUM(C15:F15)</f>
        <v>6098633</v>
      </c>
      <c r="H15" s="28">
        <f t="shared" ref="H15:H39" si="1">IFERROR(G15/G$40,0)</f>
        <v>0.93582284247936931</v>
      </c>
    </row>
    <row r="16" spans="1:10" ht="10" customHeight="1" x14ac:dyDescent="0.2">
      <c r="A16" s="16" t="s">
        <v>149</v>
      </c>
      <c r="B16" s="16" t="s">
        <v>50</v>
      </c>
      <c r="C16" s="17">
        <f>SUMIFS(JB_27BV,JB_B,2,JB_W,"Amphibious Warfare Ships",JB_RC,"ADD")</f>
        <v>0</v>
      </c>
      <c r="D16" s="17">
        <f>SUMIFS(JB_27BV,JB_B,3,JB_W,"Amphibious Warfare Ships",JB_RC,"ADD")</f>
        <v>0</v>
      </c>
      <c r="E16" s="17">
        <f>SUMIFS(JB_27BV,JB_B,4,JB_W,"Amphibious Warfare Ships",JB_RC,"ADD")</f>
        <v>345278</v>
      </c>
      <c r="F16" s="17">
        <f>SUMIFS(JB_27BV,JB_B,5,JB_W,"Amphibious Warfare Ships",JB_RC,"ADD")</f>
        <v>0</v>
      </c>
      <c r="G16" s="17">
        <f t="shared" si="0"/>
        <v>345278</v>
      </c>
      <c r="H16" s="28">
        <f t="shared" si="1"/>
        <v>5.298220755464244E-2</v>
      </c>
    </row>
    <row r="17" spans="1:8" ht="10" customHeight="1" x14ac:dyDescent="0.2">
      <c r="A17" s="16" t="s">
        <v>214</v>
      </c>
      <c r="B17" s="16" t="s">
        <v>50</v>
      </c>
      <c r="C17" s="17">
        <f>SUMIFS(JB_27BV,JB_B,2,JB_W,"Surveillance Ships",JB_RC,"ADD")</f>
        <v>0</v>
      </c>
      <c r="D17" s="17">
        <f>SUMIFS(JB_27BV,JB_B,3,JB_W,"Surveillance Ships",JB_RC,"ADD")</f>
        <v>0</v>
      </c>
      <c r="E17" s="17">
        <f>SUMIFS(JB_27BV,JB_B,4,JB_W,"Surveillance Ships",JB_RC,"ADD")</f>
        <v>72190</v>
      </c>
      <c r="F17" s="17">
        <f>SUMIFS(JB_27BV,JB_B,5,JB_W,"Surveillance Ships",JB_RC,"ADD")</f>
        <v>0</v>
      </c>
      <c r="G17" s="17">
        <f t="shared" si="0"/>
        <v>72190</v>
      </c>
      <c r="H17" s="28">
        <f t="shared" si="1"/>
        <v>1.1077408822368172E-2</v>
      </c>
    </row>
    <row r="18" spans="1:8" ht="10" customHeight="1" x14ac:dyDescent="0.2">
      <c r="A18" s="16" t="s">
        <v>4856</v>
      </c>
      <c r="B18" s="16" t="s">
        <v>50</v>
      </c>
      <c r="C18" s="17">
        <f>SUMIFS(JB_27BV,JB_B,2,JB_W,"Command Ships",JB_RC,"ADD")</f>
        <v>0</v>
      </c>
      <c r="D18" s="17">
        <f>SUMIFS(JB_27BV,JB_B,3,JB_W,"Command Ships",JB_RC,"ADD")</f>
        <v>0</v>
      </c>
      <c r="E18" s="17">
        <f>SUMIFS(JB_27BV,JB_B,4,JB_W,"Command Ships",JB_RC,"ADD")</f>
        <v>0</v>
      </c>
      <c r="F18" s="17">
        <f>SUMIFS(JB_27BV,JB_B,5,JB_W,"Command Ships",JB_RC,"ADD")</f>
        <v>766</v>
      </c>
      <c r="G18" s="17">
        <f t="shared" si="0"/>
        <v>766</v>
      </c>
      <c r="H18" s="28">
        <f t="shared" si="1"/>
        <v>1.1754114362008615E-4</v>
      </c>
    </row>
    <row r="19" spans="1:8" ht="10" customHeight="1" x14ac:dyDescent="0.2">
      <c r="A19" s="16" t="s">
        <v>5269</v>
      </c>
      <c r="B19" s="16" t="s">
        <v>50</v>
      </c>
      <c r="C19" s="17">
        <f>SUMIFS(JB_27BV,JB_B,2,JB_W,"Aviation Logistics Support Ship",JB_RC,"ADD")</f>
        <v>0</v>
      </c>
      <c r="D19" s="17">
        <f>SUMIFS(JB_27BV,JB_B,3,JB_W,"Aviation Logistics Support Ship",JB_RC,"ADD")</f>
        <v>0</v>
      </c>
      <c r="E19" s="17">
        <f>SUMIFS(JB_27BV,JB_B,4,JB_W,"Aviation Logistics Support Ship",JB_RC,"ADD")</f>
        <v>0</v>
      </c>
      <c r="F19" s="17">
        <f>SUMIFS(JB_27BV,JB_B,5,JB_W,"Aviation Logistics Support Ship",JB_RC,"ADD")</f>
        <v>0</v>
      </c>
      <c r="G19" s="17">
        <f t="shared" si="0"/>
        <v>0</v>
      </c>
      <c r="H19" s="28">
        <f t="shared" si="1"/>
        <v>0</v>
      </c>
    </row>
    <row r="20" spans="1:8" ht="10" customHeight="1" x14ac:dyDescent="0.2">
      <c r="A20" s="16" t="s">
        <v>4963</v>
      </c>
      <c r="B20" s="16" t="s">
        <v>50</v>
      </c>
      <c r="C20" s="17">
        <f>SUMIFS(JB_27BV,JB_B,2,JB_W,"Material Support Ships",JB_RC,"ADD")</f>
        <v>0</v>
      </c>
      <c r="D20" s="17">
        <f>SUMIFS(JB_27BV,JB_B,3,JB_W,"Material Support Ships",JB_RC,"ADD")</f>
        <v>0</v>
      </c>
      <c r="E20" s="17">
        <f>SUMIFS(JB_27BV,JB_B,4,JB_W,"Material Support Ships",JB_RC,"ADD")</f>
        <v>0</v>
      </c>
      <c r="F20" s="17">
        <f>SUMIFS(JB_27BV,JB_B,5,JB_W,"Material Support Ships",JB_RC,"ADD")</f>
        <v>0</v>
      </c>
      <c r="G20" s="17">
        <f t="shared" si="0"/>
        <v>0</v>
      </c>
      <c r="H20" s="28">
        <f t="shared" si="1"/>
        <v>0</v>
      </c>
    </row>
    <row r="21" spans="1:8" ht="10" customHeight="1" x14ac:dyDescent="0.2">
      <c r="A21" s="16" t="s">
        <v>5274</v>
      </c>
      <c r="B21" s="16" t="s">
        <v>50</v>
      </c>
      <c r="C21" s="17">
        <f>SUMIFS(JB_27BV,JB_B,2,JB_W,"Crane Ship",JB_RC,"ADD")</f>
        <v>0</v>
      </c>
      <c r="D21" s="17">
        <f>SUMIFS(JB_27BV,JB_B,3,JB_W,"Crane Ship",JB_RC,"ADD")</f>
        <v>0</v>
      </c>
      <c r="E21" s="17">
        <f>SUMIFS(JB_27BV,JB_B,4,JB_W,"Crane Ship",JB_RC,"ADD")</f>
        <v>0</v>
      </c>
      <c r="F21" s="17">
        <f>SUMIFS(JB_27BV,JB_B,5,JB_W,"Crane Ship",JB_RC,"ADD")</f>
        <v>0</v>
      </c>
      <c r="G21" s="17">
        <f t="shared" si="0"/>
        <v>0</v>
      </c>
      <c r="H21" s="28">
        <f t="shared" si="1"/>
        <v>0</v>
      </c>
    </row>
    <row r="22" spans="1:8" ht="10" customHeight="1" x14ac:dyDescent="0.2">
      <c r="A22" s="16" t="s">
        <v>4684</v>
      </c>
      <c r="B22" s="16" t="s">
        <v>50</v>
      </c>
      <c r="C22" s="17">
        <f>SUMIFS(JB_27BV,JB_B,2,JB_W,"Mine Warfare",JB_RC,"ADD")</f>
        <v>0</v>
      </c>
      <c r="D22" s="17">
        <f>SUMIFS(JB_27BV,JB_B,3,JB_W,"Mine Warfare",JB_RC,"ADD")</f>
        <v>0</v>
      </c>
      <c r="E22" s="17">
        <f>SUMIFS(JB_27BV,JB_B,4,JB_W,"Mine Warfare",JB_RC,"ADD")</f>
        <v>0</v>
      </c>
      <c r="F22" s="17">
        <f>SUMIFS(JB_27BV,JB_B,5,JB_W,"Mine Warfare",JB_RC,"ADD")</f>
        <v>0</v>
      </c>
      <c r="G22" s="17">
        <f t="shared" si="0"/>
        <v>0</v>
      </c>
      <c r="H22" s="28">
        <f t="shared" si="1"/>
        <v>0</v>
      </c>
    </row>
    <row r="23" spans="1:8" ht="10" customHeight="1" x14ac:dyDescent="0.2">
      <c r="A23" s="16" t="s">
        <v>202</v>
      </c>
      <c r="B23" s="16" t="s">
        <v>190</v>
      </c>
      <c r="C23" s="17">
        <f>SUMIFS(JB_27BV,JB_B,2,JB_W,"Combat Logistics Ships",JB_RC,"ADD")</f>
        <v>0</v>
      </c>
      <c r="D23" s="17">
        <f>SUMIFS(JB_27BV,JB_B,3,JB_W,"Combat Logistics Ships",JB_RC,"ADD")</f>
        <v>0</v>
      </c>
      <c r="E23" s="17">
        <f>SUMIFS(JB_27BV,JB_B,4,JB_W,"Combat Logistics Ships",JB_RC,"ADD")</f>
        <v>0</v>
      </c>
      <c r="F23" s="17">
        <f>SUMIFS(JB_27BV,JB_B,5,JB_W,"Combat Logistics Ships",JB_RC,"ADD")</f>
        <v>0</v>
      </c>
      <c r="G23" s="17">
        <f t="shared" si="0"/>
        <v>0</v>
      </c>
      <c r="H23" s="28">
        <f t="shared" si="1"/>
        <v>0</v>
      </c>
    </row>
    <row r="24" spans="1:8" ht="10" customHeight="1" x14ac:dyDescent="0.2">
      <c r="A24" s="16" t="s">
        <v>5016</v>
      </c>
      <c r="B24" s="16" t="s">
        <v>50</v>
      </c>
      <c r="C24" s="17">
        <f>SUMIFS(JB_27BV,JB_B,2,JB_W,"Submarine Escort Ship",JB_RC,"ADD")</f>
        <v>0</v>
      </c>
      <c r="D24" s="17">
        <f>SUMIFS(JB_27BV,JB_B,3,JB_W,"Submarine Escort Ship",JB_RC,"ADD")</f>
        <v>0</v>
      </c>
      <c r="E24" s="17">
        <f>SUMIFS(JB_27BV,JB_B,4,JB_W,"Submarine Escort Ship",JB_RC,"ADD")</f>
        <v>0</v>
      </c>
      <c r="F24" s="17">
        <f>SUMIFS(JB_27BV,JB_B,5,JB_W,"Submarine Escort Ship",JB_RC,"ADD")</f>
        <v>0</v>
      </c>
      <c r="G24" s="17">
        <f t="shared" si="0"/>
        <v>0</v>
      </c>
      <c r="H24" s="28">
        <f t="shared" si="1"/>
        <v>0</v>
      </c>
    </row>
    <row r="25" spans="1:8" ht="10" customHeight="1" x14ac:dyDescent="0.2">
      <c r="A25" s="16" t="s">
        <v>4982</v>
      </c>
      <c r="B25" s="16" t="s">
        <v>50</v>
      </c>
      <c r="C25" s="17">
        <f>SUMIFS(JB_27BV,JB_B,2,JB_W,"High Speed Transport",JB_RC,"ADD")</f>
        <v>0</v>
      </c>
      <c r="D25" s="17">
        <f>SUMIFS(JB_27BV,JB_B,3,JB_W,"High Speed Transport",JB_RC,"ADD")</f>
        <v>0</v>
      </c>
      <c r="E25" s="17">
        <f>SUMIFS(JB_27BV,JB_B,4,JB_W,"High Speed Transport",JB_RC,"ADD")</f>
        <v>0</v>
      </c>
      <c r="F25" s="17">
        <f>SUMIFS(JB_27BV,JB_B,5,JB_W,"High Speed Transport",JB_RC,"ADD")</f>
        <v>0</v>
      </c>
      <c r="G25" s="17">
        <f t="shared" si="0"/>
        <v>0</v>
      </c>
      <c r="H25" s="28">
        <f t="shared" si="1"/>
        <v>0</v>
      </c>
    </row>
    <row r="26" spans="1:8" ht="10" customHeight="1" x14ac:dyDescent="0.2">
      <c r="A26" s="16" t="s">
        <v>182</v>
      </c>
      <c r="B26" s="16" t="s">
        <v>50</v>
      </c>
      <c r="C26" s="17">
        <f>SUMIFS(JB_27BV,JB_B,2,JB_W,"Expeditionary &amp; Seabasing Ships",JB_RC,"ADD")</f>
        <v>0</v>
      </c>
      <c r="D26" s="17">
        <f>SUMIFS(JB_27BV,JB_B,3,JB_W,"Expeditionary &amp; Seabasing Ships",JB_RC,"ADD")</f>
        <v>0</v>
      </c>
      <c r="E26" s="17">
        <f>SUMIFS(JB_27BV,JB_B,4,JB_W,"Expeditionary &amp; Seabasing Ships",JB_RC,"ADD")</f>
        <v>0</v>
      </c>
      <c r="F26" s="17">
        <f>SUMIFS(JB_27BV,JB_B,5,JB_W,"Expeditionary &amp; Seabasing Ships",JB_RC,"ADD")</f>
        <v>0</v>
      </c>
      <c r="G26" s="17">
        <f t="shared" si="0"/>
        <v>0</v>
      </c>
      <c r="H26" s="28">
        <f t="shared" si="1"/>
        <v>0</v>
      </c>
    </row>
    <row r="27" spans="1:8" ht="10" customHeight="1" x14ac:dyDescent="0.2">
      <c r="A27" s="16" t="s">
        <v>5026</v>
      </c>
      <c r="B27" s="16" t="s">
        <v>190</v>
      </c>
      <c r="C27" s="17">
        <f>SUMIFS(JB_27BV,JB_B,2,JB_W,"Hospital Ship",JB_RC,"ADD")</f>
        <v>0</v>
      </c>
      <c r="D27" s="17">
        <f>SUMIFS(JB_27BV,JB_B,3,JB_W,"Hospital Ship",JB_RC,"ADD")</f>
        <v>0</v>
      </c>
      <c r="E27" s="17">
        <f>SUMIFS(JB_27BV,JB_B,4,JB_W,"Hospital Ship",JB_RC,"ADD")</f>
        <v>0</v>
      </c>
      <c r="F27" s="17">
        <f>SUMIFS(JB_27BV,JB_B,5,JB_W,"Hospital Ship",JB_RC,"ADD")</f>
        <v>0</v>
      </c>
      <c r="G27" s="17">
        <f t="shared" si="0"/>
        <v>0</v>
      </c>
      <c r="H27" s="28">
        <f t="shared" si="1"/>
        <v>0</v>
      </c>
    </row>
    <row r="28" spans="1:8" ht="10" customHeight="1" x14ac:dyDescent="0.2">
      <c r="A28" s="16" t="s">
        <v>233</v>
      </c>
      <c r="B28" s="16" t="s">
        <v>190</v>
      </c>
      <c r="C28" s="17">
        <f>SUMIFS(JB_27BV,JB_B,2,JB_W,"Research, Survey &amp; Instrumentation Ships",JB_RC,"ADD")</f>
        <v>0</v>
      </c>
      <c r="D28" s="17">
        <f>SUMIFS(JB_27BV,JB_B,3,JB_W,"Research, Survey &amp; Instrumentation Ships",JB_RC,"ADD")</f>
        <v>0</v>
      </c>
      <c r="E28" s="17">
        <f>SUMIFS(JB_27BV,JB_B,4,JB_W,"Research, Survey &amp; Instrumentation Ships",JB_RC,"ADD")</f>
        <v>0</v>
      </c>
      <c r="F28" s="17">
        <f>SUMIFS(JB_27BV,JB_B,5,JB_W,"Research, Survey &amp; Instrumentation Ships",JB_RC,"ADD")</f>
        <v>0</v>
      </c>
      <c r="G28" s="17">
        <f t="shared" si="0"/>
        <v>0</v>
      </c>
      <c r="H28" s="28">
        <f t="shared" si="1"/>
        <v>0</v>
      </c>
    </row>
    <row r="29" spans="1:8" ht="10" customHeight="1" x14ac:dyDescent="0.2">
      <c r="A29" s="16" t="s">
        <v>245</v>
      </c>
      <c r="B29" s="16" t="s">
        <v>50</v>
      </c>
      <c r="C29" s="17">
        <f>SUMIFS(JB_27BV,JB_B,2,JB_W,"Cargo &amp; Vehicle Cargo Ships",JB_RC,"ADD")</f>
        <v>0</v>
      </c>
      <c r="D29" s="17">
        <f>SUMIFS(JB_27BV,JB_B,3,JB_W,"Cargo &amp; Vehicle Cargo Ships",JB_RC,"ADD")</f>
        <v>0</v>
      </c>
      <c r="E29" s="17">
        <f>SUMIFS(JB_27BV,JB_B,4,JB_W,"Cargo &amp; Vehicle Cargo Ships",JB_RC,"ADD")</f>
        <v>0</v>
      </c>
      <c r="F29" s="17">
        <f>SUMIFS(JB_27BV,JB_B,5,JB_W,"Cargo &amp; Vehicle Cargo Ships",JB_RC,"ADD")</f>
        <v>0</v>
      </c>
      <c r="G29" s="17">
        <f t="shared" si="0"/>
        <v>0</v>
      </c>
      <c r="H29" s="28">
        <f t="shared" si="1"/>
        <v>0</v>
      </c>
    </row>
    <row r="30" spans="1:8" ht="10" customHeight="1" x14ac:dyDescent="0.2">
      <c r="A30" s="16" t="s">
        <v>226</v>
      </c>
      <c r="B30" s="16" t="s">
        <v>190</v>
      </c>
      <c r="C30" s="17">
        <f>SUMIFS(JB_27BV,JB_B,2,JB_W,"Salvage Ships &amp; Fleet Ocean Tugs",JB_RC,"ADD")</f>
        <v>0</v>
      </c>
      <c r="D30" s="17">
        <f>SUMIFS(JB_27BV,JB_B,3,JB_W,"Salvage Ships &amp; Fleet Ocean Tugs",JB_RC,"ADD")</f>
        <v>0</v>
      </c>
      <c r="E30" s="17">
        <f>SUMIFS(JB_27BV,JB_B,4,JB_W,"Salvage Ships &amp; Fleet Ocean Tugs",JB_RC,"ADD")</f>
        <v>0</v>
      </c>
      <c r="F30" s="17">
        <f>SUMIFS(JB_27BV,JB_B,5,JB_W,"Salvage Ships &amp; Fleet Ocean Tugs",JB_RC,"ADD")</f>
        <v>0</v>
      </c>
      <c r="G30" s="17">
        <f t="shared" si="0"/>
        <v>0</v>
      </c>
      <c r="H30" s="28">
        <f t="shared" si="1"/>
        <v>0</v>
      </c>
    </row>
    <row r="31" spans="1:8" ht="10" customHeight="1" x14ac:dyDescent="0.2">
      <c r="A31" s="16" t="s">
        <v>5413</v>
      </c>
      <c r="B31" s="16" t="s">
        <v>50</v>
      </c>
      <c r="C31" s="17">
        <f>SUMIFS(JB_27BV,JB_B,2,JB_W,"Unmanned Surface Vehicles",JB_RC,"ADD")</f>
        <v>0</v>
      </c>
      <c r="D31" s="17">
        <f>SUMIFS(JB_27BV,JB_B,3,JB_W,"Unmanned Surface Vehicles",JB_RC,"ADD")</f>
        <v>0</v>
      </c>
      <c r="E31" s="17">
        <f>SUMIFS(JB_27BV,JB_B,4,JB_W,"Unmanned Surface Vehicles",JB_RC,"ADD")</f>
        <v>0</v>
      </c>
      <c r="F31" s="17">
        <f>SUMIFS(JB_27BV,JB_B,5,JB_W,"Unmanned Surface Vehicles",JB_RC,"ADD")</f>
        <v>0</v>
      </c>
      <c r="G31" s="17">
        <f t="shared" si="0"/>
        <v>0</v>
      </c>
      <c r="H31" s="28">
        <f t="shared" si="1"/>
        <v>0</v>
      </c>
    </row>
    <row r="32" spans="1:8" ht="10" customHeight="1" x14ac:dyDescent="0.2">
      <c r="A32" s="16" t="s">
        <v>4643</v>
      </c>
      <c r="B32" s="16" t="s">
        <v>50</v>
      </c>
      <c r="C32" s="17">
        <f>SUMIFS(JB_27BV,JB_B,2,JB_W,"General Auxiliary",JB_RC,"ADD")</f>
        <v>0</v>
      </c>
      <c r="D32" s="17">
        <f>SUMIFS(JB_27BV,JB_B,3,JB_W,"General Auxiliary",JB_RC,"ADD")</f>
        <v>0</v>
      </c>
      <c r="E32" s="17">
        <f>SUMIFS(JB_27BV,JB_B,4,JB_W,"General Auxiliary",JB_RC,"ADD")</f>
        <v>0</v>
      </c>
      <c r="F32" s="17">
        <f>SUMIFS(JB_27BV,JB_B,5,JB_W,"General Auxiliary",JB_RC,"ADD")</f>
        <v>0</v>
      </c>
      <c r="G32" s="17">
        <f t="shared" si="0"/>
        <v>0</v>
      </c>
      <c r="H32" s="28">
        <f t="shared" si="1"/>
        <v>0</v>
      </c>
    </row>
    <row r="33" spans="1:9" ht="10" customHeight="1" x14ac:dyDescent="0.2">
      <c r="A33" s="16" t="s">
        <v>8203</v>
      </c>
      <c r="B33" s="16" t="s">
        <v>6805</v>
      </c>
      <c r="C33" s="17">
        <f>SUMIFS(JB_27BV,JB_B,2,JB_W,"Icebreakers, Great Lakes",JB_RC,"ADD")</f>
        <v>0</v>
      </c>
      <c r="D33" s="17">
        <f>SUMIFS(JB_27BV,JB_B,3,JB_W,"Icebreakers, Great Lakes",JB_RC,"ADD")</f>
        <v>0</v>
      </c>
      <c r="E33" s="17">
        <f>SUMIFS(JB_27BV,JB_B,4,JB_W,"Icebreakers, Great Lakes",JB_RC,"ADD")</f>
        <v>0</v>
      </c>
      <c r="F33" s="17">
        <f>SUMIFS(JB_27BV,JB_B,5,JB_W,"Icebreakers, Great Lakes",JB_RC,"ADD")</f>
        <v>0</v>
      </c>
      <c r="G33" s="17">
        <f t="shared" si="0"/>
        <v>0</v>
      </c>
      <c r="H33" s="28">
        <f t="shared" si="1"/>
        <v>0</v>
      </c>
    </row>
    <row r="34" spans="1:9" ht="10" customHeight="1" x14ac:dyDescent="0.2">
      <c r="A34" s="16" t="s">
        <v>8182</v>
      </c>
      <c r="B34" s="16" t="s">
        <v>6805</v>
      </c>
      <c r="C34" s="17">
        <f>SUMIFS(JB_27BV,JB_B,2,JB_W,"Offshore Patrol Cutter",JB_RC,"ADD")</f>
        <v>0</v>
      </c>
      <c r="D34" s="17">
        <f>SUMIFS(JB_27BV,JB_B,3,JB_W,"Offshore Patrol Cutter",JB_RC,"ADD")</f>
        <v>0</v>
      </c>
      <c r="E34" s="17">
        <f>SUMIFS(JB_27BV,JB_B,4,JB_W,"Offshore Patrol Cutter",JB_RC,"ADD")</f>
        <v>0</v>
      </c>
      <c r="F34" s="17">
        <f>SUMIFS(JB_27BV,JB_B,5,JB_W,"Offshore Patrol Cutter",JB_RC,"ADD")</f>
        <v>0</v>
      </c>
      <c r="G34" s="17">
        <f t="shared" si="0"/>
        <v>0</v>
      </c>
      <c r="H34" s="28">
        <f t="shared" si="1"/>
        <v>0</v>
      </c>
    </row>
    <row r="35" spans="1:9" ht="10" customHeight="1" x14ac:dyDescent="0.2">
      <c r="A35" s="16" t="s">
        <v>8188</v>
      </c>
      <c r="B35" s="16" t="s">
        <v>6805</v>
      </c>
      <c r="C35" s="17">
        <f>SUMIFS(JB_27BV,JB_B,2,JB_W,"Fast Response Cutters",JB_RC,"ADD")</f>
        <v>0</v>
      </c>
      <c r="D35" s="17">
        <f>SUMIFS(JB_27BV,JB_B,3,JB_W,"Fast Response Cutters",JB_RC,"ADD")</f>
        <v>0</v>
      </c>
      <c r="E35" s="17">
        <f>SUMIFS(JB_27BV,JB_B,4,JB_W,"Fast Response Cutters",JB_RC,"ADD")</f>
        <v>0</v>
      </c>
      <c r="F35" s="17">
        <f>SUMIFS(JB_27BV,JB_B,5,JB_W,"Fast Response Cutters",JB_RC,"ADD")</f>
        <v>0</v>
      </c>
      <c r="G35" s="17">
        <f t="shared" si="0"/>
        <v>0</v>
      </c>
      <c r="H35" s="28">
        <f t="shared" si="1"/>
        <v>0</v>
      </c>
    </row>
    <row r="36" spans="1:9" ht="10" customHeight="1" x14ac:dyDescent="0.2">
      <c r="A36" s="16" t="s">
        <v>6807</v>
      </c>
      <c r="B36" s="16" t="s">
        <v>6805</v>
      </c>
      <c r="C36" s="17">
        <f>SUMIFS(JB_27BV,JB_B,2,JB_W,"National Security Cutters",JB_RC,"ADD")</f>
        <v>0</v>
      </c>
      <c r="D36" s="17">
        <f>SUMIFS(JB_27BV,JB_B,3,JB_W,"National Security Cutters",JB_RC,"ADD")</f>
        <v>0</v>
      </c>
      <c r="E36" s="17">
        <f>SUMIFS(JB_27BV,JB_B,4,JB_W,"National Security Cutters",JB_RC,"ADD")</f>
        <v>0</v>
      </c>
      <c r="F36" s="17">
        <f>SUMIFS(JB_27BV,JB_B,5,JB_W,"National Security Cutters",JB_RC,"ADD")</f>
        <v>0</v>
      </c>
      <c r="G36" s="17">
        <f t="shared" si="0"/>
        <v>0</v>
      </c>
      <c r="H36" s="28">
        <f t="shared" si="1"/>
        <v>0</v>
      </c>
    </row>
    <row r="37" spans="1:9" ht="10" customHeight="1" x14ac:dyDescent="0.2">
      <c r="A37" s="16" t="s">
        <v>8196</v>
      </c>
      <c r="B37" s="16" t="s">
        <v>6805</v>
      </c>
      <c r="C37" s="17">
        <f>SUMIFS(JB_27BV,JB_B,2,JB_W,"Icebreakers, Oceangoing",JB_RC,"ADD")</f>
        <v>0</v>
      </c>
      <c r="D37" s="17">
        <f>SUMIFS(JB_27BV,JB_B,3,JB_W,"Icebreakers, Oceangoing",JB_RC,"ADD")</f>
        <v>0</v>
      </c>
      <c r="E37" s="17">
        <f>SUMIFS(JB_27BV,JB_B,4,JB_W,"Icebreakers, Oceangoing",JB_RC,"ADD")</f>
        <v>0</v>
      </c>
      <c r="F37" s="17">
        <f>SUMIFS(JB_27BV,JB_B,5,JB_W,"Icebreakers, Oceangoing",JB_RC,"ADD")</f>
        <v>0</v>
      </c>
      <c r="G37" s="17">
        <f t="shared" si="0"/>
        <v>0</v>
      </c>
      <c r="H37" s="28">
        <f t="shared" si="1"/>
        <v>0</v>
      </c>
    </row>
    <row r="38" spans="1:9" ht="10" customHeight="1" x14ac:dyDescent="0.2">
      <c r="A38" s="16" t="s">
        <v>8207</v>
      </c>
      <c r="B38" s="16" t="s">
        <v>6805</v>
      </c>
      <c r="C38" s="17">
        <f>SUMIFS(JB_27BV,JB_B,2,JB_W,"Waterways Commerce Cutters",JB_RC,"ADD")</f>
        <v>0</v>
      </c>
      <c r="D38" s="17">
        <f>SUMIFS(JB_27BV,JB_B,3,JB_W,"Waterways Commerce Cutters",JB_RC,"ADD")</f>
        <v>0</v>
      </c>
      <c r="E38" s="17">
        <f>SUMIFS(JB_27BV,JB_B,4,JB_W,"Waterways Commerce Cutters",JB_RC,"ADD")</f>
        <v>0</v>
      </c>
      <c r="F38" s="17">
        <f>SUMIFS(JB_27BV,JB_B,5,JB_W,"Waterways Commerce Cutters",JB_RC,"ADD")</f>
        <v>0</v>
      </c>
      <c r="G38" s="17">
        <f t="shared" si="0"/>
        <v>0</v>
      </c>
      <c r="H38" s="28">
        <f t="shared" si="1"/>
        <v>0</v>
      </c>
    </row>
    <row r="39" spans="1:9" ht="10" customHeight="1" x14ac:dyDescent="0.2">
      <c r="A39" s="16" t="s">
        <v>8169</v>
      </c>
      <c r="B39" s="16" t="s">
        <v>6805</v>
      </c>
      <c r="C39" s="17">
        <f>SUMIFS(JB_27BV,JB_B,2,JB_W,"Coastal Buoy Tenders",JB_RC,"ADD")</f>
        <v>0</v>
      </c>
      <c r="D39" s="17">
        <f>SUMIFS(JB_27BV,JB_B,3,JB_W,"Coastal Buoy Tenders",JB_RC,"ADD")</f>
        <v>0</v>
      </c>
      <c r="E39" s="17">
        <f>SUMIFS(JB_27BV,JB_B,4,JB_W,"Coastal Buoy Tenders",JB_RC,"ADD")</f>
        <v>0</v>
      </c>
      <c r="F39" s="17">
        <f>SUMIFS(JB_27BV,JB_B,5,JB_W,"Coastal Buoy Tenders",JB_RC,"ADD")</f>
        <v>0</v>
      </c>
      <c r="G39" s="17">
        <f t="shared" si="0"/>
        <v>0</v>
      </c>
      <c r="H39" s="28">
        <f t="shared" si="1"/>
        <v>0</v>
      </c>
    </row>
    <row r="40" spans="1:9" ht="10" customHeight="1" x14ac:dyDescent="0.2">
      <c r="A40" s="23" t="s">
        <v>9048</v>
      </c>
      <c r="B40" s="23"/>
      <c r="C40" s="24">
        <f>SUM(C15:C39)</f>
        <v>0</v>
      </c>
      <c r="D40" s="24">
        <f>SUM(D15:D39)</f>
        <v>0</v>
      </c>
      <c r="E40" s="24">
        <f>SUM(E15:E39)</f>
        <v>6516101</v>
      </c>
      <c r="F40" s="24">
        <f>SUM(F15:F39)</f>
        <v>766</v>
      </c>
      <c r="G40" s="24">
        <f>SUM(G15:G39)</f>
        <v>6516867</v>
      </c>
      <c r="H40" s="29">
        <v>1</v>
      </c>
    </row>
    <row r="41" spans="1:9" ht="10" customHeight="1" x14ac:dyDescent="0.2"/>
    <row r="42" spans="1:9" ht="10" customHeight="1" x14ac:dyDescent="0.2"/>
    <row r="43" spans="1:9" ht="10" customHeight="1" x14ac:dyDescent="0.2">
      <c r="A43" s="6" t="s">
        <v>9087</v>
      </c>
      <c r="B43" s="7"/>
      <c r="C43" s="7"/>
      <c r="D43" s="7"/>
      <c r="E43" s="7"/>
      <c r="F43" s="7"/>
      <c r="G43" s="7"/>
      <c r="H43" s="7"/>
      <c r="I43" s="7"/>
    </row>
    <row r="44" spans="1:9" ht="10" customHeight="1" x14ac:dyDescent="0.2">
      <c r="A44" s="22" t="s">
        <v>9056</v>
      </c>
    </row>
    <row r="45" spans="1:9" ht="10" customHeight="1" x14ac:dyDescent="0.2">
      <c r="A45" s="15" t="s">
        <v>8835</v>
      </c>
      <c r="B45" s="15" t="s">
        <v>20</v>
      </c>
      <c r="C45" s="15" t="s">
        <v>8831</v>
      </c>
      <c r="D45" s="15" t="s">
        <v>9050</v>
      </c>
      <c r="E45" s="15" t="s">
        <v>9051</v>
      </c>
      <c r="F45" s="15" t="s">
        <v>9052</v>
      </c>
      <c r="G45" s="15" t="s">
        <v>9053</v>
      </c>
      <c r="H45" s="15" t="s">
        <v>8840</v>
      </c>
      <c r="I45" s="15" t="s">
        <v>8852</v>
      </c>
    </row>
    <row r="46" spans="1:9" ht="10" customHeight="1" x14ac:dyDescent="0.2">
      <c r="A46" s="16" t="s">
        <v>120</v>
      </c>
      <c r="B46" s="16" t="s">
        <v>119</v>
      </c>
      <c r="C46" s="16" t="s">
        <v>50</v>
      </c>
      <c r="D46" s="17">
        <f>SUMIFS(JB_27BV,JB_B,2,JB_H,"DDG",JB_RC,"ADD")</f>
        <v>0</v>
      </c>
      <c r="E46" s="17">
        <f>SUMIFS(JB_27BV,JB_B,3,JB_H,"DDG",JB_RC,"ADD")</f>
        <v>0</v>
      </c>
      <c r="F46" s="17">
        <f>SUMIFS(JB_27BV,JB_B,4,JB_H,"DDG",JB_RC,"ADD")</f>
        <v>5594466</v>
      </c>
      <c r="G46" s="17">
        <f>SUMIFS(JB_27BV,JB_B,5,JB_H,"DDG",JB_RC,"ADD")</f>
        <v>0</v>
      </c>
      <c r="H46" s="17">
        <f t="shared" ref="H46:H52" si="2">SUM(D46:G46)</f>
        <v>5594466</v>
      </c>
      <c r="I46" s="28">
        <f t="shared" ref="I46:I52" si="3">IFERROR(H46/H$53,0)</f>
        <v>0.85845944070977664</v>
      </c>
    </row>
    <row r="47" spans="1:9" ht="10" customHeight="1" x14ac:dyDescent="0.2">
      <c r="A47" s="16" t="s">
        <v>139</v>
      </c>
      <c r="B47" s="16" t="s">
        <v>119</v>
      </c>
      <c r="C47" s="16" t="s">
        <v>50</v>
      </c>
      <c r="D47" s="17">
        <f>SUMIFS(JB_27BV,JB_B,2,JB_H,"LCS",JB_RC,"ADD")</f>
        <v>0</v>
      </c>
      <c r="E47" s="17">
        <f>SUMIFS(JB_27BV,JB_B,3,JB_H,"LCS",JB_RC,"ADD")</f>
        <v>0</v>
      </c>
      <c r="F47" s="17">
        <f>SUMIFS(JB_27BV,JB_B,4,JB_H,"LCS",JB_RC,"ADD")</f>
        <v>504167</v>
      </c>
      <c r="G47" s="17">
        <f>SUMIFS(JB_27BV,JB_B,5,JB_H,"LCS",JB_RC,"ADD")</f>
        <v>0</v>
      </c>
      <c r="H47" s="17">
        <f t="shared" si="2"/>
        <v>504167</v>
      </c>
      <c r="I47" s="28">
        <f t="shared" si="3"/>
        <v>7.7363401769592652E-2</v>
      </c>
    </row>
    <row r="48" spans="1:9" ht="10" customHeight="1" x14ac:dyDescent="0.2">
      <c r="A48" s="16" t="s">
        <v>150</v>
      </c>
      <c r="B48" s="16" t="s">
        <v>149</v>
      </c>
      <c r="C48" s="16" t="s">
        <v>50</v>
      </c>
      <c r="D48" s="17">
        <f>SUMIFS(JB_27BV,JB_B,2,JB_H,"LPD",JB_RC,"ADD")</f>
        <v>0</v>
      </c>
      <c r="E48" s="17">
        <f>SUMIFS(JB_27BV,JB_B,3,JB_H,"LPD",JB_RC,"ADD")</f>
        <v>0</v>
      </c>
      <c r="F48" s="17">
        <f>SUMIFS(JB_27BV,JB_B,4,JB_H,"LPD",JB_RC,"ADD")</f>
        <v>213723</v>
      </c>
      <c r="G48" s="17">
        <f>SUMIFS(JB_27BV,JB_B,5,JB_H,"LPD",JB_RC,"ADD")</f>
        <v>0</v>
      </c>
      <c r="H48" s="17">
        <f t="shared" si="2"/>
        <v>213723</v>
      </c>
      <c r="I48" s="28">
        <f t="shared" si="3"/>
        <v>3.2795360101717588E-2</v>
      </c>
    </row>
    <row r="49" spans="1:9" ht="10" customHeight="1" x14ac:dyDescent="0.2">
      <c r="A49" s="16" t="s">
        <v>4906</v>
      </c>
      <c r="B49" s="16" t="s">
        <v>149</v>
      </c>
      <c r="C49" s="16" t="s">
        <v>50</v>
      </c>
      <c r="D49" s="17">
        <f>SUMIFS(JB_27BV,JB_B,2,JB_H,"LHD",JB_RC,"ADD")</f>
        <v>0</v>
      </c>
      <c r="E49" s="17">
        <f>SUMIFS(JB_27BV,JB_B,3,JB_H,"LHD",JB_RC,"ADD")</f>
        <v>0</v>
      </c>
      <c r="F49" s="17">
        <f>SUMIFS(JB_27BV,JB_B,4,JB_H,"LHD",JB_RC,"ADD")</f>
        <v>131315</v>
      </c>
      <c r="G49" s="17">
        <f>SUMIFS(JB_27BV,JB_B,5,JB_H,"LHD",JB_RC,"ADD")</f>
        <v>0</v>
      </c>
      <c r="H49" s="17">
        <f t="shared" si="2"/>
        <v>131315</v>
      </c>
      <c r="I49" s="28">
        <f t="shared" si="3"/>
        <v>2.0150019940563466E-2</v>
      </c>
    </row>
    <row r="50" spans="1:9" ht="10" customHeight="1" x14ac:dyDescent="0.2">
      <c r="A50" s="16" t="s">
        <v>215</v>
      </c>
      <c r="B50" s="16" t="s">
        <v>214</v>
      </c>
      <c r="C50" s="16" t="s">
        <v>190</v>
      </c>
      <c r="D50" s="17">
        <f>SUMIFS(JB_27BV,JB_B,2,JB_H,"T-AGOS",JB_RC,"ADD")</f>
        <v>0</v>
      </c>
      <c r="E50" s="17">
        <f>SUMIFS(JB_27BV,JB_B,3,JB_H,"T-AGOS",JB_RC,"ADD")</f>
        <v>0</v>
      </c>
      <c r="F50" s="17">
        <f>SUMIFS(JB_27BV,JB_B,4,JB_H,"T-AGOS",JB_RC,"ADD")</f>
        <v>72190</v>
      </c>
      <c r="G50" s="17">
        <f>SUMIFS(JB_27BV,JB_B,5,JB_H,"T-AGOS",JB_RC,"ADD")</f>
        <v>0</v>
      </c>
      <c r="H50" s="17">
        <f t="shared" si="2"/>
        <v>72190</v>
      </c>
      <c r="I50" s="28">
        <f t="shared" si="3"/>
        <v>1.1077408822368172E-2</v>
      </c>
    </row>
    <row r="51" spans="1:9" ht="10" customHeight="1" x14ac:dyDescent="0.2">
      <c r="A51" s="16" t="s">
        <v>4857</v>
      </c>
      <c r="B51" s="16" t="s">
        <v>4856</v>
      </c>
      <c r="C51" s="16" t="s">
        <v>50</v>
      </c>
      <c r="D51" s="17">
        <f>SUMIFS(JB_27BV,JB_B,2,JB_H,"LCC",JB_RC,"ADD")</f>
        <v>0</v>
      </c>
      <c r="E51" s="17">
        <f>SUMIFS(JB_27BV,JB_B,3,JB_H,"LCC",JB_RC,"ADD")</f>
        <v>0</v>
      </c>
      <c r="F51" s="17">
        <f>SUMIFS(JB_27BV,JB_B,4,JB_H,"LCC",JB_RC,"ADD")</f>
        <v>0</v>
      </c>
      <c r="G51" s="17">
        <f>SUMIFS(JB_27BV,JB_B,5,JB_H,"LCC",JB_RC,"ADD")</f>
        <v>766</v>
      </c>
      <c r="H51" s="17">
        <f t="shared" si="2"/>
        <v>766</v>
      </c>
      <c r="I51" s="28">
        <f t="shared" si="3"/>
        <v>1.1754114362008615E-4</v>
      </c>
    </row>
    <row r="52" spans="1:9" ht="10" customHeight="1" x14ac:dyDescent="0.2">
      <c r="A52" s="16" t="s">
        <v>4900</v>
      </c>
      <c r="B52" s="16" t="s">
        <v>149</v>
      </c>
      <c r="C52" s="16" t="s">
        <v>50</v>
      </c>
      <c r="D52" s="17">
        <f>SUMIFS(JB_27BV,JB_B,2,JB_H,"LSD",JB_RC,"ADD")</f>
        <v>0</v>
      </c>
      <c r="E52" s="17">
        <f>SUMIFS(JB_27BV,JB_B,3,JB_H,"LSD",JB_RC,"ADD")</f>
        <v>0</v>
      </c>
      <c r="F52" s="17">
        <f>SUMIFS(JB_27BV,JB_B,4,JB_H,"LSD",JB_RC,"ADD")</f>
        <v>240</v>
      </c>
      <c r="G52" s="17">
        <f>SUMIFS(JB_27BV,JB_B,5,JB_H,"LSD",JB_RC,"ADD")</f>
        <v>0</v>
      </c>
      <c r="H52" s="17">
        <f t="shared" si="2"/>
        <v>240</v>
      </c>
      <c r="I52" s="28">
        <f t="shared" si="3"/>
        <v>3.6827512361384695E-5</v>
      </c>
    </row>
    <row r="53" spans="1:9" ht="10" customHeight="1" x14ac:dyDescent="0.2">
      <c r="A53" s="23" t="s">
        <v>9057</v>
      </c>
      <c r="B53" s="23"/>
      <c r="C53" s="23"/>
      <c r="D53" s="24">
        <f>SUM(D46:D52)</f>
        <v>0</v>
      </c>
      <c r="E53" s="24">
        <f>SUM(E46:E52)</f>
        <v>0</v>
      </c>
      <c r="F53" s="24">
        <f>SUM(F46:F52)</f>
        <v>6516101</v>
      </c>
      <c r="G53" s="24">
        <f>SUM(G46:G52)</f>
        <v>766</v>
      </c>
      <c r="H53" s="24">
        <f>SUM(H46:H52)</f>
        <v>6516867</v>
      </c>
      <c r="I53" s="29">
        <v>1</v>
      </c>
    </row>
    <row r="54" spans="1:9" ht="10" customHeight="1" x14ac:dyDescent="0.2"/>
    <row r="55" spans="1:9" ht="10" customHeight="1" x14ac:dyDescent="0.2"/>
    <row r="56" spans="1:9" ht="10" customHeight="1" x14ac:dyDescent="0.2">
      <c r="A56" s="6" t="s">
        <v>9071</v>
      </c>
      <c r="B56" s="7"/>
      <c r="C56" s="7"/>
      <c r="D56" s="7"/>
      <c r="E56" s="7"/>
      <c r="F56" s="7"/>
      <c r="G56" s="7"/>
      <c r="H56" s="7"/>
      <c r="I56" s="7"/>
    </row>
    <row r="57" spans="1:9" ht="10" customHeight="1" x14ac:dyDescent="0.2">
      <c r="A57" s="30"/>
      <c r="B57" s="31" t="s">
        <v>50</v>
      </c>
      <c r="C57" s="30"/>
      <c r="D57" s="30"/>
      <c r="E57" s="30"/>
      <c r="F57" s="30"/>
      <c r="G57" s="30"/>
      <c r="H57" s="30"/>
      <c r="I57" s="32"/>
    </row>
    <row r="58" spans="1:9" ht="10" customHeight="1" x14ac:dyDescent="0.2">
      <c r="A58" s="15" t="s">
        <v>8799</v>
      </c>
      <c r="B58" s="18" t="s">
        <v>120</v>
      </c>
      <c r="C58" s="15" t="s">
        <v>139</v>
      </c>
      <c r="D58" s="15" t="s">
        <v>150</v>
      </c>
      <c r="E58" s="15" t="s">
        <v>4906</v>
      </c>
      <c r="F58" s="15" t="s">
        <v>215</v>
      </c>
      <c r="G58" s="15" t="s">
        <v>4857</v>
      </c>
      <c r="H58" s="15" t="s">
        <v>4900</v>
      </c>
      <c r="I58" s="18" t="s">
        <v>8808</v>
      </c>
    </row>
    <row r="59" spans="1:9" ht="10" customHeight="1" x14ac:dyDescent="0.2">
      <c r="A59" s="16" t="s">
        <v>4328</v>
      </c>
      <c r="B59" s="33">
        <f>IFERROR((SUMIFS(JB_27BV,JB_B,2,JB_H,"DDG",JB_RC,"ADD"))/B$63,0)</f>
        <v>0</v>
      </c>
      <c r="C59" s="28">
        <f>IFERROR((SUMIFS(JB_27BV,JB_B,2,JB_H,"LCS",JB_RC,"ADD"))/C$63,0)</f>
        <v>0</v>
      </c>
      <c r="D59" s="28">
        <f>IFERROR((SUMIFS(JB_27BV,JB_B,2,JB_H,"LPD",JB_RC,"ADD"))/D$63,0)</f>
        <v>0</v>
      </c>
      <c r="E59" s="28">
        <f>IFERROR((SUMIFS(JB_27BV,JB_B,2,JB_H,"LHD",JB_RC,"ADD"))/E$63,0)</f>
        <v>0</v>
      </c>
      <c r="F59" s="28">
        <f>IFERROR((SUMIFS(JB_27BV,JB_B,2,JB_H,"T-AGOS",JB_RC,"ADD"))/F$63,0)</f>
        <v>0</v>
      </c>
      <c r="G59" s="28">
        <f>IFERROR((SUMIFS(JB_27BV,JB_B,2,JB_H,"LCC",JB_RC,"ADD"))/G$63,0)</f>
        <v>0</v>
      </c>
      <c r="H59" s="28">
        <f>IFERROR((SUMIFS(JB_27BV,JB_B,2,JB_H,"LSD",JB_RC,"ADD"))/H$63,0)</f>
        <v>0</v>
      </c>
      <c r="I59" s="33">
        <f>IFERROR((SUMIFS(JB_27BV,JB_B,2,JB_H,"DDG",JB_RC,"ADD")+SUMIFS(JB_27BV,JB_B,2,JB_H,"LCS",JB_RC,"ADD")+SUMIFS(JB_27BV,JB_B,2,JB_H,"LPD",JB_RC,"ADD")+SUMIFS(JB_27BV,JB_B,2,JB_H,"LHD",JB_RC,"ADD")+SUMIFS(JB_27BV,JB_B,2,JB_H,"T-AGOS",JB_RC,"ADD")+SUMIFS(JB_27BV,JB_B,2,JB_H,"LCC",JB_RC,"ADD")+SUMIFS(JB_27BV,JB_B,2,JB_H,"LSD",JB_RC,"ADD"))/I$63,0)</f>
        <v>0</v>
      </c>
    </row>
    <row r="60" spans="1:9" ht="10" customHeight="1" x14ac:dyDescent="0.2">
      <c r="A60" s="16" t="s">
        <v>9038</v>
      </c>
      <c r="B60" s="33">
        <f>IFERROR((SUMIFS(JB_27BV,JB_B,3,JB_H,"DDG",JB_RC,"ADD"))/B$63,0)</f>
        <v>0</v>
      </c>
      <c r="C60" s="28">
        <f>IFERROR((SUMIFS(JB_27BV,JB_B,3,JB_H,"LCS",JB_RC,"ADD"))/C$63,0)</f>
        <v>0</v>
      </c>
      <c r="D60" s="28">
        <f>IFERROR((SUMIFS(JB_27BV,JB_B,3,JB_H,"LPD",JB_RC,"ADD"))/D$63,0)</f>
        <v>0</v>
      </c>
      <c r="E60" s="28">
        <f>IFERROR((SUMIFS(JB_27BV,JB_B,3,JB_H,"LHD",JB_RC,"ADD"))/E$63,0)</f>
        <v>0</v>
      </c>
      <c r="F60" s="28">
        <f>IFERROR((SUMIFS(JB_27BV,JB_B,3,JB_H,"T-AGOS",JB_RC,"ADD"))/F$63,0)</f>
        <v>0</v>
      </c>
      <c r="G60" s="28">
        <f>IFERROR((SUMIFS(JB_27BV,JB_B,3,JB_H,"LCC",JB_RC,"ADD"))/G$63,0)</f>
        <v>0</v>
      </c>
      <c r="H60" s="28">
        <f>IFERROR((SUMIFS(JB_27BV,JB_B,3,JB_H,"LSD",JB_RC,"ADD"))/H$63,0)</f>
        <v>0</v>
      </c>
      <c r="I60" s="33">
        <f>IFERROR((SUMIFS(JB_27BV,JB_B,3,JB_H,"DDG",JB_RC,"ADD")+SUMIFS(JB_27BV,JB_B,3,JB_H,"LCS",JB_RC,"ADD")+SUMIFS(JB_27BV,JB_B,3,JB_H,"LPD",JB_RC,"ADD")+SUMIFS(JB_27BV,JB_B,3,JB_H,"LHD",JB_RC,"ADD")+SUMIFS(JB_27BV,JB_B,3,JB_H,"T-AGOS",JB_RC,"ADD")+SUMIFS(JB_27BV,JB_B,3,JB_H,"LCC",JB_RC,"ADD")+SUMIFS(JB_27BV,JB_B,3,JB_H,"LSD",JB_RC,"ADD"))/I$63,0)</f>
        <v>0</v>
      </c>
    </row>
    <row r="61" spans="1:9" ht="10" customHeight="1" x14ac:dyDescent="0.2">
      <c r="A61" s="16" t="s">
        <v>9039</v>
      </c>
      <c r="B61" s="33">
        <f>IFERROR((SUMIFS(JB_27BV,JB_B,4,JB_H,"DDG",JB_RC,"ADD"))/B$63,0)</f>
        <v>1</v>
      </c>
      <c r="C61" s="28">
        <f>IFERROR((SUMIFS(JB_27BV,JB_B,4,JB_H,"LCS",JB_RC,"ADD"))/C$63,0)</f>
        <v>1</v>
      </c>
      <c r="D61" s="28">
        <f>IFERROR((SUMIFS(JB_27BV,JB_B,4,JB_H,"LPD",JB_RC,"ADD"))/D$63,0)</f>
        <v>1</v>
      </c>
      <c r="E61" s="28">
        <f>IFERROR((SUMIFS(JB_27BV,JB_B,4,JB_H,"LHD",JB_RC,"ADD"))/E$63,0)</f>
        <v>1</v>
      </c>
      <c r="F61" s="28">
        <f>IFERROR((SUMIFS(JB_27BV,JB_B,4,JB_H,"T-AGOS",JB_RC,"ADD"))/F$63,0)</f>
        <v>1</v>
      </c>
      <c r="G61" s="28">
        <f>IFERROR((SUMIFS(JB_27BV,JB_B,4,JB_H,"LCC",JB_RC,"ADD"))/G$63,0)</f>
        <v>0</v>
      </c>
      <c r="H61" s="28">
        <f>IFERROR((SUMIFS(JB_27BV,JB_B,4,JB_H,"LSD",JB_RC,"ADD"))/H$63,0)</f>
        <v>1</v>
      </c>
      <c r="I61" s="33">
        <f>IFERROR((SUMIFS(JB_27BV,JB_B,4,JB_H,"DDG",JB_RC,"ADD")+SUMIFS(JB_27BV,JB_B,4,JB_H,"LCS",JB_RC,"ADD")+SUMIFS(JB_27BV,JB_B,4,JB_H,"LPD",JB_RC,"ADD")+SUMIFS(JB_27BV,JB_B,4,JB_H,"LHD",JB_RC,"ADD")+SUMIFS(JB_27BV,JB_B,4,JB_H,"T-AGOS",JB_RC,"ADD")+SUMIFS(JB_27BV,JB_B,4,JB_H,"LCC",JB_RC,"ADD")+SUMIFS(JB_27BV,JB_B,4,JB_H,"LSD",JB_RC,"ADD"))/I$63,0)</f>
        <v>0.99988245885637994</v>
      </c>
    </row>
    <row r="62" spans="1:9" ht="10" customHeight="1" x14ac:dyDescent="0.2">
      <c r="A62" s="16" t="s">
        <v>9040</v>
      </c>
      <c r="B62" s="33">
        <f>IFERROR((SUMIFS(JB_27BV,JB_B,5,JB_H,"DDG",JB_RC,"ADD"))/B$63,0)</f>
        <v>0</v>
      </c>
      <c r="C62" s="28">
        <f>IFERROR((SUMIFS(JB_27BV,JB_B,5,JB_H,"LCS",JB_RC,"ADD"))/C$63,0)</f>
        <v>0</v>
      </c>
      <c r="D62" s="28">
        <f>IFERROR((SUMIFS(JB_27BV,JB_B,5,JB_H,"LPD",JB_RC,"ADD"))/D$63,0)</f>
        <v>0</v>
      </c>
      <c r="E62" s="28">
        <f>IFERROR((SUMIFS(JB_27BV,JB_B,5,JB_H,"LHD",JB_RC,"ADD"))/E$63,0)</f>
        <v>0</v>
      </c>
      <c r="F62" s="28">
        <f>IFERROR((SUMIFS(JB_27BV,JB_B,5,JB_H,"T-AGOS",JB_RC,"ADD"))/F$63,0)</f>
        <v>0</v>
      </c>
      <c r="G62" s="28">
        <f>IFERROR((SUMIFS(JB_27BV,JB_B,5,JB_H,"LCC",JB_RC,"ADD"))/G$63,0)</f>
        <v>1</v>
      </c>
      <c r="H62" s="28">
        <f>IFERROR((SUMIFS(JB_27BV,JB_B,5,JB_H,"LSD",JB_RC,"ADD"))/H$63,0)</f>
        <v>0</v>
      </c>
      <c r="I62" s="33">
        <f>IFERROR((SUMIFS(JB_27BV,JB_B,5,JB_H,"DDG",JB_RC,"ADD")+SUMIFS(JB_27BV,JB_B,5,JB_H,"LCS",JB_RC,"ADD")+SUMIFS(JB_27BV,JB_B,5,JB_H,"LPD",JB_RC,"ADD")+SUMIFS(JB_27BV,JB_B,5,JB_H,"LHD",JB_RC,"ADD")+SUMIFS(JB_27BV,JB_B,5,JB_H,"T-AGOS",JB_RC,"ADD")+SUMIFS(JB_27BV,JB_B,5,JB_H,"LCC",JB_RC,"ADD")+SUMIFS(JB_27BV,JB_B,5,JB_H,"LSD",JB_RC,"ADD"))/I$63,0)</f>
        <v>1.1754114362008615E-4</v>
      </c>
    </row>
    <row r="63" spans="1:9" ht="10" customHeight="1" x14ac:dyDescent="0.2">
      <c r="A63" s="23" t="s">
        <v>8840</v>
      </c>
      <c r="B63" s="34">
        <f>SUMIFS(JB_27BV,JB_B,2,JB_H,"DDG",JB_RC,"ADD")+SUMIFS(JB_27BV,JB_B,3,JB_H,"DDG",JB_RC,"ADD")+SUMIFS(JB_27BV,JB_B,4,JB_H,"DDG",JB_RC,"ADD")+SUMIFS(JB_27BV,JB_B,5,JB_H,"DDG",JB_RC,"ADD")</f>
        <v>5594466</v>
      </c>
      <c r="C63" s="24">
        <f>SUMIFS(JB_27BV,JB_B,2,JB_H,"LCS",JB_RC,"ADD")+SUMIFS(JB_27BV,JB_B,3,JB_H,"LCS",JB_RC,"ADD")+SUMIFS(JB_27BV,JB_B,4,JB_H,"LCS",JB_RC,"ADD")+SUMIFS(JB_27BV,JB_B,5,JB_H,"LCS",JB_RC,"ADD")</f>
        <v>504167</v>
      </c>
      <c r="D63" s="24">
        <f>SUMIFS(JB_27BV,JB_B,2,JB_H,"LPD",JB_RC,"ADD")+SUMIFS(JB_27BV,JB_B,3,JB_H,"LPD",JB_RC,"ADD")+SUMIFS(JB_27BV,JB_B,4,JB_H,"LPD",JB_RC,"ADD")+SUMIFS(JB_27BV,JB_B,5,JB_H,"LPD",JB_RC,"ADD")</f>
        <v>213723</v>
      </c>
      <c r="E63" s="24">
        <f>SUMIFS(JB_27BV,JB_B,2,JB_H,"LHD",JB_RC,"ADD")+SUMIFS(JB_27BV,JB_B,3,JB_H,"LHD",JB_RC,"ADD")+SUMIFS(JB_27BV,JB_B,4,JB_H,"LHD",JB_RC,"ADD")+SUMIFS(JB_27BV,JB_B,5,JB_H,"LHD",JB_RC,"ADD")</f>
        <v>131315</v>
      </c>
      <c r="F63" s="24">
        <f>SUMIFS(JB_27BV,JB_B,2,JB_H,"T-AGOS",JB_RC,"ADD")+SUMIFS(JB_27BV,JB_B,3,JB_H,"T-AGOS",JB_RC,"ADD")+SUMIFS(JB_27BV,JB_B,4,JB_H,"T-AGOS",JB_RC,"ADD")+SUMIFS(JB_27BV,JB_B,5,JB_H,"T-AGOS",JB_RC,"ADD")</f>
        <v>72190</v>
      </c>
      <c r="G63" s="24">
        <f>SUMIFS(JB_27BV,JB_B,2,JB_H,"LCC",JB_RC,"ADD")+SUMIFS(JB_27BV,JB_B,3,JB_H,"LCC",JB_RC,"ADD")+SUMIFS(JB_27BV,JB_B,4,JB_H,"LCC",JB_RC,"ADD")+SUMIFS(JB_27BV,JB_B,5,JB_H,"LCC",JB_RC,"ADD")</f>
        <v>766</v>
      </c>
      <c r="H63" s="24">
        <f>SUMIFS(JB_27BV,JB_B,2,JB_H,"LSD",JB_RC,"ADD")+SUMIFS(JB_27BV,JB_B,3,JB_H,"LSD",JB_RC,"ADD")+SUMIFS(JB_27BV,JB_B,4,JB_H,"LSD",JB_RC,"ADD")+SUMIFS(JB_27BV,JB_B,5,JB_H,"LSD",JB_RC,"ADD")</f>
        <v>240</v>
      </c>
      <c r="I63" s="34">
        <f>SUM(B63:H63)</f>
        <v>6516867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9088</v>
      </c>
      <c r="B1" s="21"/>
      <c r="C1" s="21"/>
      <c r="D1" s="21"/>
      <c r="E1" s="21"/>
    </row>
    <row r="2" spans="1:5" ht="10" customHeight="1" x14ac:dyDescent="0.2">
      <c r="A2" s="22" t="s">
        <v>9089</v>
      </c>
    </row>
    <row r="3" spans="1:5" ht="10" customHeight="1" x14ac:dyDescent="0.2"/>
    <row r="4" spans="1:5" ht="10" customHeight="1" x14ac:dyDescent="0.2">
      <c r="A4" s="6" t="s">
        <v>9090</v>
      </c>
      <c r="B4" s="7"/>
      <c r="C4" s="7"/>
      <c r="D4" s="7"/>
    </row>
    <row r="5" spans="1:5" ht="10" customHeight="1" x14ac:dyDescent="0.2">
      <c r="A5" s="15" t="s">
        <v>9091</v>
      </c>
      <c r="B5" s="15" t="s">
        <v>9092</v>
      </c>
      <c r="C5" s="15" t="s">
        <v>9093</v>
      </c>
      <c r="D5" s="15" t="s">
        <v>9094</v>
      </c>
    </row>
    <row r="6" spans="1:5" ht="10" customHeight="1" x14ac:dyDescent="0.2">
      <c r="A6" s="16" t="s">
        <v>9095</v>
      </c>
      <c r="B6" s="22" t="s">
        <v>9096</v>
      </c>
      <c r="C6" s="13">
        <v>22000000</v>
      </c>
      <c r="D6" s="22" t="s">
        <v>9097</v>
      </c>
    </row>
    <row r="7" spans="1:5" ht="10" customHeight="1" x14ac:dyDescent="0.2">
      <c r="A7" s="16" t="s">
        <v>9098</v>
      </c>
      <c r="B7" s="22" t="s">
        <v>9099</v>
      </c>
      <c r="C7" s="13">
        <v>13700000</v>
      </c>
      <c r="D7" s="22" t="s">
        <v>9100</v>
      </c>
    </row>
    <row r="8" spans="1:5" ht="10" customHeight="1" x14ac:dyDescent="0.2">
      <c r="A8" s="16" t="s">
        <v>9101</v>
      </c>
      <c r="B8" s="22" t="s">
        <v>9102</v>
      </c>
      <c r="C8" s="13">
        <v>8800000</v>
      </c>
      <c r="D8" s="22" t="s">
        <v>9103</v>
      </c>
    </row>
    <row r="9" spans="1:5" ht="10" customHeight="1" x14ac:dyDescent="0.2">
      <c r="A9" s="16" t="s">
        <v>9104</v>
      </c>
      <c r="B9" s="22" t="s">
        <v>9105</v>
      </c>
      <c r="C9" s="13">
        <v>5000000</v>
      </c>
      <c r="D9" s="22" t="s">
        <v>9106</v>
      </c>
    </row>
    <row r="10" spans="1:5" ht="10" customHeight="1" x14ac:dyDescent="0.2">
      <c r="A10" s="16" t="s">
        <v>9107</v>
      </c>
      <c r="B10" s="22" t="s">
        <v>9108</v>
      </c>
      <c r="C10" s="13">
        <v>1500000</v>
      </c>
      <c r="D10" s="22" t="s">
        <v>9109</v>
      </c>
    </row>
    <row r="11" spans="1:5" ht="10" customHeight="1" x14ac:dyDescent="0.2">
      <c r="A11" s="16" t="s">
        <v>9110</v>
      </c>
      <c r="B11" s="22" t="s">
        <v>9111</v>
      </c>
      <c r="C11" s="13">
        <v>700000</v>
      </c>
      <c r="D11" s="22" t="s">
        <v>9112</v>
      </c>
    </row>
    <row r="12" spans="1:5" ht="10" customHeight="1" x14ac:dyDescent="0.2">
      <c r="A12" s="16" t="s">
        <v>9113</v>
      </c>
      <c r="B12" s="22" t="s">
        <v>9102</v>
      </c>
      <c r="C12" s="13">
        <v>600000</v>
      </c>
      <c r="D12" s="22" t="s">
        <v>9114</v>
      </c>
    </row>
    <row r="13" spans="1:5" ht="10" customHeight="1" x14ac:dyDescent="0.2">
      <c r="A13" s="16" t="s">
        <v>9115</v>
      </c>
      <c r="B13" s="22" t="s">
        <v>9111</v>
      </c>
      <c r="C13" s="13">
        <v>500000</v>
      </c>
      <c r="D13" s="22" t="s">
        <v>9116</v>
      </c>
    </row>
    <row r="14" spans="1:5" ht="10" customHeight="1" x14ac:dyDescent="0.2">
      <c r="A14" s="16" t="s">
        <v>9117</v>
      </c>
      <c r="B14" s="22" t="s">
        <v>9118</v>
      </c>
      <c r="C14" s="13">
        <v>487000</v>
      </c>
      <c r="D14" s="22" t="s">
        <v>9119</v>
      </c>
    </row>
    <row r="15" spans="1:5" ht="10" customHeight="1" x14ac:dyDescent="0.2">
      <c r="A15" s="16" t="s">
        <v>9120</v>
      </c>
      <c r="B15" s="22" t="s">
        <v>9111</v>
      </c>
      <c r="C15" s="13">
        <v>300000</v>
      </c>
      <c r="D15" s="22" t="s">
        <v>9121</v>
      </c>
    </row>
    <row r="16" spans="1:5" ht="10" customHeight="1" x14ac:dyDescent="0.2">
      <c r="A16" s="16" t="s">
        <v>9122</v>
      </c>
      <c r="B16" s="22" t="s">
        <v>9111</v>
      </c>
      <c r="C16" s="13">
        <v>300000</v>
      </c>
      <c r="D16" s="22" t="s">
        <v>9123</v>
      </c>
    </row>
    <row r="17" spans="1:5" ht="10" customHeight="1" x14ac:dyDescent="0.2">
      <c r="A17" s="16" t="s">
        <v>9124</v>
      </c>
      <c r="B17" s="22" t="s">
        <v>9125</v>
      </c>
      <c r="C17" s="13">
        <v>242000</v>
      </c>
      <c r="D17" s="22" t="s">
        <v>9126</v>
      </c>
    </row>
    <row r="18" spans="1:5" ht="10" customHeight="1" x14ac:dyDescent="0.2">
      <c r="A18" s="16" t="s">
        <v>9127</v>
      </c>
      <c r="B18" s="22" t="s">
        <v>9111</v>
      </c>
      <c r="C18" s="13">
        <v>235000</v>
      </c>
      <c r="D18" s="22" t="s">
        <v>9128</v>
      </c>
    </row>
    <row r="19" spans="1:5" ht="10" customHeight="1" x14ac:dyDescent="0.2">
      <c r="A19" s="16" t="s">
        <v>9129</v>
      </c>
      <c r="B19" s="22" t="s">
        <v>9102</v>
      </c>
      <c r="C19" s="13">
        <v>210000</v>
      </c>
      <c r="D19" s="22" t="s">
        <v>9130</v>
      </c>
    </row>
    <row r="20" spans="1:5" ht="10" customHeight="1" x14ac:dyDescent="0.2">
      <c r="A20" s="16" t="s">
        <v>9131</v>
      </c>
      <c r="B20" s="22" t="s">
        <v>9131</v>
      </c>
      <c r="C20" s="13">
        <v>200000</v>
      </c>
      <c r="D20" s="22" t="s">
        <v>9132</v>
      </c>
    </row>
    <row r="21" spans="1:5" ht="10" customHeight="1" x14ac:dyDescent="0.2">
      <c r="A21" s="16" t="s">
        <v>9133</v>
      </c>
      <c r="B21" s="22" t="s">
        <v>9111</v>
      </c>
      <c r="C21" s="13">
        <v>200000</v>
      </c>
      <c r="D21" s="22" t="s">
        <v>9134</v>
      </c>
    </row>
    <row r="22" spans="1:5" ht="10" customHeight="1" x14ac:dyDescent="0.2">
      <c r="A22" s="16" t="s">
        <v>9135</v>
      </c>
      <c r="B22" s="22" t="s">
        <v>9136</v>
      </c>
      <c r="C22" s="13">
        <v>116000</v>
      </c>
      <c r="D22" s="22" t="s">
        <v>9137</v>
      </c>
    </row>
    <row r="23" spans="1:5" ht="10" customHeight="1" x14ac:dyDescent="0.2">
      <c r="A23" s="16" t="s">
        <v>9138</v>
      </c>
      <c r="B23" s="22" t="s">
        <v>9139</v>
      </c>
      <c r="C23" s="13">
        <v>68000</v>
      </c>
      <c r="D23" s="22" t="s">
        <v>9140</v>
      </c>
    </row>
    <row r="24" spans="1:5" ht="10" customHeight="1" x14ac:dyDescent="0.2">
      <c r="A24" s="16" t="s">
        <v>9141</v>
      </c>
      <c r="B24" s="22" t="s">
        <v>9142</v>
      </c>
      <c r="C24" s="13">
        <v>60000</v>
      </c>
      <c r="D24" s="22" t="s">
        <v>9143</v>
      </c>
    </row>
    <row r="25" spans="1:5" ht="10" customHeight="1" x14ac:dyDescent="0.2">
      <c r="A25" s="23" t="s">
        <v>9144</v>
      </c>
      <c r="B25" s="25"/>
      <c r="C25" s="24">
        <f>SUM(C6:C24)</f>
        <v>55218000</v>
      </c>
      <c r="D25" s="25"/>
    </row>
    <row r="26" spans="1:5" ht="10" customHeight="1" x14ac:dyDescent="0.2"/>
    <row r="27" spans="1:5" ht="10" customHeight="1" x14ac:dyDescent="0.2"/>
    <row r="28" spans="1:5" ht="10" customHeight="1" x14ac:dyDescent="0.2">
      <c r="A28" s="6" t="s">
        <v>9145</v>
      </c>
      <c r="B28" s="7"/>
      <c r="C28" s="7"/>
      <c r="D28" s="7"/>
      <c r="E28" s="7"/>
    </row>
    <row r="29" spans="1:5" ht="10" customHeight="1" x14ac:dyDescent="0.2">
      <c r="A29" s="15" t="s">
        <v>9146</v>
      </c>
      <c r="B29" s="15" t="s">
        <v>9147</v>
      </c>
      <c r="C29" s="15" t="s">
        <v>9148</v>
      </c>
      <c r="D29" s="15" t="s">
        <v>9149</v>
      </c>
      <c r="E29" s="15" t="s">
        <v>9150</v>
      </c>
    </row>
    <row r="30" spans="1:5" ht="10" customHeight="1" x14ac:dyDescent="0.2">
      <c r="A30" s="16" t="s">
        <v>9151</v>
      </c>
      <c r="B30" s="13">
        <v>2487000</v>
      </c>
      <c r="C30" s="13">
        <v>2</v>
      </c>
      <c r="D30" s="13">
        <v>1</v>
      </c>
      <c r="E30" s="22" t="s">
        <v>9152</v>
      </c>
    </row>
    <row r="31" spans="1:5" ht="10" customHeight="1" x14ac:dyDescent="0.2">
      <c r="A31" s="16" t="s">
        <v>9153</v>
      </c>
      <c r="B31" s="13">
        <v>516000</v>
      </c>
      <c r="C31" s="13">
        <v>22</v>
      </c>
      <c r="D31" s="13">
        <v>20</v>
      </c>
      <c r="E31" s="22" t="s">
        <v>9154</v>
      </c>
    </row>
    <row r="32" spans="1:5" ht="10" customHeight="1" x14ac:dyDescent="0.2">
      <c r="A32" s="16" t="s">
        <v>9155</v>
      </c>
      <c r="B32" s="13">
        <v>432000</v>
      </c>
      <c r="C32" s="13">
        <v>23</v>
      </c>
      <c r="D32" s="13">
        <v>14</v>
      </c>
      <c r="E32" s="22" t="s">
        <v>9156</v>
      </c>
    </row>
    <row r="33" spans="1:5" ht="10" customHeight="1" x14ac:dyDescent="0.2">
      <c r="A33" s="16" t="s">
        <v>9157</v>
      </c>
      <c r="B33" s="13">
        <v>378000</v>
      </c>
      <c r="C33" s="13">
        <v>4</v>
      </c>
      <c r="D33" s="13">
        <v>4</v>
      </c>
      <c r="E33" s="22" t="s">
        <v>9158</v>
      </c>
    </row>
    <row r="34" spans="1:5" ht="10" customHeight="1" x14ac:dyDescent="0.2">
      <c r="A34" s="16" t="s">
        <v>9159</v>
      </c>
      <c r="B34" s="13">
        <v>313000</v>
      </c>
      <c r="C34" s="13">
        <v>25</v>
      </c>
      <c r="D34" s="13">
        <v>25</v>
      </c>
      <c r="E34" s="22" t="s">
        <v>9160</v>
      </c>
    </row>
    <row r="35" spans="1:5" ht="10" customHeight="1" x14ac:dyDescent="0.2">
      <c r="A35" s="16" t="s">
        <v>9161</v>
      </c>
      <c r="B35" s="13">
        <v>217000</v>
      </c>
      <c r="C35" s="13">
        <v>10</v>
      </c>
      <c r="D35" s="13">
        <v>8</v>
      </c>
      <c r="E35" s="22" t="s">
        <v>9162</v>
      </c>
    </row>
    <row r="36" spans="1:5" ht="10" customHeight="1" x14ac:dyDescent="0.2">
      <c r="A36" s="16" t="s">
        <v>9163</v>
      </c>
      <c r="B36" s="13">
        <v>215000</v>
      </c>
      <c r="C36" s="13">
        <v>10</v>
      </c>
      <c r="D36" s="13">
        <v>9</v>
      </c>
      <c r="E36" s="22" t="s">
        <v>9164</v>
      </c>
    </row>
    <row r="37" spans="1:5" ht="10" customHeight="1" x14ac:dyDescent="0.2">
      <c r="A37" s="16" t="s">
        <v>9165</v>
      </c>
      <c r="B37" s="13">
        <v>204000</v>
      </c>
      <c r="C37" s="13">
        <v>28</v>
      </c>
      <c r="D37" s="13">
        <v>28</v>
      </c>
      <c r="E37" s="22" t="s">
        <v>9166</v>
      </c>
    </row>
    <row r="38" spans="1:5" ht="10" customHeight="1" x14ac:dyDescent="0.2">
      <c r="A38" s="16" t="s">
        <v>9167</v>
      </c>
      <c r="B38" s="13">
        <v>203000</v>
      </c>
      <c r="C38" s="13">
        <v>53</v>
      </c>
      <c r="D38" s="13">
        <v>45</v>
      </c>
      <c r="E38" s="22" t="s">
        <v>9168</v>
      </c>
    </row>
    <row r="39" spans="1:5" ht="10" customHeight="1" x14ac:dyDescent="0.2">
      <c r="A39" s="16" t="s">
        <v>9169</v>
      </c>
      <c r="B39" s="13">
        <v>172000</v>
      </c>
      <c r="C39" s="13">
        <v>31</v>
      </c>
      <c r="D39" s="13">
        <v>24</v>
      </c>
      <c r="E39" s="22" t="s">
        <v>9170</v>
      </c>
    </row>
    <row r="40" spans="1:5" ht="10" customHeight="1" x14ac:dyDescent="0.2">
      <c r="A40" s="16" t="s">
        <v>9171</v>
      </c>
      <c r="B40" s="13">
        <v>166000</v>
      </c>
      <c r="C40" s="13">
        <v>16</v>
      </c>
      <c r="D40" s="13">
        <v>14</v>
      </c>
      <c r="E40" s="22" t="s">
        <v>9172</v>
      </c>
    </row>
    <row r="41" spans="1:5" ht="10" customHeight="1" x14ac:dyDescent="0.2">
      <c r="A41" s="16" t="s">
        <v>9173</v>
      </c>
      <c r="B41" s="13">
        <v>161000</v>
      </c>
      <c r="C41" s="13">
        <v>25</v>
      </c>
      <c r="D41" s="13">
        <v>18</v>
      </c>
      <c r="E41" s="22" t="s">
        <v>9174</v>
      </c>
    </row>
    <row r="42" spans="1:5" ht="10" customHeight="1" x14ac:dyDescent="0.2">
      <c r="A42" s="16" t="s">
        <v>9175</v>
      </c>
      <c r="B42" s="13">
        <v>134000</v>
      </c>
      <c r="C42" s="13">
        <v>18</v>
      </c>
      <c r="D42" s="13">
        <v>15</v>
      </c>
      <c r="E42" s="22" t="s">
        <v>9176</v>
      </c>
    </row>
    <row r="43" spans="1:5" ht="10" customHeight="1" x14ac:dyDescent="0.2">
      <c r="A43" s="16" t="s">
        <v>9177</v>
      </c>
      <c r="B43" s="13">
        <v>108000</v>
      </c>
      <c r="C43" s="13">
        <v>2</v>
      </c>
      <c r="D43" s="13">
        <v>2</v>
      </c>
      <c r="E43" s="22" t="s">
        <v>9178</v>
      </c>
    </row>
    <row r="44" spans="1:5" ht="10" customHeight="1" x14ac:dyDescent="0.2">
      <c r="A44" s="16" t="s">
        <v>9179</v>
      </c>
      <c r="B44" s="13">
        <v>98000</v>
      </c>
      <c r="C44" s="13">
        <v>1</v>
      </c>
      <c r="D44" s="13">
        <v>1</v>
      </c>
      <c r="E44" s="22" t="s">
        <v>9180</v>
      </c>
    </row>
    <row r="45" spans="1:5" ht="10" customHeight="1" x14ac:dyDescent="0.2">
      <c r="A45" s="16" t="s">
        <v>9181</v>
      </c>
      <c r="B45" s="13">
        <v>93000</v>
      </c>
      <c r="C45" s="13">
        <v>9</v>
      </c>
      <c r="D45" s="13">
        <v>9</v>
      </c>
      <c r="E45" s="22" t="s">
        <v>9182</v>
      </c>
    </row>
    <row r="46" spans="1:5" ht="10" customHeight="1" x14ac:dyDescent="0.2">
      <c r="A46" s="16" t="s">
        <v>9183</v>
      </c>
      <c r="B46" s="13">
        <v>88000</v>
      </c>
      <c r="C46" s="13">
        <v>12</v>
      </c>
      <c r="D46" s="13">
        <v>12</v>
      </c>
      <c r="E46" s="22" t="s">
        <v>9184</v>
      </c>
    </row>
    <row r="47" spans="1:5" ht="10" customHeight="1" x14ac:dyDescent="0.2">
      <c r="A47" s="16" t="s">
        <v>9185</v>
      </c>
      <c r="B47" s="13">
        <v>77000</v>
      </c>
      <c r="C47" s="13">
        <v>29</v>
      </c>
      <c r="D47" s="13">
        <v>29</v>
      </c>
      <c r="E47" s="22" t="s">
        <v>9186</v>
      </c>
    </row>
    <row r="48" spans="1:5" ht="10" customHeight="1" x14ac:dyDescent="0.2">
      <c r="A48" s="16" t="s">
        <v>9187</v>
      </c>
      <c r="B48" s="13">
        <v>71000</v>
      </c>
      <c r="C48" s="13">
        <v>12</v>
      </c>
      <c r="D48" s="13">
        <v>12</v>
      </c>
      <c r="E48" s="22" t="s">
        <v>9188</v>
      </c>
    </row>
    <row r="49" spans="1:5" ht="10" customHeight="1" x14ac:dyDescent="0.2">
      <c r="A49" s="16" t="s">
        <v>9189</v>
      </c>
      <c r="B49" s="13">
        <v>64000</v>
      </c>
      <c r="C49" s="13">
        <v>7</v>
      </c>
      <c r="D49" s="13">
        <v>7</v>
      </c>
      <c r="E49" s="22" t="s">
        <v>9190</v>
      </c>
    </row>
    <row r="50" spans="1:5" ht="10" customHeight="1" x14ac:dyDescent="0.2">
      <c r="A50" s="23" t="s">
        <v>9191</v>
      </c>
      <c r="B50" s="24">
        <f>SUM(B30:B49)</f>
        <v>6197000</v>
      </c>
      <c r="C50" s="25"/>
      <c r="D50" s="25"/>
      <c r="E50" s="25"/>
    </row>
    <row r="51" spans="1:5" ht="10" customHeight="1" x14ac:dyDescent="0.2"/>
    <row r="52" spans="1:5" ht="10" customHeight="1" x14ac:dyDescent="0.2"/>
    <row r="53" spans="1:5" ht="10" customHeight="1" x14ac:dyDescent="0.2">
      <c r="A53" s="6" t="s">
        <v>9192</v>
      </c>
      <c r="B53" s="7"/>
      <c r="C53" s="7"/>
      <c r="D53" s="7"/>
      <c r="E53" s="7"/>
    </row>
    <row r="54" spans="1:5" ht="10" customHeight="1" x14ac:dyDescent="0.2">
      <c r="A54" s="15" t="s">
        <v>9193</v>
      </c>
      <c r="B54" s="15" t="s">
        <v>9194</v>
      </c>
      <c r="C54" s="15" t="s">
        <v>9195</v>
      </c>
      <c r="D54" s="15" t="s">
        <v>9196</v>
      </c>
      <c r="E54" s="15" t="s">
        <v>9197</v>
      </c>
    </row>
    <row r="55" spans="1:5" ht="10" customHeight="1" x14ac:dyDescent="0.2">
      <c r="A55" s="16" t="s">
        <v>9198</v>
      </c>
      <c r="B55" s="13">
        <v>530000</v>
      </c>
      <c r="C55" s="22" t="s">
        <v>9199</v>
      </c>
      <c r="D55" s="22" t="s">
        <v>9200</v>
      </c>
      <c r="E55" s="22" t="s">
        <v>9201</v>
      </c>
    </row>
    <row r="56" spans="1:5" ht="10" customHeight="1" x14ac:dyDescent="0.2">
      <c r="A56" s="16" t="s">
        <v>9202</v>
      </c>
      <c r="B56" s="13">
        <v>1220000</v>
      </c>
      <c r="C56" s="22" t="s">
        <v>9203</v>
      </c>
      <c r="D56" s="22" t="s">
        <v>9204</v>
      </c>
      <c r="E56" s="22" t="s">
        <v>9205</v>
      </c>
    </row>
    <row r="57" spans="1:5" ht="10" customHeight="1" x14ac:dyDescent="0.2">
      <c r="A57" s="16" t="s">
        <v>9206</v>
      </c>
      <c r="B57" s="13">
        <v>560000</v>
      </c>
      <c r="C57" s="22" t="s">
        <v>9207</v>
      </c>
      <c r="D57" s="22" t="s">
        <v>9208</v>
      </c>
      <c r="E57" s="22" t="s">
        <v>9209</v>
      </c>
    </row>
    <row r="58" spans="1:5" ht="10" customHeight="1" x14ac:dyDescent="0.2">
      <c r="A58" s="16" t="s">
        <v>9210</v>
      </c>
      <c r="B58" s="13">
        <v>2910000</v>
      </c>
      <c r="C58" s="22" t="s">
        <v>9211</v>
      </c>
      <c r="D58" s="22" t="s">
        <v>9212</v>
      </c>
      <c r="E58" s="22" t="s">
        <v>9213</v>
      </c>
    </row>
    <row r="59" spans="1:5" ht="10" customHeight="1" x14ac:dyDescent="0.2">
      <c r="A59" s="16" t="s">
        <v>6429</v>
      </c>
      <c r="B59" s="13">
        <v>1230000</v>
      </c>
      <c r="C59" s="22" t="s">
        <v>9214</v>
      </c>
      <c r="D59" s="22" t="s">
        <v>9215</v>
      </c>
      <c r="E59" s="22" t="s">
        <v>9216</v>
      </c>
    </row>
    <row r="60" spans="1:5" ht="10" customHeight="1" x14ac:dyDescent="0.2">
      <c r="A60" s="16" t="s">
        <v>9217</v>
      </c>
      <c r="B60" s="13">
        <v>340000</v>
      </c>
      <c r="C60" s="22" t="s">
        <v>9218</v>
      </c>
      <c r="D60" s="22" t="s">
        <v>9208</v>
      </c>
      <c r="E60" s="22" t="s">
        <v>9219</v>
      </c>
    </row>
    <row r="61" spans="1:5" ht="10" customHeight="1" x14ac:dyDescent="0.2">
      <c r="A61" s="16" t="s">
        <v>9220</v>
      </c>
      <c r="B61" s="13">
        <v>340000</v>
      </c>
      <c r="C61" s="22" t="s">
        <v>9221</v>
      </c>
      <c r="D61" s="22" t="s">
        <v>9222</v>
      </c>
      <c r="E61" s="22" t="s">
        <v>9223</v>
      </c>
    </row>
    <row r="62" spans="1:5" ht="10" customHeight="1" x14ac:dyDescent="0.2">
      <c r="A62" s="16" t="s">
        <v>9224</v>
      </c>
      <c r="B62" s="13">
        <v>930000</v>
      </c>
      <c r="C62" s="22" t="s">
        <v>9225</v>
      </c>
      <c r="D62" s="22" t="s">
        <v>9226</v>
      </c>
      <c r="E62" s="22" t="s">
        <v>9227</v>
      </c>
    </row>
    <row r="63" spans="1:5" ht="10" customHeight="1" x14ac:dyDescent="0.2">
      <c r="A63" s="16" t="s">
        <v>6070</v>
      </c>
      <c r="B63" s="13">
        <v>130000</v>
      </c>
      <c r="C63" s="22" t="s">
        <v>9228</v>
      </c>
      <c r="D63" s="22" t="s">
        <v>9229</v>
      </c>
      <c r="E63" s="22" t="s">
        <v>9111</v>
      </c>
    </row>
    <row r="64" spans="1:5" ht="10" customHeight="1" x14ac:dyDescent="0.2">
      <c r="A64" s="16" t="s">
        <v>9230</v>
      </c>
      <c r="B64" s="13">
        <v>30000</v>
      </c>
      <c r="C64" s="22" t="s">
        <v>9231</v>
      </c>
      <c r="D64" s="22" t="s">
        <v>9232</v>
      </c>
      <c r="E64" s="22" t="s">
        <v>9111</v>
      </c>
    </row>
    <row r="65" spans="1:5" ht="10" customHeight="1" x14ac:dyDescent="0.2">
      <c r="A65" s="16" t="s">
        <v>9233</v>
      </c>
      <c r="B65" s="13">
        <v>40000</v>
      </c>
      <c r="C65" s="22" t="s">
        <v>9234</v>
      </c>
      <c r="D65" s="22" t="s">
        <v>9235</v>
      </c>
      <c r="E65" s="22" t="s">
        <v>9111</v>
      </c>
    </row>
    <row r="66" spans="1:5" ht="10" customHeight="1" x14ac:dyDescent="0.2">
      <c r="A66" s="16" t="s">
        <v>9236</v>
      </c>
      <c r="B66" s="13">
        <v>60000</v>
      </c>
      <c r="C66" s="22" t="s">
        <v>9237</v>
      </c>
      <c r="D66" s="22" t="s">
        <v>9238</v>
      </c>
      <c r="E66" s="22" t="s">
        <v>9111</v>
      </c>
    </row>
    <row r="67" spans="1:5" ht="10" customHeight="1" x14ac:dyDescent="0.2">
      <c r="A67" s="16" t="s">
        <v>7059</v>
      </c>
      <c r="B67" s="13">
        <v>150000</v>
      </c>
      <c r="C67" s="22" t="s">
        <v>9239</v>
      </c>
      <c r="D67" s="22" t="s">
        <v>9240</v>
      </c>
      <c r="E67" s="22" t="s">
        <v>9111</v>
      </c>
    </row>
    <row r="68" spans="1:5" ht="10" customHeight="1" x14ac:dyDescent="0.2">
      <c r="A68" s="16" t="s">
        <v>9241</v>
      </c>
      <c r="B68" s="13">
        <v>30000</v>
      </c>
      <c r="C68" s="22" t="s">
        <v>9242</v>
      </c>
      <c r="D68" s="22" t="s">
        <v>9243</v>
      </c>
      <c r="E68" s="22" t="s">
        <v>9111</v>
      </c>
    </row>
    <row r="69" spans="1:5" ht="10" customHeight="1" x14ac:dyDescent="0.2">
      <c r="A69" s="16" t="s">
        <v>9244</v>
      </c>
      <c r="B69" s="13">
        <v>1500000</v>
      </c>
      <c r="C69" s="22" t="s">
        <v>9245</v>
      </c>
      <c r="D69" s="22" t="s">
        <v>9246</v>
      </c>
      <c r="E69" s="22" t="s">
        <v>9247</v>
      </c>
    </row>
    <row r="70" spans="1:5" ht="10" customHeight="1" x14ac:dyDescent="0.2">
      <c r="A70" s="23" t="s">
        <v>8808</v>
      </c>
      <c r="B70" s="24">
        <f>SUM(B55:B69)</f>
        <v>10000000</v>
      </c>
      <c r="C70" s="25"/>
      <c r="D70" s="25"/>
      <c r="E70" s="25"/>
    </row>
    <row r="71" spans="1:5" ht="10" customHeight="1" x14ac:dyDescent="0.2"/>
    <row r="72" spans="1:5" ht="10" customHeight="1" x14ac:dyDescent="0.2"/>
    <row r="73" spans="1:5" ht="10" customHeight="1" x14ac:dyDescent="0.2">
      <c r="A73" s="6" t="s">
        <v>9248</v>
      </c>
      <c r="B73" s="7"/>
      <c r="C73" s="7"/>
    </row>
    <row r="74" spans="1:5" ht="10" customHeight="1" x14ac:dyDescent="0.2"/>
    <row r="75" spans="1:5" ht="10" customHeight="1" x14ac:dyDescent="0.2">
      <c r="A75" s="39" t="s">
        <v>4906</v>
      </c>
      <c r="B75" s="30"/>
      <c r="C75" s="30"/>
    </row>
    <row r="76" spans="1:5" ht="10" customHeight="1" x14ac:dyDescent="0.2">
      <c r="A76" s="15" t="s">
        <v>9249</v>
      </c>
      <c r="B76" s="15" t="s">
        <v>9250</v>
      </c>
      <c r="C76" s="15" t="s">
        <v>9251</v>
      </c>
    </row>
    <row r="77" spans="1:5" ht="10" customHeight="1" x14ac:dyDescent="0.2">
      <c r="A77" s="16" t="s">
        <v>9252</v>
      </c>
      <c r="B77" s="13">
        <v>346443</v>
      </c>
      <c r="C77" s="22" t="s">
        <v>9253</v>
      </c>
    </row>
    <row r="78" spans="1:5" ht="10" customHeight="1" x14ac:dyDescent="0.2">
      <c r="A78" s="16" t="s">
        <v>9254</v>
      </c>
      <c r="B78" s="13">
        <v>631859</v>
      </c>
      <c r="C78" s="22" t="s">
        <v>9255</v>
      </c>
    </row>
    <row r="79" spans="1:5" ht="10" customHeight="1" x14ac:dyDescent="0.2">
      <c r="A79" s="16" t="s">
        <v>9256</v>
      </c>
      <c r="B79" s="13">
        <v>123384</v>
      </c>
      <c r="C79" s="22" t="s">
        <v>9257</v>
      </c>
    </row>
    <row r="80" spans="1:5" ht="10" customHeight="1" x14ac:dyDescent="0.2">
      <c r="A80" s="23" t="s">
        <v>9258</v>
      </c>
      <c r="B80" s="24">
        <f>SUM(B77:B79)</f>
        <v>1101686</v>
      </c>
      <c r="C80" s="25"/>
    </row>
    <row r="81" spans="1:3" ht="10" customHeight="1" x14ac:dyDescent="0.2"/>
    <row r="82" spans="1:3" ht="10" customHeight="1" x14ac:dyDescent="0.2">
      <c r="A82" s="39" t="s">
        <v>150</v>
      </c>
      <c r="B82" s="30"/>
      <c r="C82" s="30"/>
    </row>
    <row r="83" spans="1:3" ht="10" customHeight="1" x14ac:dyDescent="0.2">
      <c r="A83" s="15" t="s">
        <v>9249</v>
      </c>
      <c r="B83" s="15" t="s">
        <v>9250</v>
      </c>
      <c r="C83" s="15" t="s">
        <v>9251</v>
      </c>
    </row>
    <row r="84" spans="1:3" ht="10" customHeight="1" x14ac:dyDescent="0.2">
      <c r="A84" s="16" t="s">
        <v>9259</v>
      </c>
      <c r="B84" s="13">
        <v>835037</v>
      </c>
      <c r="C84" s="22" t="s">
        <v>9260</v>
      </c>
    </row>
    <row r="85" spans="1:3" ht="10" customHeight="1" x14ac:dyDescent="0.2">
      <c r="A85" s="16" t="s">
        <v>9261</v>
      </c>
      <c r="B85" s="13">
        <v>275000</v>
      </c>
      <c r="C85" s="22" t="s">
        <v>9262</v>
      </c>
    </row>
    <row r="86" spans="1:3" ht="10" customHeight="1" x14ac:dyDescent="0.2">
      <c r="A86" s="16" t="s">
        <v>9263</v>
      </c>
      <c r="B86" s="13">
        <v>149595</v>
      </c>
      <c r="C86" s="22" t="s">
        <v>9264</v>
      </c>
    </row>
    <row r="87" spans="1:3" ht="10" customHeight="1" x14ac:dyDescent="0.2">
      <c r="A87" s="16" t="s">
        <v>9265</v>
      </c>
      <c r="B87" s="13">
        <v>125542</v>
      </c>
      <c r="C87" s="22" t="s">
        <v>9266</v>
      </c>
    </row>
    <row r="88" spans="1:3" ht="10" customHeight="1" x14ac:dyDescent="0.2">
      <c r="A88" s="23" t="s">
        <v>9267</v>
      </c>
      <c r="B88" s="24">
        <f>SUM(B84:B87)</f>
        <v>1385174</v>
      </c>
      <c r="C88" s="25"/>
    </row>
    <row r="89" spans="1:3" ht="10" customHeight="1" x14ac:dyDescent="0.2"/>
    <row r="90" spans="1:3" ht="10" customHeight="1" x14ac:dyDescent="0.2">
      <c r="A90" s="39" t="s">
        <v>4900</v>
      </c>
      <c r="B90" s="30"/>
      <c r="C90" s="30"/>
    </row>
    <row r="91" spans="1:3" ht="10" customHeight="1" x14ac:dyDescent="0.2">
      <c r="A91" s="15" t="s">
        <v>9249</v>
      </c>
      <c r="B91" s="15" t="s">
        <v>9250</v>
      </c>
      <c r="C91" s="15" t="s">
        <v>9251</v>
      </c>
    </row>
    <row r="92" spans="1:3" ht="10" customHeight="1" x14ac:dyDescent="0.2">
      <c r="A92" s="16" t="s">
        <v>9268</v>
      </c>
      <c r="B92" s="13">
        <v>94421</v>
      </c>
      <c r="C92" s="22" t="s">
        <v>9269</v>
      </c>
    </row>
    <row r="93" spans="1:3" ht="10" customHeight="1" x14ac:dyDescent="0.2">
      <c r="A93" s="16" t="s">
        <v>9270</v>
      </c>
      <c r="B93" s="13">
        <v>25931</v>
      </c>
      <c r="C93" s="22" t="s">
        <v>9271</v>
      </c>
    </row>
    <row r="94" spans="1:3" ht="10" customHeight="1" x14ac:dyDescent="0.2">
      <c r="A94" s="23" t="s">
        <v>9272</v>
      </c>
      <c r="B94" s="24">
        <f>SUM(B92:B93)</f>
        <v>120352</v>
      </c>
      <c r="C94" s="25"/>
    </row>
    <row r="95" spans="1:3" ht="10" customHeight="1" x14ac:dyDescent="0.2"/>
    <row r="96" spans="1:3" ht="10" customHeight="1" x14ac:dyDescent="0.2">
      <c r="A96" s="39" t="s">
        <v>168</v>
      </c>
      <c r="B96" s="30"/>
      <c r="C96" s="30"/>
    </row>
    <row r="97" spans="1:3" ht="10" customHeight="1" x14ac:dyDescent="0.2">
      <c r="A97" s="15" t="s">
        <v>9249</v>
      </c>
      <c r="B97" s="15" t="s">
        <v>9250</v>
      </c>
      <c r="C97" s="15" t="s">
        <v>9251</v>
      </c>
    </row>
    <row r="98" spans="1:3" ht="10" customHeight="1" x14ac:dyDescent="0.2">
      <c r="A98" s="16" t="s">
        <v>9273</v>
      </c>
      <c r="B98" s="13">
        <v>634963</v>
      </c>
      <c r="C98" s="22" t="s">
        <v>9274</v>
      </c>
    </row>
    <row r="99" spans="1:3" ht="10" customHeight="1" x14ac:dyDescent="0.2">
      <c r="A99" s="16" t="s">
        <v>9275</v>
      </c>
      <c r="B99" s="13">
        <v>45012</v>
      </c>
      <c r="C99" s="22" t="s">
        <v>9276</v>
      </c>
    </row>
    <row r="100" spans="1:3" ht="10" customHeight="1" x14ac:dyDescent="0.2">
      <c r="A100" s="23" t="s">
        <v>9277</v>
      </c>
      <c r="B100" s="24">
        <f>SUM(B98:B99)</f>
        <v>679975</v>
      </c>
      <c r="C100" s="25"/>
    </row>
    <row r="101" spans="1:3" ht="10" customHeight="1" x14ac:dyDescent="0.2"/>
    <row r="102" spans="1:3" ht="10" customHeight="1" x14ac:dyDescent="0.2">
      <c r="A102" s="39" t="s">
        <v>120</v>
      </c>
      <c r="B102" s="30"/>
      <c r="C102" s="30"/>
    </row>
    <row r="103" spans="1:3" ht="10" customHeight="1" x14ac:dyDescent="0.2">
      <c r="A103" s="15" t="s">
        <v>9249</v>
      </c>
      <c r="B103" s="15" t="s">
        <v>9250</v>
      </c>
      <c r="C103" s="15" t="s">
        <v>9251</v>
      </c>
    </row>
    <row r="104" spans="1:3" ht="10" customHeight="1" x14ac:dyDescent="0.2">
      <c r="A104" s="16" t="s">
        <v>9278</v>
      </c>
      <c r="B104" s="13">
        <v>5410773</v>
      </c>
      <c r="C104" s="22" t="s">
        <v>9279</v>
      </c>
    </row>
    <row r="105" spans="1:3" ht="10" customHeight="1" x14ac:dyDescent="0.2">
      <c r="A105" s="16" t="s">
        <v>9280</v>
      </c>
      <c r="B105" s="13">
        <v>1750000</v>
      </c>
      <c r="C105" s="22" t="s">
        <v>9281</v>
      </c>
    </row>
    <row r="106" spans="1:3" ht="10" customHeight="1" x14ac:dyDescent="0.2">
      <c r="A106" s="16" t="s">
        <v>9282</v>
      </c>
      <c r="B106" s="13">
        <v>52358</v>
      </c>
      <c r="C106" s="22" t="s">
        <v>9283</v>
      </c>
    </row>
    <row r="107" spans="1:3" ht="10" customHeight="1" x14ac:dyDescent="0.2">
      <c r="A107" s="16" t="s">
        <v>9284</v>
      </c>
      <c r="B107" s="13">
        <v>952000</v>
      </c>
      <c r="C107" s="22" t="s">
        <v>9285</v>
      </c>
    </row>
    <row r="108" spans="1:3" ht="10" customHeight="1" x14ac:dyDescent="0.2">
      <c r="A108" s="16" t="s">
        <v>9286</v>
      </c>
      <c r="B108" s="13">
        <v>1282612</v>
      </c>
      <c r="C108" s="22" t="s">
        <v>9287</v>
      </c>
    </row>
    <row r="109" spans="1:3" ht="10" customHeight="1" x14ac:dyDescent="0.2">
      <c r="A109" s="16" t="s">
        <v>9288</v>
      </c>
      <c r="B109" s="13">
        <v>1008875</v>
      </c>
      <c r="C109" s="22" t="s">
        <v>9289</v>
      </c>
    </row>
    <row r="110" spans="1:3" ht="10" customHeight="1" x14ac:dyDescent="0.2">
      <c r="A110" s="16" t="s">
        <v>9290</v>
      </c>
      <c r="B110" s="13">
        <v>878787</v>
      </c>
      <c r="C110" s="22" t="s">
        <v>9291</v>
      </c>
    </row>
    <row r="111" spans="1:3" ht="10" customHeight="1" x14ac:dyDescent="0.2">
      <c r="A111" s="16" t="s">
        <v>9292</v>
      </c>
      <c r="B111" s="13">
        <v>128513</v>
      </c>
      <c r="C111" s="22" t="s">
        <v>9293</v>
      </c>
    </row>
    <row r="112" spans="1:3" ht="10" customHeight="1" x14ac:dyDescent="0.2">
      <c r="A112" s="16" t="s">
        <v>9294</v>
      </c>
      <c r="B112" s="13">
        <v>115267</v>
      </c>
      <c r="C112" s="22" t="s">
        <v>9295</v>
      </c>
    </row>
    <row r="113" spans="1:3" ht="10" customHeight="1" x14ac:dyDescent="0.2">
      <c r="A113" s="23" t="s">
        <v>9296</v>
      </c>
      <c r="B113" s="24">
        <f>SUM(B104:B112)</f>
        <v>11579185</v>
      </c>
      <c r="C113" s="25"/>
    </row>
    <row r="114" spans="1:3" ht="10" customHeight="1" x14ac:dyDescent="0.2"/>
    <row r="115" spans="1:3" ht="10" customHeight="1" x14ac:dyDescent="0.2">
      <c r="A115" s="39" t="s">
        <v>139</v>
      </c>
      <c r="B115" s="30"/>
      <c r="C115" s="30"/>
    </row>
    <row r="116" spans="1:3" ht="10" customHeight="1" x14ac:dyDescent="0.2">
      <c r="A116" s="15" t="s">
        <v>9249</v>
      </c>
      <c r="B116" s="15" t="s">
        <v>9250</v>
      </c>
      <c r="C116" s="15" t="s">
        <v>9251</v>
      </c>
    </row>
    <row r="117" spans="1:3" ht="10" customHeight="1" x14ac:dyDescent="0.2">
      <c r="A117" s="16" t="s">
        <v>9297</v>
      </c>
      <c r="B117" s="13">
        <v>576389</v>
      </c>
      <c r="C117" s="22" t="s">
        <v>9298</v>
      </c>
    </row>
    <row r="118" spans="1:3" ht="10" customHeight="1" x14ac:dyDescent="0.2">
      <c r="A118" s="16" t="s">
        <v>9299</v>
      </c>
      <c r="B118" s="13">
        <v>383361</v>
      </c>
      <c r="C118" s="22" t="s">
        <v>9300</v>
      </c>
    </row>
    <row r="119" spans="1:3" ht="10" customHeight="1" x14ac:dyDescent="0.2">
      <c r="A119" s="16" t="s">
        <v>9301</v>
      </c>
      <c r="B119" s="13">
        <v>189458</v>
      </c>
      <c r="C119" s="22" t="s">
        <v>9302</v>
      </c>
    </row>
    <row r="120" spans="1:3" ht="10" customHeight="1" x14ac:dyDescent="0.2">
      <c r="A120" s="16" t="s">
        <v>9303</v>
      </c>
      <c r="B120" s="13">
        <v>91372</v>
      </c>
      <c r="C120" s="22" t="s">
        <v>9304</v>
      </c>
    </row>
    <row r="121" spans="1:3" ht="10" customHeight="1" x14ac:dyDescent="0.2">
      <c r="A121" s="16" t="s">
        <v>9305</v>
      </c>
      <c r="B121" s="13">
        <v>32238</v>
      </c>
      <c r="C121" s="22" t="s">
        <v>9306</v>
      </c>
    </row>
    <row r="122" spans="1:3" ht="10" customHeight="1" x14ac:dyDescent="0.2">
      <c r="A122" s="23" t="s">
        <v>9307</v>
      </c>
      <c r="B122" s="24">
        <f>SUM(B117:B121)</f>
        <v>1272818</v>
      </c>
      <c r="C122" s="25"/>
    </row>
    <row r="123" spans="1:3" ht="10" customHeight="1" x14ac:dyDescent="0.2"/>
    <row r="124" spans="1:3" ht="10" customHeight="1" x14ac:dyDescent="0.2">
      <c r="A124" s="39" t="s">
        <v>4956</v>
      </c>
      <c r="B124" s="30"/>
      <c r="C124" s="30"/>
    </row>
    <row r="125" spans="1:3" ht="10" customHeight="1" x14ac:dyDescent="0.2">
      <c r="A125" s="15" t="s">
        <v>9249</v>
      </c>
      <c r="B125" s="15" t="s">
        <v>9250</v>
      </c>
      <c r="C125" s="15" t="s">
        <v>9251</v>
      </c>
    </row>
    <row r="126" spans="1:3" ht="10" customHeight="1" x14ac:dyDescent="0.2">
      <c r="A126" s="16" t="s">
        <v>9308</v>
      </c>
      <c r="B126" s="13">
        <v>115501</v>
      </c>
      <c r="C126" s="22" t="s">
        <v>9309</v>
      </c>
    </row>
    <row r="127" spans="1:3" ht="10" customHeight="1" x14ac:dyDescent="0.2">
      <c r="A127" s="16" t="s">
        <v>9310</v>
      </c>
      <c r="B127" s="13">
        <v>44940</v>
      </c>
      <c r="C127" s="22" t="s">
        <v>9311</v>
      </c>
    </row>
    <row r="128" spans="1:3" ht="10" customHeight="1" x14ac:dyDescent="0.2">
      <c r="A128" s="23" t="s">
        <v>9312</v>
      </c>
      <c r="B128" s="24">
        <f>SUM(B126:B127)</f>
        <v>160441</v>
      </c>
      <c r="C128" s="25"/>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68"/>
  <sheetViews>
    <sheetView showGridLines="0" workbookViewId="0"/>
  </sheetViews>
  <sheetFormatPr baseColWidth="10" defaultColWidth="8.83203125" defaultRowHeight="15" x14ac:dyDescent="0.2"/>
  <cols>
    <col min="1" max="1" width="35" customWidth="1"/>
    <col min="2" max="2" width="70" customWidth="1"/>
    <col min="3" max="3" width="50" customWidth="1"/>
  </cols>
  <sheetData>
    <row r="1" spans="1:3" ht="10" customHeight="1" x14ac:dyDescent="0.2">
      <c r="A1" s="20" t="s">
        <v>9313</v>
      </c>
      <c r="B1" s="21"/>
      <c r="C1" s="21"/>
    </row>
    <row r="2" spans="1:3" ht="10" customHeight="1" x14ac:dyDescent="0.2">
      <c r="A2" s="22" t="s">
        <v>9314</v>
      </c>
    </row>
    <row r="3" spans="1:3" ht="10" customHeight="1" x14ac:dyDescent="0.2"/>
    <row r="4" spans="1:3" ht="10" customHeight="1" x14ac:dyDescent="0.2">
      <c r="A4" s="6" t="s">
        <v>9315</v>
      </c>
      <c r="B4" s="7"/>
      <c r="C4" s="7"/>
    </row>
    <row r="5" spans="1:3" ht="10" customHeight="1" x14ac:dyDescent="0.2">
      <c r="A5" s="22" t="s">
        <v>9316</v>
      </c>
    </row>
    <row r="6" spans="1:3" ht="10" customHeight="1" x14ac:dyDescent="0.2">
      <c r="A6" s="15" t="s">
        <v>9317</v>
      </c>
      <c r="B6" s="15" t="s">
        <v>9318</v>
      </c>
      <c r="C6" s="15" t="s">
        <v>9319</v>
      </c>
    </row>
    <row r="7" spans="1:3" ht="10" customHeight="1" x14ac:dyDescent="0.2">
      <c r="A7" s="16" t="s">
        <v>9320</v>
      </c>
      <c r="B7" s="16" t="s">
        <v>9321</v>
      </c>
      <c r="C7" s="22" t="s">
        <v>9322</v>
      </c>
    </row>
    <row r="8" spans="1:3" ht="10" customHeight="1" x14ac:dyDescent="0.2">
      <c r="A8" s="16" t="s">
        <v>48</v>
      </c>
      <c r="B8" s="16" t="s">
        <v>9323</v>
      </c>
      <c r="C8" s="22" t="s">
        <v>9324</v>
      </c>
    </row>
    <row r="9" spans="1:3" ht="10" customHeight="1" x14ac:dyDescent="0.2">
      <c r="A9" s="16" t="s">
        <v>57</v>
      </c>
      <c r="B9" s="16" t="s">
        <v>9325</v>
      </c>
      <c r="C9" s="22" t="s">
        <v>9326</v>
      </c>
    </row>
    <row r="10" spans="1:3" ht="10" customHeight="1" x14ac:dyDescent="0.2">
      <c r="A10" s="16" t="s">
        <v>349</v>
      </c>
      <c r="B10" s="16" t="s">
        <v>9327</v>
      </c>
      <c r="C10" s="22" t="s">
        <v>9328</v>
      </c>
    </row>
    <row r="11" spans="1:3" ht="10" customHeight="1" x14ac:dyDescent="0.2">
      <c r="A11" s="16" t="s">
        <v>5132</v>
      </c>
      <c r="B11" s="16" t="s">
        <v>9329</v>
      </c>
      <c r="C11" s="22" t="s">
        <v>9330</v>
      </c>
    </row>
    <row r="12" spans="1:3" ht="10" customHeight="1" x14ac:dyDescent="0.2">
      <c r="A12" s="16" t="s">
        <v>188</v>
      </c>
      <c r="B12" s="16" t="s">
        <v>9331</v>
      </c>
      <c r="C12" s="22" t="s">
        <v>9332</v>
      </c>
    </row>
    <row r="13" spans="1:3" ht="10" customHeight="1" x14ac:dyDescent="0.2"/>
    <row r="14" spans="1:3" ht="10" customHeight="1" x14ac:dyDescent="0.2">
      <c r="A14" s="6" t="s">
        <v>9333</v>
      </c>
      <c r="B14" s="7"/>
      <c r="C14" s="7"/>
    </row>
    <row r="15" spans="1:3" ht="10" customHeight="1" x14ac:dyDescent="0.2">
      <c r="A15" s="22" t="s">
        <v>9334</v>
      </c>
    </row>
    <row r="16" spans="1:3" ht="10" customHeight="1" x14ac:dyDescent="0.2"/>
    <row r="17" spans="1:3" ht="10" customHeight="1" x14ac:dyDescent="0.2">
      <c r="A17" s="39" t="s">
        <v>8796</v>
      </c>
      <c r="B17" s="30"/>
      <c r="C17" s="30"/>
    </row>
    <row r="18" spans="1:3" ht="10" customHeight="1" x14ac:dyDescent="0.2">
      <c r="A18" s="16" t="s">
        <v>9335</v>
      </c>
    </row>
    <row r="19" spans="1:3" ht="10" customHeight="1" x14ac:dyDescent="0.2"/>
    <row r="20" spans="1:3" ht="10" customHeight="1" x14ac:dyDescent="0.2">
      <c r="A20" s="39" t="s">
        <v>8829</v>
      </c>
      <c r="B20" s="30"/>
      <c r="C20" s="30"/>
    </row>
    <row r="21" spans="1:3" ht="10" customHeight="1" x14ac:dyDescent="0.2">
      <c r="A21" s="16" t="s">
        <v>8821</v>
      </c>
    </row>
    <row r="22" spans="1:3" ht="10" customHeight="1" x14ac:dyDescent="0.2"/>
    <row r="23" spans="1:3" ht="10" customHeight="1" x14ac:dyDescent="0.2">
      <c r="A23" s="39" t="s">
        <v>9336</v>
      </c>
      <c r="B23" s="30"/>
      <c r="C23" s="30"/>
    </row>
    <row r="24" spans="1:3" ht="10" customHeight="1" x14ac:dyDescent="0.2">
      <c r="A24" s="16" t="s">
        <v>9337</v>
      </c>
    </row>
    <row r="25" spans="1:3" ht="10" customHeight="1" x14ac:dyDescent="0.2"/>
    <row r="26" spans="1:3" ht="10" customHeight="1" x14ac:dyDescent="0.2">
      <c r="A26" s="39" t="s">
        <v>9036</v>
      </c>
      <c r="B26" s="30"/>
      <c r="C26" s="30"/>
    </row>
    <row r="27" spans="1:3" ht="10" customHeight="1" x14ac:dyDescent="0.2">
      <c r="A27" s="16" t="s">
        <v>9032</v>
      </c>
    </row>
    <row r="28" spans="1:3" ht="10" customHeight="1" x14ac:dyDescent="0.2"/>
    <row r="29" spans="1:3" ht="10" customHeight="1" x14ac:dyDescent="0.2">
      <c r="A29" s="39" t="s">
        <v>9048</v>
      </c>
      <c r="B29" s="30"/>
      <c r="C29" s="30"/>
    </row>
    <row r="30" spans="1:3" ht="10" customHeight="1" x14ac:dyDescent="0.2">
      <c r="A30" s="16" t="s">
        <v>9338</v>
      </c>
    </row>
    <row r="31" spans="1:3" ht="10" customHeight="1" x14ac:dyDescent="0.2"/>
    <row r="32" spans="1:3" ht="10" customHeight="1" x14ac:dyDescent="0.2">
      <c r="A32" s="39" t="s">
        <v>9339</v>
      </c>
      <c r="B32" s="30"/>
      <c r="C32" s="30"/>
    </row>
    <row r="33" spans="1:3" ht="10" customHeight="1" x14ac:dyDescent="0.2">
      <c r="A33" s="15" t="s">
        <v>9340</v>
      </c>
      <c r="B33" s="15" t="s">
        <v>9318</v>
      </c>
      <c r="C33" s="15" t="s">
        <v>9341</v>
      </c>
    </row>
    <row r="34" spans="1:3" ht="10" customHeight="1" x14ac:dyDescent="0.2">
      <c r="A34" s="16" t="s">
        <v>9342</v>
      </c>
      <c r="B34" s="16" t="s">
        <v>9343</v>
      </c>
      <c r="C34" s="22" t="s">
        <v>9344</v>
      </c>
    </row>
    <row r="35" spans="1:3" ht="10" customHeight="1" x14ac:dyDescent="0.2">
      <c r="A35" s="16" t="s">
        <v>9345</v>
      </c>
      <c r="B35" s="16" t="s">
        <v>9346</v>
      </c>
    </row>
    <row r="36" spans="1:3" ht="10" customHeight="1" x14ac:dyDescent="0.2">
      <c r="A36" s="16" t="s">
        <v>9347</v>
      </c>
      <c r="B36" s="16" t="s">
        <v>9348</v>
      </c>
    </row>
    <row r="37" spans="1:3" ht="10" customHeight="1" x14ac:dyDescent="0.2">
      <c r="A37" s="16" t="s">
        <v>9349</v>
      </c>
      <c r="B37" s="16" t="s">
        <v>9350</v>
      </c>
    </row>
    <row r="38" spans="1:3" ht="10" customHeight="1" x14ac:dyDescent="0.2"/>
    <row r="39" spans="1:3" ht="10" customHeight="1" x14ac:dyDescent="0.2">
      <c r="A39" s="39" t="s">
        <v>9351</v>
      </c>
      <c r="B39" s="30"/>
      <c r="C39" s="30"/>
    </row>
    <row r="40" spans="1:3" ht="10" customHeight="1" x14ac:dyDescent="0.2">
      <c r="A40" s="22" t="s">
        <v>9352</v>
      </c>
    </row>
    <row r="41" spans="1:3" ht="10" customHeight="1" x14ac:dyDescent="0.2">
      <c r="A41" s="15" t="s">
        <v>8799</v>
      </c>
      <c r="B41" s="15" t="s">
        <v>9318</v>
      </c>
      <c r="C41" s="15" t="s">
        <v>16</v>
      </c>
    </row>
    <row r="42" spans="1:3" ht="10" customHeight="1" x14ac:dyDescent="0.2">
      <c r="A42" s="16" t="s">
        <v>8801</v>
      </c>
      <c r="B42" s="16" t="s">
        <v>9353</v>
      </c>
      <c r="C42" s="22" t="s">
        <v>9354</v>
      </c>
    </row>
    <row r="43" spans="1:3" ht="10" customHeight="1" x14ac:dyDescent="0.2">
      <c r="A43" s="16" t="s">
        <v>4328</v>
      </c>
      <c r="B43" s="16" t="s">
        <v>9355</v>
      </c>
      <c r="C43" s="22" t="s">
        <v>9356</v>
      </c>
    </row>
    <row r="44" spans="1:3" ht="10" customHeight="1" x14ac:dyDescent="0.2">
      <c r="A44" s="16" t="s">
        <v>9038</v>
      </c>
      <c r="B44" s="16" t="s">
        <v>9357</v>
      </c>
      <c r="C44" s="22" t="s">
        <v>9358</v>
      </c>
    </row>
    <row r="45" spans="1:3" ht="10" customHeight="1" x14ac:dyDescent="0.2">
      <c r="A45" s="16" t="s">
        <v>9359</v>
      </c>
      <c r="B45" s="16" t="s">
        <v>9360</v>
      </c>
      <c r="C45" s="22" t="s">
        <v>9361</v>
      </c>
    </row>
    <row r="46" spans="1:3" ht="10" customHeight="1" x14ac:dyDescent="0.2">
      <c r="A46" s="16" t="s">
        <v>9362</v>
      </c>
      <c r="B46" s="16" t="s">
        <v>9363</v>
      </c>
      <c r="C46" s="22" t="s">
        <v>9364</v>
      </c>
    </row>
    <row r="47" spans="1:3" ht="10" customHeight="1" x14ac:dyDescent="0.2">
      <c r="A47" s="22" t="s">
        <v>9365</v>
      </c>
    </row>
    <row r="48" spans="1:3" ht="10" customHeight="1" x14ac:dyDescent="0.2"/>
    <row r="49" spans="1:3" ht="10" customHeight="1" x14ac:dyDescent="0.2">
      <c r="A49" s="39" t="s">
        <v>9366</v>
      </c>
      <c r="B49" s="30"/>
      <c r="C49" s="30"/>
    </row>
    <row r="50" spans="1:3" ht="10" customHeight="1" x14ac:dyDescent="0.2">
      <c r="A50" s="15" t="s">
        <v>8810</v>
      </c>
      <c r="B50" s="15" t="s">
        <v>8811</v>
      </c>
      <c r="C50" s="15" t="s">
        <v>9341</v>
      </c>
    </row>
    <row r="51" spans="1:3" ht="10" customHeight="1" x14ac:dyDescent="0.2">
      <c r="A51" s="16" t="s">
        <v>51</v>
      </c>
      <c r="B51" s="16" t="s">
        <v>8812</v>
      </c>
    </row>
    <row r="52" spans="1:3" ht="10" customHeight="1" x14ac:dyDescent="0.2">
      <c r="A52" s="16" t="s">
        <v>232</v>
      </c>
      <c r="B52" s="16" t="s">
        <v>8812</v>
      </c>
    </row>
    <row r="53" spans="1:3" ht="10" customHeight="1" x14ac:dyDescent="0.2">
      <c r="A53" s="16" t="s">
        <v>6806</v>
      </c>
      <c r="B53" s="16" t="s">
        <v>8812</v>
      </c>
      <c r="C53" s="22" t="s">
        <v>6805</v>
      </c>
    </row>
    <row r="54" spans="1:3" ht="10" customHeight="1" x14ac:dyDescent="0.2">
      <c r="A54" s="16" t="s">
        <v>4675</v>
      </c>
      <c r="B54" s="16" t="s">
        <v>8812</v>
      </c>
    </row>
    <row r="55" spans="1:3" ht="10" customHeight="1" x14ac:dyDescent="0.2">
      <c r="A55" s="16" t="s">
        <v>239</v>
      </c>
      <c r="B55" s="16" t="s">
        <v>8813</v>
      </c>
      <c r="C55" s="22" t="s">
        <v>9367</v>
      </c>
    </row>
    <row r="56" spans="1:3" ht="10" customHeight="1" x14ac:dyDescent="0.2">
      <c r="A56" s="16" t="s">
        <v>304</v>
      </c>
      <c r="B56" s="16" t="s">
        <v>8814</v>
      </c>
      <c r="C56" s="22" t="s">
        <v>9367</v>
      </c>
    </row>
    <row r="57" spans="1:3" ht="10" customHeight="1" x14ac:dyDescent="0.2">
      <c r="A57" s="16" t="s">
        <v>8192</v>
      </c>
      <c r="B57" s="16" t="s">
        <v>8815</v>
      </c>
      <c r="C57" s="22" t="s">
        <v>9368</v>
      </c>
    </row>
    <row r="58" spans="1:3" ht="10" customHeight="1" x14ac:dyDescent="0.2"/>
    <row r="59" spans="1:3" ht="10" customHeight="1" x14ac:dyDescent="0.2">
      <c r="A59" s="39" t="s">
        <v>9369</v>
      </c>
      <c r="B59" s="30"/>
      <c r="C59" s="30"/>
    </row>
    <row r="60" spans="1:3" ht="10" customHeight="1" x14ac:dyDescent="0.2">
      <c r="A60" s="15" t="s">
        <v>20</v>
      </c>
      <c r="B60" s="15" t="s">
        <v>9370</v>
      </c>
      <c r="C60" s="15" t="s">
        <v>9341</v>
      </c>
    </row>
    <row r="61" spans="1:3" ht="10" customHeight="1" x14ac:dyDescent="0.2">
      <c r="A61" s="16" t="s">
        <v>52</v>
      </c>
      <c r="B61" s="16" t="s">
        <v>9371</v>
      </c>
      <c r="C61" s="22" t="s">
        <v>9372</v>
      </c>
    </row>
    <row r="62" spans="1:3" ht="10" customHeight="1" x14ac:dyDescent="0.2">
      <c r="A62" s="16" t="s">
        <v>69</v>
      </c>
      <c r="B62" s="16" t="s">
        <v>9373</v>
      </c>
      <c r="C62" s="22" t="s">
        <v>9095</v>
      </c>
    </row>
    <row r="63" spans="1:3" ht="10" customHeight="1" x14ac:dyDescent="0.2">
      <c r="A63" s="16" t="s">
        <v>4676</v>
      </c>
      <c r="B63" s="16" t="s">
        <v>9374</v>
      </c>
    </row>
    <row r="64" spans="1:3" ht="10" customHeight="1" x14ac:dyDescent="0.2"/>
    <row r="65" spans="1:3" ht="10" customHeight="1" x14ac:dyDescent="0.2">
      <c r="A65" s="6" t="s">
        <v>9375</v>
      </c>
      <c r="B65" s="7"/>
      <c r="C65" s="7"/>
    </row>
    <row r="66" spans="1:3" ht="10" customHeight="1" x14ac:dyDescent="0.2">
      <c r="A66" s="22" t="s">
        <v>9376</v>
      </c>
    </row>
    <row r="67" spans="1:3" ht="10" customHeight="1" x14ac:dyDescent="0.2">
      <c r="A67" s="15" t="s">
        <v>16</v>
      </c>
      <c r="B67" s="15" t="s">
        <v>9318</v>
      </c>
      <c r="C67" s="15" t="s">
        <v>9377</v>
      </c>
    </row>
    <row r="68" spans="1:3" ht="10" customHeight="1" x14ac:dyDescent="0.2">
      <c r="A68" s="16" t="s">
        <v>9378</v>
      </c>
      <c r="B68" s="16" t="s">
        <v>9379</v>
      </c>
      <c r="C68" s="22" t="s">
        <v>9380</v>
      </c>
    </row>
    <row r="69" spans="1:3" ht="10" customHeight="1" x14ac:dyDescent="0.2">
      <c r="A69" s="16" t="s">
        <v>9381</v>
      </c>
      <c r="B69" s="16" t="s">
        <v>9382</v>
      </c>
      <c r="C69" s="22" t="s">
        <v>9383</v>
      </c>
    </row>
    <row r="70" spans="1:3" ht="10" customHeight="1" x14ac:dyDescent="0.2">
      <c r="A70" s="16" t="s">
        <v>9384</v>
      </c>
      <c r="B70" s="16" t="s">
        <v>9385</v>
      </c>
      <c r="C70" s="22" t="s">
        <v>9386</v>
      </c>
    </row>
    <row r="71" spans="1:3" ht="10" customHeight="1" x14ac:dyDescent="0.2">
      <c r="A71" s="16" t="s">
        <v>9387</v>
      </c>
      <c r="B71" s="16" t="s">
        <v>9388</v>
      </c>
      <c r="C71" s="22" t="s">
        <v>9389</v>
      </c>
    </row>
    <row r="72" spans="1:3" ht="10" customHeight="1" x14ac:dyDescent="0.2">
      <c r="A72" s="16" t="s">
        <v>9390</v>
      </c>
      <c r="B72" s="16" t="s">
        <v>9391</v>
      </c>
      <c r="C72" s="22" t="s">
        <v>9392</v>
      </c>
    </row>
    <row r="73" spans="1:3" ht="10" customHeight="1" x14ac:dyDescent="0.2">
      <c r="A73" s="16" t="s">
        <v>9393</v>
      </c>
      <c r="B73" s="16" t="s">
        <v>9394</v>
      </c>
      <c r="C73" s="22" t="s">
        <v>9395</v>
      </c>
    </row>
    <row r="74" spans="1:3" ht="10" customHeight="1" x14ac:dyDescent="0.2">
      <c r="A74" s="16" t="s">
        <v>9396</v>
      </c>
      <c r="B74" s="16" t="s">
        <v>9397</v>
      </c>
      <c r="C74" s="22" t="s">
        <v>9398</v>
      </c>
    </row>
    <row r="75" spans="1:3" ht="10" customHeight="1" x14ac:dyDescent="0.2"/>
    <row r="76" spans="1:3" ht="10" customHeight="1" x14ac:dyDescent="0.2">
      <c r="A76" s="39" t="s">
        <v>9399</v>
      </c>
      <c r="B76" s="30"/>
      <c r="C76" s="30"/>
    </row>
    <row r="77" spans="1:3" ht="10" customHeight="1" x14ac:dyDescent="0.2">
      <c r="A77" s="15" t="s">
        <v>8837</v>
      </c>
      <c r="B77" s="15" t="s">
        <v>9318</v>
      </c>
      <c r="C77" s="15" t="s">
        <v>9400</v>
      </c>
    </row>
    <row r="78" spans="1:3" ht="10" customHeight="1" x14ac:dyDescent="0.2">
      <c r="A78" s="16" t="s">
        <v>49</v>
      </c>
      <c r="B78" s="16" t="s">
        <v>9401</v>
      </c>
      <c r="C78" s="22" t="s">
        <v>9402</v>
      </c>
    </row>
    <row r="79" spans="1:3" ht="10" customHeight="1" x14ac:dyDescent="0.2">
      <c r="A79" s="16" t="s">
        <v>64</v>
      </c>
      <c r="B79" s="16" t="s">
        <v>9403</v>
      </c>
      <c r="C79" s="22" t="s">
        <v>9404</v>
      </c>
    </row>
    <row r="80" spans="1:3" ht="10" customHeight="1" x14ac:dyDescent="0.2">
      <c r="A80" s="16" t="s">
        <v>4594</v>
      </c>
      <c r="B80" s="16" t="s">
        <v>9405</v>
      </c>
      <c r="C80" s="22" t="s">
        <v>9406</v>
      </c>
    </row>
    <row r="81" spans="1:3" ht="10" customHeight="1" x14ac:dyDescent="0.2">
      <c r="A81" s="16" t="s">
        <v>250</v>
      </c>
      <c r="B81" s="16" t="s">
        <v>9407</v>
      </c>
      <c r="C81" s="22" t="s">
        <v>9408</v>
      </c>
    </row>
    <row r="82" spans="1:3" ht="10" customHeight="1" x14ac:dyDescent="0.2"/>
    <row r="83" spans="1:3" ht="10" customHeight="1" x14ac:dyDescent="0.2">
      <c r="A83" s="39" t="s">
        <v>9409</v>
      </c>
      <c r="B83" s="30"/>
      <c r="C83" s="30"/>
    </row>
    <row r="84" spans="1:3" ht="10" customHeight="1" x14ac:dyDescent="0.2">
      <c r="A84" s="15" t="s">
        <v>8837</v>
      </c>
      <c r="B84" s="15" t="s">
        <v>9318</v>
      </c>
      <c r="C84" s="15" t="s">
        <v>9410</v>
      </c>
    </row>
    <row r="85" spans="1:3" ht="10" customHeight="1" x14ac:dyDescent="0.2">
      <c r="A85" s="16" t="s">
        <v>9411</v>
      </c>
      <c r="B85" s="16" t="s">
        <v>9412</v>
      </c>
      <c r="C85" s="22" t="s">
        <v>9413</v>
      </c>
    </row>
    <row r="86" spans="1:3" ht="10" customHeight="1" x14ac:dyDescent="0.2">
      <c r="A86" s="16" t="s">
        <v>9414</v>
      </c>
      <c r="B86" s="16" t="s">
        <v>9415</v>
      </c>
      <c r="C86" s="22" t="s">
        <v>9416</v>
      </c>
    </row>
    <row r="87" spans="1:3" ht="10" customHeight="1" x14ac:dyDescent="0.2">
      <c r="A87" s="16" t="s">
        <v>9417</v>
      </c>
      <c r="B87" s="16" t="s">
        <v>9418</v>
      </c>
      <c r="C87" s="22" t="s">
        <v>9419</v>
      </c>
    </row>
    <row r="88" spans="1:3" ht="10" customHeight="1" x14ac:dyDescent="0.2">
      <c r="A88" s="16" t="s">
        <v>9420</v>
      </c>
      <c r="B88" s="16" t="s">
        <v>9421</v>
      </c>
      <c r="C88" s="22" t="s">
        <v>9422</v>
      </c>
    </row>
    <row r="89" spans="1:3" ht="10" customHeight="1" x14ac:dyDescent="0.2">
      <c r="A89" s="16" t="s">
        <v>9423</v>
      </c>
      <c r="B89" s="16" t="s">
        <v>9424</v>
      </c>
      <c r="C89" s="22" t="s">
        <v>9425</v>
      </c>
    </row>
    <row r="90" spans="1:3" ht="10" customHeight="1" x14ac:dyDescent="0.2">
      <c r="A90" s="16" t="s">
        <v>9426</v>
      </c>
      <c r="B90" s="16" t="s">
        <v>9427</v>
      </c>
      <c r="C90" s="22" t="s">
        <v>9428</v>
      </c>
    </row>
    <row r="91" spans="1:3" ht="10" customHeight="1" x14ac:dyDescent="0.2">
      <c r="A91" s="16" t="s">
        <v>9429</v>
      </c>
      <c r="B91" s="16" t="s">
        <v>9430</v>
      </c>
      <c r="C91" s="22" t="s">
        <v>9431</v>
      </c>
    </row>
    <row r="92" spans="1:3" ht="10" customHeight="1" x14ac:dyDescent="0.2">
      <c r="A92" s="16" t="s">
        <v>9432</v>
      </c>
      <c r="B92" s="16" t="s">
        <v>9433</v>
      </c>
      <c r="C92" s="22" t="s">
        <v>9425</v>
      </c>
    </row>
    <row r="93" spans="1:3" ht="10" customHeight="1" x14ac:dyDescent="0.2">
      <c r="A93" s="16" t="s">
        <v>9434</v>
      </c>
      <c r="B93" s="16" t="s">
        <v>9435</v>
      </c>
      <c r="C93" s="22" t="s">
        <v>9436</v>
      </c>
    </row>
    <row r="94" spans="1:3" ht="10" customHeight="1" x14ac:dyDescent="0.2"/>
    <row r="95" spans="1:3" ht="10" customHeight="1" x14ac:dyDescent="0.2">
      <c r="A95" s="39" t="s">
        <v>9437</v>
      </c>
      <c r="B95" s="30"/>
      <c r="C95" s="30"/>
    </row>
    <row r="96" spans="1:3" ht="10" customHeight="1" x14ac:dyDescent="0.2">
      <c r="A96" s="16" t="s">
        <v>9438</v>
      </c>
      <c r="B96" s="16" t="s">
        <v>9439</v>
      </c>
      <c r="C96" s="22" t="s">
        <v>9440</v>
      </c>
    </row>
    <row r="97" spans="1:3" ht="10" customHeight="1" x14ac:dyDescent="0.2">
      <c r="A97" s="16" t="s">
        <v>9441</v>
      </c>
      <c r="B97" s="16" t="s">
        <v>9442</v>
      </c>
      <c r="C97" s="22" t="s">
        <v>9443</v>
      </c>
    </row>
    <row r="98" spans="1:3" ht="10" customHeight="1" x14ac:dyDescent="0.2"/>
    <row r="99" spans="1:3" ht="10" customHeight="1" x14ac:dyDescent="0.2">
      <c r="A99" s="6" t="s">
        <v>9444</v>
      </c>
      <c r="B99" s="7"/>
      <c r="C99" s="7"/>
    </row>
    <row r="100" spans="1:3" ht="10" customHeight="1" x14ac:dyDescent="0.2">
      <c r="A100" s="22" t="s">
        <v>9445</v>
      </c>
    </row>
    <row r="101" spans="1:3" ht="10" customHeight="1" x14ac:dyDescent="0.2"/>
    <row r="102" spans="1:3" ht="10" customHeight="1" x14ac:dyDescent="0.2">
      <c r="A102" s="39" t="s">
        <v>9446</v>
      </c>
      <c r="B102" s="30"/>
      <c r="C102" s="30"/>
    </row>
    <row r="103" spans="1:3" ht="10" customHeight="1" x14ac:dyDescent="0.2">
      <c r="A103" s="22" t="s">
        <v>9447</v>
      </c>
    </row>
    <row r="104" spans="1:3" ht="10" customHeight="1" x14ac:dyDescent="0.2"/>
    <row r="105" spans="1:3" ht="10" customHeight="1" x14ac:dyDescent="0.2">
      <c r="A105" s="39" t="s">
        <v>9448</v>
      </c>
      <c r="B105" s="30"/>
      <c r="C105" s="30"/>
    </row>
    <row r="106" spans="1:3" ht="10" customHeight="1" x14ac:dyDescent="0.2">
      <c r="A106" s="22" t="s">
        <v>9449</v>
      </c>
    </row>
    <row r="107" spans="1:3" ht="10" customHeight="1" x14ac:dyDescent="0.2">
      <c r="A107" s="15" t="s">
        <v>9450</v>
      </c>
      <c r="B107" s="15" t="s">
        <v>9318</v>
      </c>
      <c r="C107" s="15" t="s">
        <v>9451</v>
      </c>
    </row>
    <row r="108" spans="1:3" ht="10" customHeight="1" x14ac:dyDescent="0.2">
      <c r="A108" s="16" t="s">
        <v>69</v>
      </c>
      <c r="B108" s="16" t="s">
        <v>9452</v>
      </c>
      <c r="C108" s="22" t="s">
        <v>70</v>
      </c>
    </row>
    <row r="109" spans="1:3" ht="10" customHeight="1" x14ac:dyDescent="0.2">
      <c r="A109" s="16" t="s">
        <v>119</v>
      </c>
      <c r="B109" s="16" t="s">
        <v>9453</v>
      </c>
      <c r="C109" s="22" t="s">
        <v>9454</v>
      </c>
    </row>
    <row r="110" spans="1:3" ht="10" customHeight="1" x14ac:dyDescent="0.2">
      <c r="A110" s="16" t="s">
        <v>52</v>
      </c>
      <c r="B110" s="16" t="s">
        <v>9455</v>
      </c>
      <c r="C110" s="22" t="s">
        <v>9456</v>
      </c>
    </row>
    <row r="111" spans="1:3" ht="10" customHeight="1" x14ac:dyDescent="0.2">
      <c r="A111" s="16" t="s">
        <v>149</v>
      </c>
      <c r="B111" s="16" t="s">
        <v>9457</v>
      </c>
      <c r="C111" s="22" t="s">
        <v>9458</v>
      </c>
    </row>
    <row r="112" spans="1:3" ht="10" customHeight="1" x14ac:dyDescent="0.2">
      <c r="A112" s="16" t="s">
        <v>4684</v>
      </c>
      <c r="B112" s="16" t="s">
        <v>9459</v>
      </c>
      <c r="C112" s="22" t="s">
        <v>4685</v>
      </c>
    </row>
    <row r="113" spans="1:3" ht="10" customHeight="1" x14ac:dyDescent="0.2">
      <c r="A113" s="16" t="s">
        <v>202</v>
      </c>
      <c r="B113" s="16" t="s">
        <v>9460</v>
      </c>
      <c r="C113" s="22" t="s">
        <v>9461</v>
      </c>
    </row>
    <row r="114" spans="1:3" ht="10" customHeight="1" x14ac:dyDescent="0.2">
      <c r="A114" s="16" t="s">
        <v>4856</v>
      </c>
      <c r="B114" s="16" t="s">
        <v>9462</v>
      </c>
      <c r="C114" s="22" t="s">
        <v>4857</v>
      </c>
    </row>
    <row r="115" spans="1:3" ht="10" customHeight="1" x14ac:dyDescent="0.2">
      <c r="A115" s="16" t="s">
        <v>4963</v>
      </c>
      <c r="B115" s="16" t="s">
        <v>9463</v>
      </c>
      <c r="C115" s="22" t="s">
        <v>4964</v>
      </c>
    </row>
    <row r="116" spans="1:3" ht="10" customHeight="1" x14ac:dyDescent="0.2">
      <c r="A116" s="16" t="s">
        <v>214</v>
      </c>
      <c r="B116" s="16" t="s">
        <v>9464</v>
      </c>
      <c r="C116" s="22" t="s">
        <v>9465</v>
      </c>
    </row>
    <row r="117" spans="1:3" ht="10" customHeight="1" x14ac:dyDescent="0.2">
      <c r="A117" s="16" t="s">
        <v>226</v>
      </c>
      <c r="B117" s="16" t="s">
        <v>9466</v>
      </c>
      <c r="C117" s="22" t="s">
        <v>9467</v>
      </c>
    </row>
    <row r="118" spans="1:3" ht="10" customHeight="1" x14ac:dyDescent="0.2">
      <c r="A118" s="16" t="s">
        <v>182</v>
      </c>
      <c r="B118" s="16" t="s">
        <v>9468</v>
      </c>
      <c r="C118" s="22" t="s">
        <v>9469</v>
      </c>
    </row>
    <row r="119" spans="1:3" ht="10" customHeight="1" x14ac:dyDescent="0.2"/>
    <row r="120" spans="1:3" ht="10" customHeight="1" x14ac:dyDescent="0.2">
      <c r="A120" s="39" t="s">
        <v>9470</v>
      </c>
      <c r="B120" s="30"/>
      <c r="C120" s="30"/>
    </row>
    <row r="121" spans="1:3" ht="10" customHeight="1" x14ac:dyDescent="0.2">
      <c r="A121" s="22" t="s">
        <v>9471</v>
      </c>
    </row>
    <row r="122" spans="1:3" ht="10" customHeight="1" x14ac:dyDescent="0.2">
      <c r="A122" s="15" t="s">
        <v>9450</v>
      </c>
      <c r="B122" s="15" t="s">
        <v>9318</v>
      </c>
      <c r="C122" s="15" t="s">
        <v>9451</v>
      </c>
    </row>
    <row r="123" spans="1:3" ht="10" customHeight="1" x14ac:dyDescent="0.2">
      <c r="A123" s="16" t="s">
        <v>5274</v>
      </c>
      <c r="B123" s="16" t="s">
        <v>9472</v>
      </c>
      <c r="C123" s="22" t="s">
        <v>5275</v>
      </c>
    </row>
    <row r="124" spans="1:3" ht="10" customHeight="1" x14ac:dyDescent="0.2">
      <c r="A124" s="16" t="s">
        <v>4643</v>
      </c>
      <c r="B124" s="16" t="s">
        <v>9473</v>
      </c>
      <c r="C124" s="22" t="s">
        <v>4644</v>
      </c>
    </row>
    <row r="125" spans="1:3" ht="10" customHeight="1" x14ac:dyDescent="0.2">
      <c r="A125" s="16" t="s">
        <v>233</v>
      </c>
      <c r="B125" s="16" t="s">
        <v>9474</v>
      </c>
      <c r="C125" s="22" t="s">
        <v>9475</v>
      </c>
    </row>
    <row r="126" spans="1:3" ht="10" customHeight="1" x14ac:dyDescent="0.2">
      <c r="A126" s="16" t="s">
        <v>5026</v>
      </c>
      <c r="B126" s="16" t="s">
        <v>9476</v>
      </c>
      <c r="C126" s="22" t="s">
        <v>9477</v>
      </c>
    </row>
    <row r="127" spans="1:3" ht="10" customHeight="1" x14ac:dyDescent="0.2">
      <c r="A127" s="16" t="s">
        <v>245</v>
      </c>
      <c r="B127" s="16" t="s">
        <v>9478</v>
      </c>
      <c r="C127" s="22" t="s">
        <v>9479</v>
      </c>
    </row>
    <row r="128" spans="1:3" ht="10" customHeight="1" x14ac:dyDescent="0.2">
      <c r="A128" s="16" t="s">
        <v>9480</v>
      </c>
      <c r="B128" s="16" t="s">
        <v>9481</v>
      </c>
      <c r="C128" s="22" t="s">
        <v>9482</v>
      </c>
    </row>
    <row r="129" spans="1:3" ht="10" customHeight="1" x14ac:dyDescent="0.2">
      <c r="A129" s="16" t="s">
        <v>9483</v>
      </c>
      <c r="B129" s="16" t="s">
        <v>9484</v>
      </c>
      <c r="C129" s="22" t="s">
        <v>9485</v>
      </c>
    </row>
    <row r="130" spans="1:3" ht="10" customHeight="1" x14ac:dyDescent="0.2">
      <c r="A130" s="16" t="s">
        <v>5269</v>
      </c>
      <c r="B130" s="16" t="s">
        <v>9486</v>
      </c>
      <c r="C130" s="22" t="s">
        <v>5270</v>
      </c>
    </row>
    <row r="131" spans="1:3" ht="10" customHeight="1" x14ac:dyDescent="0.2">
      <c r="A131" s="16" t="s">
        <v>4982</v>
      </c>
      <c r="B131" s="16" t="s">
        <v>9487</v>
      </c>
      <c r="C131" s="22" t="s">
        <v>4983</v>
      </c>
    </row>
    <row r="132" spans="1:3" ht="10" customHeight="1" x14ac:dyDescent="0.2">
      <c r="A132" s="16" t="s">
        <v>5016</v>
      </c>
      <c r="B132" s="16" t="s">
        <v>9488</v>
      </c>
      <c r="C132" s="22" t="s">
        <v>5017</v>
      </c>
    </row>
    <row r="133" spans="1:3" ht="10" customHeight="1" x14ac:dyDescent="0.2">
      <c r="A133" s="16" t="s">
        <v>9489</v>
      </c>
      <c r="B133" s="16" t="s">
        <v>9490</v>
      </c>
      <c r="C133" s="22" t="s">
        <v>9491</v>
      </c>
    </row>
    <row r="134" spans="1:3" ht="10" customHeight="1" x14ac:dyDescent="0.2"/>
    <row r="135" spans="1:3" ht="10" customHeight="1" x14ac:dyDescent="0.2">
      <c r="A135" s="39" t="s">
        <v>9492</v>
      </c>
      <c r="B135" s="30"/>
      <c r="C135" s="30"/>
    </row>
    <row r="136" spans="1:3" ht="10" customHeight="1" x14ac:dyDescent="0.2">
      <c r="A136" s="22" t="s">
        <v>9493</v>
      </c>
    </row>
    <row r="137" spans="1:3" ht="10" customHeight="1" x14ac:dyDescent="0.2">
      <c r="A137" s="15" t="s">
        <v>9450</v>
      </c>
      <c r="B137" s="15" t="s">
        <v>9318</v>
      </c>
      <c r="C137" s="15" t="s">
        <v>9451</v>
      </c>
    </row>
    <row r="138" spans="1:3" ht="10" customHeight="1" x14ac:dyDescent="0.2">
      <c r="A138" s="16" t="s">
        <v>6086</v>
      </c>
      <c r="B138" s="16" t="s">
        <v>9494</v>
      </c>
      <c r="C138" s="22" t="s">
        <v>6085</v>
      </c>
    </row>
    <row r="139" spans="1:3" ht="10" customHeight="1" x14ac:dyDescent="0.2">
      <c r="A139" s="16" t="s">
        <v>240</v>
      </c>
      <c r="B139" s="16" t="s">
        <v>9495</v>
      </c>
      <c r="C139" s="22" t="s">
        <v>9496</v>
      </c>
    </row>
    <row r="140" spans="1:3" ht="10" customHeight="1" x14ac:dyDescent="0.2">
      <c r="A140" s="16" t="s">
        <v>9497</v>
      </c>
      <c r="B140" s="16" t="s">
        <v>9498</v>
      </c>
      <c r="C140" s="22" t="s">
        <v>9499</v>
      </c>
    </row>
    <row r="141" spans="1:3" ht="10" customHeight="1" x14ac:dyDescent="0.2">
      <c r="A141" s="16" t="s">
        <v>6416</v>
      </c>
      <c r="B141" s="16" t="s">
        <v>9500</v>
      </c>
      <c r="C141" s="22" t="s">
        <v>9501</v>
      </c>
    </row>
    <row r="142" spans="1:3" ht="10" customHeight="1" x14ac:dyDescent="0.2"/>
    <row r="143" spans="1:3" ht="10" customHeight="1" x14ac:dyDescent="0.2">
      <c r="A143" s="39" t="s">
        <v>9502</v>
      </c>
      <c r="B143" s="30"/>
      <c r="C143" s="30"/>
    </row>
    <row r="144" spans="1:3" ht="10" customHeight="1" x14ac:dyDescent="0.2">
      <c r="A144" s="22" t="s">
        <v>9503</v>
      </c>
    </row>
    <row r="145" spans="1:3" ht="10" customHeight="1" x14ac:dyDescent="0.2">
      <c r="A145" s="15" t="s">
        <v>9450</v>
      </c>
      <c r="B145" s="15" t="s">
        <v>9318</v>
      </c>
      <c r="C145" s="15" t="s">
        <v>9451</v>
      </c>
    </row>
    <row r="146" spans="1:3" ht="10" customHeight="1" x14ac:dyDescent="0.2">
      <c r="A146" s="16" t="s">
        <v>5413</v>
      </c>
      <c r="B146" s="16" t="s">
        <v>9504</v>
      </c>
      <c r="C146" s="22" t="s">
        <v>9505</v>
      </c>
    </row>
    <row r="147" spans="1:3" ht="10" customHeight="1" x14ac:dyDescent="0.2">
      <c r="A147" s="16" t="s">
        <v>4676</v>
      </c>
      <c r="B147" s="16" t="s">
        <v>9506</v>
      </c>
      <c r="C147" s="22" t="s">
        <v>9507</v>
      </c>
    </row>
    <row r="148" spans="1:3" ht="10" customHeight="1" x14ac:dyDescent="0.2"/>
    <row r="149" spans="1:3" ht="10" customHeight="1" x14ac:dyDescent="0.2">
      <c r="A149" s="39" t="s">
        <v>9508</v>
      </c>
      <c r="B149" s="30"/>
      <c r="C149" s="30"/>
    </row>
    <row r="150" spans="1:3" ht="10" customHeight="1" x14ac:dyDescent="0.2">
      <c r="A150" s="22" t="s">
        <v>9509</v>
      </c>
    </row>
    <row r="151" spans="1:3" ht="10" customHeight="1" x14ac:dyDescent="0.2">
      <c r="A151" s="15" t="s">
        <v>9450</v>
      </c>
      <c r="B151" s="15" t="s">
        <v>9318</v>
      </c>
      <c r="C151" s="15" t="s">
        <v>9451</v>
      </c>
    </row>
    <row r="152" spans="1:3" ht="10" customHeight="1" x14ac:dyDescent="0.2">
      <c r="A152" s="16" t="s">
        <v>9510</v>
      </c>
      <c r="B152" s="16" t="s">
        <v>9511</v>
      </c>
      <c r="C152" s="22" t="s">
        <v>9512</v>
      </c>
    </row>
    <row r="153" spans="1:3" ht="10" customHeight="1" x14ac:dyDescent="0.2">
      <c r="A153" s="16" t="s">
        <v>9513</v>
      </c>
      <c r="B153" s="16" t="s">
        <v>9514</v>
      </c>
      <c r="C153" s="22" t="s">
        <v>9515</v>
      </c>
    </row>
    <row r="154" spans="1:3" ht="10" customHeight="1" x14ac:dyDescent="0.2">
      <c r="A154" s="16" t="s">
        <v>9516</v>
      </c>
      <c r="B154" s="16" t="s">
        <v>9517</v>
      </c>
      <c r="C154" s="22" t="s">
        <v>9518</v>
      </c>
    </row>
    <row r="155" spans="1:3" ht="10" customHeight="1" x14ac:dyDescent="0.2">
      <c r="A155" s="16" t="s">
        <v>8305</v>
      </c>
      <c r="B155" s="16" t="s">
        <v>9519</v>
      </c>
      <c r="C155" s="22" t="s">
        <v>9520</v>
      </c>
    </row>
    <row r="156" spans="1:3" ht="10" customHeight="1" x14ac:dyDescent="0.2">
      <c r="A156" s="16" t="s">
        <v>305</v>
      </c>
      <c r="B156" s="16" t="s">
        <v>9521</v>
      </c>
      <c r="C156" s="22" t="s">
        <v>9522</v>
      </c>
    </row>
    <row r="157" spans="1:3" ht="10" customHeight="1" x14ac:dyDescent="0.2">
      <c r="A157" s="16" t="s">
        <v>5250</v>
      </c>
      <c r="B157" s="16" t="s">
        <v>9523</v>
      </c>
      <c r="C157" s="22" t="s">
        <v>9524</v>
      </c>
    </row>
    <row r="158" spans="1:3" ht="10" customHeight="1" x14ac:dyDescent="0.2">
      <c r="A158" s="16" t="s">
        <v>9525</v>
      </c>
      <c r="B158" s="16" t="s">
        <v>9526</v>
      </c>
      <c r="C158" s="22" t="s">
        <v>9527</v>
      </c>
    </row>
    <row r="159" spans="1:3" ht="10" customHeight="1" x14ac:dyDescent="0.2">
      <c r="A159" s="16" t="s">
        <v>9528</v>
      </c>
      <c r="B159" s="16" t="s">
        <v>9529</v>
      </c>
      <c r="C159" s="22" t="s">
        <v>9530</v>
      </c>
    </row>
    <row r="160" spans="1:3" ht="10" customHeight="1" x14ac:dyDescent="0.2"/>
    <row r="161" spans="1:3" ht="10" customHeight="1" x14ac:dyDescent="0.2">
      <c r="A161" s="39" t="s">
        <v>9531</v>
      </c>
      <c r="B161" s="30"/>
      <c r="C161" s="30"/>
    </row>
    <row r="162" spans="1:3" ht="10" customHeight="1" x14ac:dyDescent="0.2">
      <c r="A162" s="22" t="s">
        <v>9532</v>
      </c>
    </row>
    <row r="163" spans="1:3" ht="10" customHeight="1" x14ac:dyDescent="0.2">
      <c r="A163" s="22" t="s">
        <v>9533</v>
      </c>
    </row>
    <row r="164" spans="1:3" ht="10" customHeight="1" x14ac:dyDescent="0.2"/>
    <row r="165" spans="1:3" ht="10" customHeight="1" x14ac:dyDescent="0.2">
      <c r="A165" s="39" t="s">
        <v>9534</v>
      </c>
      <c r="B165" s="30"/>
      <c r="C165" s="30"/>
    </row>
    <row r="166" spans="1:3" ht="10" customHeight="1" x14ac:dyDescent="0.2">
      <c r="A166" s="22" t="s">
        <v>9535</v>
      </c>
    </row>
    <row r="167" spans="1:3" ht="10" customHeight="1" x14ac:dyDescent="0.2"/>
    <row r="168" spans="1:3" ht="10" customHeight="1" x14ac:dyDescent="0.2">
      <c r="A168" s="39" t="s">
        <v>9536</v>
      </c>
      <c r="B168" s="30"/>
      <c r="C168" s="30"/>
    </row>
    <row r="169" spans="1:3" ht="10" customHeight="1" x14ac:dyDescent="0.2">
      <c r="A169" s="22" t="s">
        <v>9537</v>
      </c>
    </row>
    <row r="170" spans="1:3" ht="10" customHeight="1" x14ac:dyDescent="0.2">
      <c r="A170" s="15" t="s">
        <v>9450</v>
      </c>
      <c r="B170" s="15" t="s">
        <v>9318</v>
      </c>
      <c r="C170" s="15" t="s">
        <v>9451</v>
      </c>
    </row>
    <row r="171" spans="1:3" ht="10" customHeight="1" x14ac:dyDescent="0.2">
      <c r="A171" s="16" t="s">
        <v>8196</v>
      </c>
      <c r="B171" s="16" t="s">
        <v>9538</v>
      </c>
      <c r="C171" s="22" t="s">
        <v>8197</v>
      </c>
    </row>
    <row r="172" spans="1:3" ht="10" customHeight="1" x14ac:dyDescent="0.2">
      <c r="A172" s="16" t="s">
        <v>8203</v>
      </c>
      <c r="B172" s="16" t="s">
        <v>9539</v>
      </c>
      <c r="C172" s="22" t="s">
        <v>8204</v>
      </c>
    </row>
    <row r="173" spans="1:3" ht="10" customHeight="1" x14ac:dyDescent="0.2">
      <c r="A173" s="16" t="s">
        <v>6807</v>
      </c>
      <c r="B173" s="16" t="s">
        <v>9540</v>
      </c>
      <c r="C173" s="22" t="s">
        <v>6808</v>
      </c>
    </row>
    <row r="174" spans="1:3" ht="10" customHeight="1" x14ac:dyDescent="0.2">
      <c r="A174" s="16" t="s">
        <v>9541</v>
      </c>
      <c r="B174" s="16" t="s">
        <v>9542</v>
      </c>
      <c r="C174" s="22" t="s">
        <v>9543</v>
      </c>
    </row>
    <row r="175" spans="1:3" ht="10" customHeight="1" x14ac:dyDescent="0.2">
      <c r="A175" s="16" t="s">
        <v>9544</v>
      </c>
      <c r="B175" s="16" t="s">
        <v>9545</v>
      </c>
      <c r="C175" s="22" t="s">
        <v>9546</v>
      </c>
    </row>
    <row r="176" spans="1:3" ht="10" customHeight="1" x14ac:dyDescent="0.2">
      <c r="A176" s="16" t="s">
        <v>8182</v>
      </c>
      <c r="B176" s="16" t="s">
        <v>9547</v>
      </c>
      <c r="C176" s="22" t="s">
        <v>8184</v>
      </c>
    </row>
    <row r="177" spans="1:3" ht="10" customHeight="1" x14ac:dyDescent="0.2">
      <c r="A177" s="16" t="s">
        <v>8188</v>
      </c>
      <c r="B177" s="16" t="s">
        <v>9548</v>
      </c>
      <c r="C177" s="22" t="s">
        <v>8189</v>
      </c>
    </row>
    <row r="178" spans="1:3" ht="10" customHeight="1" x14ac:dyDescent="0.2">
      <c r="A178" s="16" t="s">
        <v>9497</v>
      </c>
      <c r="B178" s="16" t="s">
        <v>9549</v>
      </c>
      <c r="C178" s="22" t="s">
        <v>9550</v>
      </c>
    </row>
    <row r="179" spans="1:3" ht="10" customHeight="1" x14ac:dyDescent="0.2">
      <c r="A179" s="16" t="s">
        <v>9551</v>
      </c>
      <c r="B179" s="16" t="s">
        <v>9552</v>
      </c>
      <c r="C179" s="22" t="s">
        <v>9553</v>
      </c>
    </row>
    <row r="180" spans="1:3" ht="10" customHeight="1" x14ac:dyDescent="0.2">
      <c r="A180" s="16" t="s">
        <v>8169</v>
      </c>
      <c r="B180" s="16" t="s">
        <v>9554</v>
      </c>
      <c r="C180" s="22" t="s">
        <v>8170</v>
      </c>
    </row>
    <row r="181" spans="1:3" ht="10" customHeight="1" x14ac:dyDescent="0.2">
      <c r="A181" s="16" t="s">
        <v>9555</v>
      </c>
      <c r="B181" s="16" t="s">
        <v>9556</v>
      </c>
      <c r="C181" s="22" t="s">
        <v>9557</v>
      </c>
    </row>
    <row r="182" spans="1:3" ht="10" customHeight="1" x14ac:dyDescent="0.2">
      <c r="A182" s="16" t="s">
        <v>9558</v>
      </c>
      <c r="B182" s="16" t="s">
        <v>9559</v>
      </c>
      <c r="C182" s="22" t="s">
        <v>9560</v>
      </c>
    </row>
    <row r="183" spans="1:3" ht="10" customHeight="1" x14ac:dyDescent="0.2">
      <c r="A183" s="16" t="s">
        <v>9561</v>
      </c>
      <c r="B183" s="16" t="s">
        <v>9562</v>
      </c>
      <c r="C183" s="22" t="s">
        <v>9563</v>
      </c>
    </row>
    <row r="184" spans="1:3" ht="10" customHeight="1" x14ac:dyDescent="0.2">
      <c r="A184" s="16" t="s">
        <v>9564</v>
      </c>
      <c r="B184" s="16" t="s">
        <v>9565</v>
      </c>
      <c r="C184" s="22" t="s">
        <v>9566</v>
      </c>
    </row>
    <row r="185" spans="1:3" ht="10" customHeight="1" x14ac:dyDescent="0.2">
      <c r="A185" s="16" t="s">
        <v>9567</v>
      </c>
      <c r="B185" s="16" t="s">
        <v>9568</v>
      </c>
      <c r="C185" s="22" t="s">
        <v>9569</v>
      </c>
    </row>
    <row r="186" spans="1:3" ht="10" customHeight="1" x14ac:dyDescent="0.2">
      <c r="A186" s="16" t="s">
        <v>9570</v>
      </c>
      <c r="B186" s="16" t="s">
        <v>9571</v>
      </c>
      <c r="C186" s="22" t="s">
        <v>9572</v>
      </c>
    </row>
    <row r="187" spans="1:3" ht="10" customHeight="1" x14ac:dyDescent="0.2"/>
    <row r="188" spans="1:3" ht="10" customHeight="1" x14ac:dyDescent="0.2">
      <c r="A188" s="39" t="s">
        <v>9573</v>
      </c>
      <c r="B188" s="30"/>
      <c r="C188" s="30"/>
    </row>
    <row r="189" spans="1:3" ht="10" customHeight="1" x14ac:dyDescent="0.2">
      <c r="A189" s="22" t="s">
        <v>9574</v>
      </c>
    </row>
    <row r="190" spans="1:3" ht="10" customHeight="1" x14ac:dyDescent="0.2">
      <c r="A190" s="15" t="s">
        <v>9450</v>
      </c>
      <c r="B190" s="15" t="s">
        <v>9318</v>
      </c>
      <c r="C190" s="15" t="s">
        <v>9451</v>
      </c>
    </row>
    <row r="191" spans="1:3" ht="10" customHeight="1" x14ac:dyDescent="0.2">
      <c r="A191" s="16" t="s">
        <v>9575</v>
      </c>
      <c r="B191" s="16" t="s">
        <v>9576</v>
      </c>
      <c r="C191" s="22" t="s">
        <v>9577</v>
      </c>
    </row>
    <row r="192" spans="1:3" ht="10" customHeight="1" x14ac:dyDescent="0.2">
      <c r="A192" s="16" t="s">
        <v>9578</v>
      </c>
      <c r="B192" s="16" t="s">
        <v>9579</v>
      </c>
      <c r="C192" s="22" t="s">
        <v>9580</v>
      </c>
    </row>
    <row r="193" spans="1:3" ht="10" customHeight="1" x14ac:dyDescent="0.2">
      <c r="A193" s="16" t="s">
        <v>9581</v>
      </c>
      <c r="B193" s="16" t="s">
        <v>9582</v>
      </c>
      <c r="C193" s="22" t="s">
        <v>9583</v>
      </c>
    </row>
    <row r="194" spans="1:3" ht="10" customHeight="1" x14ac:dyDescent="0.2">
      <c r="A194" s="16" t="s">
        <v>9584</v>
      </c>
      <c r="B194" s="16" t="s">
        <v>9585</v>
      </c>
      <c r="C194" s="22" t="s">
        <v>9586</v>
      </c>
    </row>
    <row r="195" spans="1:3" ht="10" customHeight="1" x14ac:dyDescent="0.2">
      <c r="A195" s="16" t="s">
        <v>9587</v>
      </c>
      <c r="B195" s="16" t="s">
        <v>9588</v>
      </c>
      <c r="C195" s="22" t="s">
        <v>9589</v>
      </c>
    </row>
    <row r="196" spans="1:3" ht="10" customHeight="1" x14ac:dyDescent="0.2"/>
    <row r="197" spans="1:3" ht="10" customHeight="1" x14ac:dyDescent="0.2">
      <c r="A197" s="6" t="s">
        <v>9590</v>
      </c>
      <c r="B197" s="7"/>
      <c r="C197" s="7"/>
    </row>
    <row r="198" spans="1:3" ht="10" customHeight="1" x14ac:dyDescent="0.2">
      <c r="A198" s="22" t="s">
        <v>9591</v>
      </c>
    </row>
    <row r="199" spans="1:3" ht="10" customHeight="1" x14ac:dyDescent="0.2"/>
    <row r="200" spans="1:3" ht="10" customHeight="1" x14ac:dyDescent="0.2">
      <c r="A200" s="39" t="s">
        <v>70</v>
      </c>
      <c r="B200" s="30"/>
      <c r="C200" s="30"/>
    </row>
    <row r="201" spans="1:3" ht="10" customHeight="1" x14ac:dyDescent="0.2">
      <c r="A201" s="15" t="s">
        <v>9592</v>
      </c>
      <c r="B201" s="15" t="s">
        <v>9318</v>
      </c>
      <c r="C201" s="15" t="s">
        <v>9593</v>
      </c>
    </row>
    <row r="202" spans="1:3" ht="10" customHeight="1" x14ac:dyDescent="0.2">
      <c r="A202" s="16" t="s">
        <v>9594</v>
      </c>
      <c r="B202" s="16" t="s">
        <v>9595</v>
      </c>
      <c r="C202" s="22" t="s">
        <v>9596</v>
      </c>
    </row>
    <row r="203" spans="1:3" ht="10" customHeight="1" x14ac:dyDescent="0.2">
      <c r="A203" s="16" t="s">
        <v>9597</v>
      </c>
      <c r="B203" s="16" t="s">
        <v>9598</v>
      </c>
      <c r="C203" s="22" t="s">
        <v>9599</v>
      </c>
    </row>
    <row r="204" spans="1:3" ht="10" customHeight="1" x14ac:dyDescent="0.2"/>
    <row r="205" spans="1:3" ht="10" customHeight="1" x14ac:dyDescent="0.2">
      <c r="A205" s="39" t="s">
        <v>120</v>
      </c>
      <c r="B205" s="30"/>
      <c r="C205" s="30"/>
    </row>
    <row r="206" spans="1:3" ht="10" customHeight="1" x14ac:dyDescent="0.2">
      <c r="A206" s="15" t="s">
        <v>9592</v>
      </c>
      <c r="B206" s="15" t="s">
        <v>9318</v>
      </c>
      <c r="C206" s="15" t="s">
        <v>9593</v>
      </c>
    </row>
    <row r="207" spans="1:3" ht="10" customHeight="1" x14ac:dyDescent="0.2">
      <c r="A207" s="16" t="s">
        <v>9600</v>
      </c>
      <c r="B207" s="16" t="s">
        <v>9601</v>
      </c>
      <c r="C207" s="22" t="s">
        <v>9599</v>
      </c>
    </row>
    <row r="208" spans="1:3" ht="10" customHeight="1" x14ac:dyDescent="0.2">
      <c r="A208" s="16" t="s">
        <v>9602</v>
      </c>
      <c r="B208" s="16" t="s">
        <v>9603</v>
      </c>
      <c r="C208" s="22" t="s">
        <v>9596</v>
      </c>
    </row>
    <row r="209" spans="1:3" ht="10" customHeight="1" x14ac:dyDescent="0.2"/>
    <row r="210" spans="1:3" ht="10" customHeight="1" x14ac:dyDescent="0.2">
      <c r="A210" s="39" t="s">
        <v>4956</v>
      </c>
      <c r="B210" s="30"/>
      <c r="C210" s="30"/>
    </row>
    <row r="211" spans="1:3" ht="10" customHeight="1" x14ac:dyDescent="0.2">
      <c r="A211" s="15" t="s">
        <v>9592</v>
      </c>
      <c r="B211" s="15" t="s">
        <v>9318</v>
      </c>
      <c r="C211" s="15" t="s">
        <v>9593</v>
      </c>
    </row>
    <row r="212" spans="1:3" ht="10" customHeight="1" x14ac:dyDescent="0.2">
      <c r="A212" s="16" t="s">
        <v>9604</v>
      </c>
      <c r="B212" s="16" t="s">
        <v>9605</v>
      </c>
      <c r="C212" s="22" t="s">
        <v>9606</v>
      </c>
    </row>
    <row r="213" spans="1:3" ht="10" customHeight="1" x14ac:dyDescent="0.2"/>
    <row r="214" spans="1:3" ht="10" customHeight="1" x14ac:dyDescent="0.2">
      <c r="A214" s="39" t="s">
        <v>144</v>
      </c>
      <c r="B214" s="30"/>
      <c r="C214" s="30"/>
    </row>
    <row r="215" spans="1:3" ht="10" customHeight="1" x14ac:dyDescent="0.2">
      <c r="A215" s="15" t="s">
        <v>9592</v>
      </c>
      <c r="B215" s="15" t="s">
        <v>9318</v>
      </c>
      <c r="C215" s="15" t="s">
        <v>9593</v>
      </c>
    </row>
    <row r="216" spans="1:3" ht="10" customHeight="1" x14ac:dyDescent="0.2">
      <c r="A216" s="16" t="s">
        <v>9607</v>
      </c>
      <c r="B216" s="16" t="s">
        <v>9608</v>
      </c>
      <c r="C216" s="22" t="s">
        <v>9609</v>
      </c>
    </row>
    <row r="217" spans="1:3" ht="10" customHeight="1" x14ac:dyDescent="0.2"/>
    <row r="218" spans="1:3" ht="10" customHeight="1" x14ac:dyDescent="0.2">
      <c r="A218" s="39" t="s">
        <v>139</v>
      </c>
      <c r="B218" s="30"/>
      <c r="C218" s="30"/>
    </row>
    <row r="219" spans="1:3" ht="10" customHeight="1" x14ac:dyDescent="0.2">
      <c r="A219" s="15" t="s">
        <v>9592</v>
      </c>
      <c r="B219" s="15" t="s">
        <v>9318</v>
      </c>
      <c r="C219" s="15" t="s">
        <v>9593</v>
      </c>
    </row>
    <row r="220" spans="1:3" ht="10" customHeight="1" x14ac:dyDescent="0.2">
      <c r="A220" s="16" t="s">
        <v>9610</v>
      </c>
      <c r="B220" s="16" t="s">
        <v>9611</v>
      </c>
      <c r="C220" s="22" t="s">
        <v>9596</v>
      </c>
    </row>
    <row r="221" spans="1:3" ht="10" customHeight="1" x14ac:dyDescent="0.2">
      <c r="A221" s="16" t="s">
        <v>9612</v>
      </c>
      <c r="B221" s="16" t="s">
        <v>9613</v>
      </c>
      <c r="C221" s="22" t="s">
        <v>9596</v>
      </c>
    </row>
    <row r="222" spans="1:3" ht="10" customHeight="1" x14ac:dyDescent="0.2"/>
    <row r="223" spans="1:3" ht="10" customHeight="1" x14ac:dyDescent="0.2">
      <c r="A223" s="39" t="s">
        <v>9614</v>
      </c>
      <c r="B223" s="30"/>
      <c r="C223" s="30"/>
    </row>
    <row r="224" spans="1:3" ht="10" customHeight="1" x14ac:dyDescent="0.2">
      <c r="A224" s="15" t="s">
        <v>9592</v>
      </c>
      <c r="B224" s="15" t="s">
        <v>9318</v>
      </c>
      <c r="C224" s="15" t="s">
        <v>9593</v>
      </c>
    </row>
    <row r="225" spans="1:3" ht="10" customHeight="1" x14ac:dyDescent="0.2">
      <c r="A225" s="16" t="s">
        <v>9615</v>
      </c>
      <c r="B225" s="16" t="s">
        <v>9616</v>
      </c>
      <c r="C225" s="22" t="s">
        <v>9606</v>
      </c>
    </row>
    <row r="226" spans="1:3" ht="10" customHeight="1" x14ac:dyDescent="0.2">
      <c r="A226" s="16" t="s">
        <v>9617</v>
      </c>
      <c r="B226" s="16" t="s">
        <v>9618</v>
      </c>
      <c r="C226" s="22" t="s">
        <v>9596</v>
      </c>
    </row>
    <row r="227" spans="1:3" ht="10" customHeight="1" x14ac:dyDescent="0.2">
      <c r="A227" s="16" t="s">
        <v>9619</v>
      </c>
      <c r="B227" s="16" t="s">
        <v>9620</v>
      </c>
      <c r="C227" s="22" t="s">
        <v>9599</v>
      </c>
    </row>
    <row r="228" spans="1:3" ht="10" customHeight="1" x14ac:dyDescent="0.2">
      <c r="A228" s="16" t="s">
        <v>9621</v>
      </c>
      <c r="B228" s="16" t="s">
        <v>9622</v>
      </c>
      <c r="C228" s="22" t="s">
        <v>9606</v>
      </c>
    </row>
    <row r="229" spans="1:3" ht="10" customHeight="1" x14ac:dyDescent="0.2">
      <c r="A229" s="16" t="s">
        <v>9623</v>
      </c>
      <c r="B229" s="16" t="s">
        <v>9624</v>
      </c>
      <c r="C229" s="22" t="s">
        <v>9609</v>
      </c>
    </row>
    <row r="230" spans="1:3" ht="10" customHeight="1" x14ac:dyDescent="0.2"/>
    <row r="231" spans="1:3" ht="10" customHeight="1" x14ac:dyDescent="0.2">
      <c r="A231" s="39" t="s">
        <v>9625</v>
      </c>
      <c r="B231" s="30"/>
      <c r="C231" s="30"/>
    </row>
    <row r="232" spans="1:3" ht="10" customHeight="1" x14ac:dyDescent="0.2">
      <c r="A232" s="15" t="s">
        <v>9592</v>
      </c>
      <c r="B232" s="15" t="s">
        <v>9318</v>
      </c>
      <c r="C232" s="15" t="s">
        <v>9593</v>
      </c>
    </row>
    <row r="233" spans="1:3" ht="10" customHeight="1" x14ac:dyDescent="0.2">
      <c r="A233" s="16" t="s">
        <v>9626</v>
      </c>
      <c r="B233" s="16" t="s">
        <v>9627</v>
      </c>
      <c r="C233" s="22" t="s">
        <v>9599</v>
      </c>
    </row>
    <row r="234" spans="1:3" ht="10" customHeight="1" x14ac:dyDescent="0.2">
      <c r="A234" s="16" t="s">
        <v>9628</v>
      </c>
      <c r="B234" s="16" t="s">
        <v>9629</v>
      </c>
      <c r="C234" s="22" t="s">
        <v>9596</v>
      </c>
    </row>
    <row r="235" spans="1:3" ht="10" customHeight="1" x14ac:dyDescent="0.2">
      <c r="A235" s="16" t="s">
        <v>9630</v>
      </c>
      <c r="B235" s="16" t="s">
        <v>9631</v>
      </c>
      <c r="C235" s="22" t="s">
        <v>9599</v>
      </c>
    </row>
    <row r="236" spans="1:3" ht="10" customHeight="1" x14ac:dyDescent="0.2">
      <c r="A236" s="16" t="s">
        <v>9632</v>
      </c>
      <c r="B236" s="16" t="s">
        <v>9633</v>
      </c>
      <c r="C236" s="22" t="s">
        <v>9606</v>
      </c>
    </row>
    <row r="237" spans="1:3" ht="10" customHeight="1" x14ac:dyDescent="0.2"/>
    <row r="238" spans="1:3" ht="10" customHeight="1" x14ac:dyDescent="0.2">
      <c r="A238" s="39" t="s">
        <v>4685</v>
      </c>
      <c r="B238" s="30"/>
      <c r="C238" s="30"/>
    </row>
    <row r="239" spans="1:3" ht="10" customHeight="1" x14ac:dyDescent="0.2">
      <c r="A239" s="15" t="s">
        <v>9592</v>
      </c>
      <c r="B239" s="15" t="s">
        <v>9318</v>
      </c>
      <c r="C239" s="15" t="s">
        <v>9593</v>
      </c>
    </row>
    <row r="240" spans="1:3" ht="10" customHeight="1" x14ac:dyDescent="0.2">
      <c r="A240" s="16" t="s">
        <v>9634</v>
      </c>
      <c r="B240" s="16" t="s">
        <v>9635</v>
      </c>
      <c r="C240" s="22" t="s">
        <v>9606</v>
      </c>
    </row>
    <row r="241" spans="1:3" ht="10" customHeight="1" x14ac:dyDescent="0.2"/>
    <row r="242" spans="1:3" ht="10" customHeight="1" x14ac:dyDescent="0.2">
      <c r="A242" s="39" t="s">
        <v>9636</v>
      </c>
      <c r="B242" s="30"/>
      <c r="C242" s="30"/>
    </row>
    <row r="243" spans="1:3" ht="10" customHeight="1" x14ac:dyDescent="0.2">
      <c r="A243" s="15" t="s">
        <v>9592</v>
      </c>
      <c r="B243" s="15" t="s">
        <v>9318</v>
      </c>
      <c r="C243" s="15" t="s">
        <v>9593</v>
      </c>
    </row>
    <row r="244" spans="1:3" ht="10" customHeight="1" x14ac:dyDescent="0.2">
      <c r="A244" s="16" t="s">
        <v>9637</v>
      </c>
      <c r="B244" s="16" t="s">
        <v>9638</v>
      </c>
      <c r="C244" s="22" t="s">
        <v>9596</v>
      </c>
    </row>
    <row r="245" spans="1:3" ht="10" customHeight="1" x14ac:dyDescent="0.2">
      <c r="A245" s="16" t="s">
        <v>9639</v>
      </c>
      <c r="B245" s="16" t="s">
        <v>9640</v>
      </c>
      <c r="C245" s="22" t="s">
        <v>9609</v>
      </c>
    </row>
    <row r="246" spans="1:3" ht="10" customHeight="1" x14ac:dyDescent="0.2">
      <c r="A246" s="16" t="s">
        <v>9641</v>
      </c>
      <c r="B246" s="16" t="s">
        <v>9642</v>
      </c>
      <c r="C246" s="22" t="s">
        <v>9596</v>
      </c>
    </row>
    <row r="247" spans="1:3" ht="10" customHeight="1" x14ac:dyDescent="0.2">
      <c r="A247" s="16" t="s">
        <v>9643</v>
      </c>
      <c r="B247" s="16" t="s">
        <v>9644</v>
      </c>
      <c r="C247" s="22" t="s">
        <v>9645</v>
      </c>
    </row>
    <row r="248" spans="1:3" ht="10" customHeight="1" x14ac:dyDescent="0.2"/>
    <row r="249" spans="1:3" ht="10" customHeight="1" x14ac:dyDescent="0.2">
      <c r="A249" s="39" t="s">
        <v>9646</v>
      </c>
      <c r="B249" s="30"/>
      <c r="C249" s="30"/>
    </row>
    <row r="250" spans="1:3" ht="10" customHeight="1" x14ac:dyDescent="0.2">
      <c r="A250" s="15" t="s">
        <v>9592</v>
      </c>
      <c r="B250" s="15" t="s">
        <v>9318</v>
      </c>
      <c r="C250" s="15" t="s">
        <v>9593</v>
      </c>
    </row>
    <row r="251" spans="1:3" ht="10" customHeight="1" x14ac:dyDescent="0.2">
      <c r="A251" s="16" t="s">
        <v>9647</v>
      </c>
      <c r="B251" s="16" t="s">
        <v>9648</v>
      </c>
      <c r="C251" s="22" t="s">
        <v>9596</v>
      </c>
    </row>
    <row r="252" spans="1:3" ht="10" customHeight="1" x14ac:dyDescent="0.2">
      <c r="A252" s="16" t="s">
        <v>9649</v>
      </c>
      <c r="B252" s="16" t="s">
        <v>9650</v>
      </c>
      <c r="C252" s="22" t="s">
        <v>9596</v>
      </c>
    </row>
    <row r="253" spans="1:3" ht="10" customHeight="1" x14ac:dyDescent="0.2">
      <c r="A253" s="16" t="s">
        <v>9651</v>
      </c>
      <c r="B253" s="16" t="s">
        <v>9652</v>
      </c>
      <c r="C253" s="22" t="s">
        <v>9653</v>
      </c>
    </row>
    <row r="254" spans="1:3" ht="10" customHeight="1" x14ac:dyDescent="0.2">
      <c r="A254" s="16" t="s">
        <v>9654</v>
      </c>
      <c r="B254" s="16" t="s">
        <v>9655</v>
      </c>
      <c r="C254" s="22" t="s">
        <v>9609</v>
      </c>
    </row>
    <row r="255" spans="1:3" ht="10" customHeight="1" x14ac:dyDescent="0.2">
      <c r="A255" s="16" t="s">
        <v>238</v>
      </c>
      <c r="B255" s="16" t="s">
        <v>9656</v>
      </c>
      <c r="C255" s="22" t="s">
        <v>9609</v>
      </c>
    </row>
    <row r="256" spans="1:3" ht="10" customHeight="1" x14ac:dyDescent="0.2"/>
    <row r="257" spans="1:3" ht="10" customHeight="1" x14ac:dyDescent="0.2">
      <c r="A257" s="39" t="s">
        <v>9657</v>
      </c>
      <c r="B257" s="30"/>
      <c r="C257" s="30"/>
    </row>
    <row r="258" spans="1:3" ht="10" customHeight="1" x14ac:dyDescent="0.2">
      <c r="A258" s="15" t="s">
        <v>9592</v>
      </c>
      <c r="B258" s="15" t="s">
        <v>9318</v>
      </c>
      <c r="C258" s="15" t="s">
        <v>9593</v>
      </c>
    </row>
    <row r="259" spans="1:3" ht="10" customHeight="1" x14ac:dyDescent="0.2">
      <c r="A259" s="16" t="s">
        <v>9658</v>
      </c>
      <c r="B259" s="16" t="s">
        <v>9659</v>
      </c>
      <c r="C259" s="22" t="s">
        <v>9596</v>
      </c>
    </row>
    <row r="260" spans="1:3" ht="10" customHeight="1" x14ac:dyDescent="0.2">
      <c r="A260" s="16" t="s">
        <v>9660</v>
      </c>
      <c r="B260" s="16" t="s">
        <v>9661</v>
      </c>
      <c r="C260" s="22" t="s">
        <v>9596</v>
      </c>
    </row>
    <row r="261" spans="1:3" ht="10" customHeight="1" x14ac:dyDescent="0.2">
      <c r="A261" s="16" t="s">
        <v>9662</v>
      </c>
      <c r="B261" s="16" t="s">
        <v>9663</v>
      </c>
      <c r="C261" s="22" t="s">
        <v>9596</v>
      </c>
    </row>
    <row r="262" spans="1:3" ht="10" customHeight="1" x14ac:dyDescent="0.2">
      <c r="A262" s="16" t="s">
        <v>9664</v>
      </c>
      <c r="B262" s="16" t="s">
        <v>9665</v>
      </c>
      <c r="C262" s="22" t="s">
        <v>9596</v>
      </c>
    </row>
    <row r="263" spans="1:3" ht="10" customHeight="1" x14ac:dyDescent="0.2">
      <c r="A263" s="16" t="s">
        <v>9666</v>
      </c>
      <c r="B263" s="16" t="s">
        <v>9667</v>
      </c>
      <c r="C263" s="22" t="s">
        <v>9596</v>
      </c>
    </row>
    <row r="264" spans="1:3" ht="10" customHeight="1" x14ac:dyDescent="0.2">
      <c r="A264" s="16" t="s">
        <v>9668</v>
      </c>
      <c r="B264" s="16" t="s">
        <v>9669</v>
      </c>
      <c r="C264" s="22" t="s">
        <v>9609</v>
      </c>
    </row>
    <row r="265" spans="1:3" ht="10" customHeight="1" x14ac:dyDescent="0.2">
      <c r="A265" s="16" t="s">
        <v>9670</v>
      </c>
      <c r="B265" s="16" t="s">
        <v>9671</v>
      </c>
      <c r="C265" s="22" t="s">
        <v>9596</v>
      </c>
    </row>
    <row r="266" spans="1:3" ht="10" customHeight="1" x14ac:dyDescent="0.2"/>
    <row r="267" spans="1:3" ht="10" customHeight="1" x14ac:dyDescent="0.2">
      <c r="A267" s="39" t="s">
        <v>6805</v>
      </c>
      <c r="B267" s="30"/>
      <c r="C267" s="30"/>
    </row>
    <row r="268" spans="1:3" ht="10" customHeight="1" x14ac:dyDescent="0.2">
      <c r="A268" s="15" t="s">
        <v>9592</v>
      </c>
      <c r="B268" s="15" t="s">
        <v>9318</v>
      </c>
      <c r="C268" s="15" t="s">
        <v>9593</v>
      </c>
    </row>
    <row r="269" spans="1:3" ht="10" customHeight="1" x14ac:dyDescent="0.2">
      <c r="A269" s="16" t="s">
        <v>9672</v>
      </c>
      <c r="B269" s="16" t="s">
        <v>8179</v>
      </c>
      <c r="C269" s="22" t="s">
        <v>9596</v>
      </c>
    </row>
    <row r="270" spans="1:3" ht="10" customHeight="1" x14ac:dyDescent="0.2">
      <c r="A270" s="16" t="s">
        <v>9673</v>
      </c>
      <c r="B270" s="16" t="s">
        <v>8182</v>
      </c>
      <c r="C270" s="22" t="s">
        <v>9609</v>
      </c>
    </row>
    <row r="271" spans="1:3" ht="10" customHeight="1" x14ac:dyDescent="0.2">
      <c r="A271" s="16" t="s">
        <v>9674</v>
      </c>
      <c r="B271" s="16" t="s">
        <v>8187</v>
      </c>
      <c r="C271" s="22" t="s">
        <v>9599</v>
      </c>
    </row>
    <row r="272" spans="1:3" ht="10" customHeight="1" x14ac:dyDescent="0.2">
      <c r="A272" s="16" t="s">
        <v>9675</v>
      </c>
      <c r="B272" s="16" t="s">
        <v>9676</v>
      </c>
      <c r="C272" s="22" t="s">
        <v>9596</v>
      </c>
    </row>
    <row r="273" spans="1:3" ht="10" customHeight="1" x14ac:dyDescent="0.2">
      <c r="A273" s="16" t="s">
        <v>9677</v>
      </c>
      <c r="B273" s="16" t="s">
        <v>9678</v>
      </c>
      <c r="C273" s="22" t="s">
        <v>9679</v>
      </c>
    </row>
    <row r="274" spans="1:3" ht="10" customHeight="1" x14ac:dyDescent="0.2">
      <c r="A274" s="16" t="s">
        <v>9680</v>
      </c>
      <c r="B274" s="16" t="s">
        <v>9681</v>
      </c>
      <c r="C274" s="22" t="s">
        <v>9682</v>
      </c>
    </row>
    <row r="275" spans="1:3" ht="10" customHeight="1" x14ac:dyDescent="0.2">
      <c r="A275" s="16" t="s">
        <v>9683</v>
      </c>
      <c r="B275" s="16" t="s">
        <v>9684</v>
      </c>
      <c r="C275" s="22" t="s">
        <v>9609</v>
      </c>
    </row>
    <row r="276" spans="1:3" ht="10" customHeight="1" x14ac:dyDescent="0.2">
      <c r="A276" s="16" t="s">
        <v>9685</v>
      </c>
      <c r="B276" s="16" t="s">
        <v>9686</v>
      </c>
      <c r="C276" s="22" t="s">
        <v>9596</v>
      </c>
    </row>
    <row r="277" spans="1:3" ht="10" customHeight="1" x14ac:dyDescent="0.2">
      <c r="A277" s="16" t="s">
        <v>9687</v>
      </c>
      <c r="B277" s="16" t="s">
        <v>9688</v>
      </c>
      <c r="C277" s="22" t="s">
        <v>9596</v>
      </c>
    </row>
    <row r="278" spans="1:3" ht="10" customHeight="1" x14ac:dyDescent="0.2">
      <c r="A278" s="16" t="s">
        <v>9689</v>
      </c>
      <c r="B278" s="16" t="s">
        <v>9690</v>
      </c>
      <c r="C278" s="22" t="s">
        <v>9596</v>
      </c>
    </row>
    <row r="279" spans="1:3" ht="10" customHeight="1" x14ac:dyDescent="0.2"/>
    <row r="280" spans="1:3" ht="10" customHeight="1" x14ac:dyDescent="0.2">
      <c r="A280" s="6" t="s">
        <v>9691</v>
      </c>
      <c r="B280" s="7"/>
      <c r="C280" s="7"/>
    </row>
    <row r="281" spans="1:3" ht="10" customHeight="1" x14ac:dyDescent="0.2">
      <c r="A281" s="22" t="s">
        <v>9692</v>
      </c>
    </row>
    <row r="282" spans="1:3" ht="10" customHeight="1" x14ac:dyDescent="0.2">
      <c r="A282" s="15" t="s">
        <v>9340</v>
      </c>
      <c r="B282" s="15" t="s">
        <v>9318</v>
      </c>
      <c r="C282" s="15" t="s">
        <v>9341</v>
      </c>
    </row>
    <row r="283" spans="1:3" ht="10" customHeight="1" x14ac:dyDescent="0.2">
      <c r="A283" s="16" t="s">
        <v>9693</v>
      </c>
      <c r="B283" s="16" t="s">
        <v>9694</v>
      </c>
      <c r="C283" s="22" t="s">
        <v>9695</v>
      </c>
    </row>
    <row r="284" spans="1:3" ht="10" customHeight="1" x14ac:dyDescent="0.2">
      <c r="A284" s="16" t="s">
        <v>9696</v>
      </c>
      <c r="B284" s="16" t="s">
        <v>9697</v>
      </c>
    </row>
    <row r="285" spans="1:3" ht="10" customHeight="1" x14ac:dyDescent="0.2">
      <c r="A285" s="16" t="s">
        <v>9698</v>
      </c>
      <c r="B285" s="16" t="s">
        <v>9699</v>
      </c>
      <c r="C285" s="22" t="s">
        <v>9700</v>
      </c>
    </row>
    <row r="286" spans="1:3" ht="10" customHeight="1" x14ac:dyDescent="0.2">
      <c r="A286" s="16" t="s">
        <v>9701</v>
      </c>
      <c r="B286" s="16" t="s">
        <v>9702</v>
      </c>
    </row>
    <row r="287" spans="1:3" ht="10" customHeight="1" x14ac:dyDescent="0.2">
      <c r="A287" s="16" t="s">
        <v>9703</v>
      </c>
      <c r="B287" s="16" t="s">
        <v>9704</v>
      </c>
    </row>
    <row r="288" spans="1:3" ht="10" customHeight="1" x14ac:dyDescent="0.2">
      <c r="A288" s="16" t="s">
        <v>9705</v>
      </c>
      <c r="B288" s="16" t="s">
        <v>9706</v>
      </c>
    </row>
    <row r="289" spans="1:3" ht="10" customHeight="1" x14ac:dyDescent="0.2">
      <c r="A289" s="16" t="s">
        <v>9707</v>
      </c>
      <c r="B289" s="16" t="s">
        <v>9708</v>
      </c>
    </row>
    <row r="290" spans="1:3" ht="10" customHeight="1" x14ac:dyDescent="0.2"/>
    <row r="291" spans="1:3" ht="10" customHeight="1" x14ac:dyDescent="0.2">
      <c r="A291" s="6" t="s">
        <v>9709</v>
      </c>
      <c r="B291" s="7"/>
      <c r="C291" s="7"/>
    </row>
    <row r="292" spans="1:3" ht="10" customHeight="1" x14ac:dyDescent="0.2">
      <c r="A292" s="22" t="s">
        <v>9710</v>
      </c>
    </row>
    <row r="293" spans="1:3" ht="10" customHeight="1" x14ac:dyDescent="0.2"/>
    <row r="294" spans="1:3" ht="10" customHeight="1" x14ac:dyDescent="0.2">
      <c r="A294" s="39" t="s">
        <v>9711</v>
      </c>
      <c r="B294" s="30"/>
      <c r="C294" s="30"/>
    </row>
    <row r="295" spans="1:3" ht="10" customHeight="1" x14ac:dyDescent="0.2">
      <c r="A295" s="15" t="s">
        <v>9712</v>
      </c>
      <c r="B295" s="15" t="s">
        <v>9318</v>
      </c>
      <c r="C295" s="15" t="s">
        <v>9713</v>
      </c>
    </row>
    <row r="296" spans="1:3" ht="10" customHeight="1" x14ac:dyDescent="0.2">
      <c r="A296" s="16" t="s">
        <v>9714</v>
      </c>
      <c r="B296" s="16" t="s">
        <v>9715</v>
      </c>
      <c r="C296" s="22" t="s">
        <v>9716</v>
      </c>
    </row>
    <row r="297" spans="1:3" ht="10" customHeight="1" x14ac:dyDescent="0.2">
      <c r="A297" s="16" t="s">
        <v>9717</v>
      </c>
      <c r="B297" s="16" t="s">
        <v>9718</v>
      </c>
      <c r="C297" s="22" t="s">
        <v>9719</v>
      </c>
    </row>
    <row r="298" spans="1:3" ht="10" customHeight="1" x14ac:dyDescent="0.2"/>
    <row r="299" spans="1:3" ht="10" customHeight="1" x14ac:dyDescent="0.2">
      <c r="A299" s="39" t="s">
        <v>9720</v>
      </c>
      <c r="B299" s="30"/>
      <c r="C299" s="30"/>
    </row>
    <row r="300" spans="1:3" ht="10" customHeight="1" x14ac:dyDescent="0.2">
      <c r="A300" s="15" t="s">
        <v>9712</v>
      </c>
      <c r="B300" s="15" t="s">
        <v>9318</v>
      </c>
      <c r="C300" s="15" t="s">
        <v>9721</v>
      </c>
    </row>
    <row r="301" spans="1:3" ht="10" customHeight="1" x14ac:dyDescent="0.2">
      <c r="A301" s="16" t="s">
        <v>9722</v>
      </c>
      <c r="B301" s="16" t="s">
        <v>9723</v>
      </c>
      <c r="C301" s="22" t="e">
        <f>IF(OR(E="",E="[PARENT]"),"ADD",IF(E="[ALT_VIEW]","ALT",""))</f>
        <v>#NAME?</v>
      </c>
    </row>
    <row r="302" spans="1:3" ht="10" customHeight="1" x14ac:dyDescent="0.2">
      <c r="A302" s="16" t="s">
        <v>9724</v>
      </c>
      <c r="B302" s="16" t="s">
        <v>9725</v>
      </c>
      <c r="C302" s="22" t="e">
        <f>IF(Y&lt;&gt;"",Y,IF(U&lt;&gt;"",U,S))</f>
        <v>#NAME?</v>
      </c>
    </row>
    <row r="303" spans="1:3" ht="10" customHeight="1" x14ac:dyDescent="0.2">
      <c r="A303" s="16" t="s">
        <v>9726</v>
      </c>
      <c r="B303" s="16" t="s">
        <v>9727</v>
      </c>
      <c r="C303" s="22" t="e">
        <f>IF(AB&lt;&gt;"",AB,Z)</f>
        <v>#NAME?</v>
      </c>
    </row>
    <row r="304" spans="1:3" ht="10" customHeight="1" x14ac:dyDescent="0.2"/>
    <row r="305" spans="1:3" ht="10" customHeight="1" x14ac:dyDescent="0.2">
      <c r="A305" s="39" t="s">
        <v>9728</v>
      </c>
      <c r="B305" s="30"/>
      <c r="C305" s="30"/>
    </row>
    <row r="306" spans="1:3" ht="10" customHeight="1" x14ac:dyDescent="0.2">
      <c r="A306" s="16" t="s">
        <v>9729</v>
      </c>
      <c r="B306" s="16" t="s">
        <v>9730</v>
      </c>
      <c r="C306" s="22" t="s">
        <v>9731</v>
      </c>
    </row>
    <row r="307" spans="1:3" ht="10" customHeight="1" x14ac:dyDescent="0.2">
      <c r="A307" s="16" t="s">
        <v>9732</v>
      </c>
      <c r="B307" s="16" t="s">
        <v>9733</v>
      </c>
      <c r="C307" s="22" t="s">
        <v>9734</v>
      </c>
    </row>
    <row r="308" spans="1:3" ht="10" customHeight="1" x14ac:dyDescent="0.2"/>
    <row r="309" spans="1:3" ht="10" customHeight="1" x14ac:dyDescent="0.2">
      <c r="A309" s="6" t="s">
        <v>9735</v>
      </c>
      <c r="B309" s="7"/>
      <c r="C309" s="7"/>
    </row>
    <row r="310" spans="1:3" ht="10" customHeight="1" x14ac:dyDescent="0.2">
      <c r="A310" s="22" t="s">
        <v>9736</v>
      </c>
    </row>
    <row r="311" spans="1:3" ht="10" customHeight="1" x14ac:dyDescent="0.2">
      <c r="A311" s="15" t="s">
        <v>9737</v>
      </c>
      <c r="B311" s="15" t="s">
        <v>9738</v>
      </c>
      <c r="C311" s="15" t="s">
        <v>9739</v>
      </c>
    </row>
    <row r="312" spans="1:3" ht="10" customHeight="1" x14ac:dyDescent="0.2">
      <c r="A312" s="16" t="s">
        <v>9740</v>
      </c>
      <c r="B312" s="16" t="s">
        <v>9741</v>
      </c>
      <c r="C312" s="22" t="s">
        <v>9742</v>
      </c>
    </row>
    <row r="313" spans="1:3" ht="10" customHeight="1" x14ac:dyDescent="0.2">
      <c r="A313" s="16" t="s">
        <v>9743</v>
      </c>
      <c r="B313" s="16" t="s">
        <v>9744</v>
      </c>
      <c r="C313" s="22" t="s">
        <v>9745</v>
      </c>
    </row>
    <row r="314" spans="1:3" ht="10" customHeight="1" x14ac:dyDescent="0.2">
      <c r="A314" s="16" t="s">
        <v>9746</v>
      </c>
      <c r="B314" s="16" t="s">
        <v>9747</v>
      </c>
      <c r="C314" s="22" t="s">
        <v>9748</v>
      </c>
    </row>
    <row r="315" spans="1:3" ht="10" customHeight="1" x14ac:dyDescent="0.2">
      <c r="A315" s="16" t="s">
        <v>9749</v>
      </c>
      <c r="B315" s="16" t="s">
        <v>9750</v>
      </c>
      <c r="C315" s="22" t="s">
        <v>9751</v>
      </c>
    </row>
    <row r="316" spans="1:3" ht="10" customHeight="1" x14ac:dyDescent="0.2">
      <c r="A316" s="16" t="s">
        <v>9752</v>
      </c>
      <c r="B316" s="16" t="s">
        <v>9753</v>
      </c>
      <c r="C316" s="22" t="s">
        <v>9754</v>
      </c>
    </row>
    <row r="317" spans="1:3" ht="10" customHeight="1" x14ac:dyDescent="0.2">
      <c r="A317" s="16" t="s">
        <v>9755</v>
      </c>
      <c r="B317" s="16" t="s">
        <v>9756</v>
      </c>
      <c r="C317" s="22" t="s">
        <v>9757</v>
      </c>
    </row>
    <row r="318" spans="1:3" ht="10" customHeight="1" x14ac:dyDescent="0.2">
      <c r="A318" s="16" t="s">
        <v>9758</v>
      </c>
      <c r="B318" s="16" t="s">
        <v>9759</v>
      </c>
      <c r="C318" s="22" t="s">
        <v>9760</v>
      </c>
    </row>
    <row r="319" spans="1:3" ht="10" customHeight="1" x14ac:dyDescent="0.2">
      <c r="A319" s="16" t="s">
        <v>9761</v>
      </c>
      <c r="B319" s="16" t="s">
        <v>9762</v>
      </c>
      <c r="C319" s="22" t="s">
        <v>9763</v>
      </c>
    </row>
    <row r="320" spans="1:3" ht="10" customHeight="1" x14ac:dyDescent="0.2">
      <c r="A320" s="16" t="s">
        <v>9764</v>
      </c>
      <c r="B320" s="16" t="s">
        <v>9765</v>
      </c>
      <c r="C320" s="22" t="s">
        <v>9766</v>
      </c>
    </row>
    <row r="321" spans="1:3" ht="10" customHeight="1" x14ac:dyDescent="0.2">
      <c r="A321" s="16" t="s">
        <v>9767</v>
      </c>
      <c r="B321" s="16" t="s">
        <v>9768</v>
      </c>
      <c r="C321" s="22" t="s">
        <v>9769</v>
      </c>
    </row>
    <row r="322" spans="1:3" ht="10" customHeight="1" x14ac:dyDescent="0.2">
      <c r="A322" s="16" t="s">
        <v>9770</v>
      </c>
      <c r="B322" s="16" t="s">
        <v>9771</v>
      </c>
      <c r="C322" s="22" t="s">
        <v>9772</v>
      </c>
    </row>
    <row r="323" spans="1:3" ht="10" customHeight="1" x14ac:dyDescent="0.2">
      <c r="A323" s="16" t="s">
        <v>9773</v>
      </c>
      <c r="B323" s="16" t="s">
        <v>9774</v>
      </c>
      <c r="C323" s="22" t="s">
        <v>9775</v>
      </c>
    </row>
    <row r="324" spans="1:3" ht="10" customHeight="1" x14ac:dyDescent="0.2">
      <c r="A324" s="16" t="s">
        <v>9776</v>
      </c>
      <c r="B324" s="16" t="s">
        <v>9777</v>
      </c>
      <c r="C324" s="22" t="s">
        <v>9778</v>
      </c>
    </row>
    <row r="325" spans="1:3" ht="10" customHeight="1" x14ac:dyDescent="0.2"/>
    <row r="326" spans="1:3" ht="10" customHeight="1" x14ac:dyDescent="0.2">
      <c r="A326" s="6" t="s">
        <v>9779</v>
      </c>
      <c r="B326" s="7"/>
      <c r="C326" s="7"/>
    </row>
    <row r="327" spans="1:3" ht="10" customHeight="1" x14ac:dyDescent="0.2">
      <c r="A327" s="22" t="s">
        <v>9780</v>
      </c>
    </row>
    <row r="328" spans="1:3" ht="10" customHeight="1" x14ac:dyDescent="0.2">
      <c r="A328" s="15" t="s">
        <v>9781</v>
      </c>
      <c r="B328" s="15" t="s">
        <v>9318</v>
      </c>
      <c r="C328" s="15" t="s">
        <v>9341</v>
      </c>
    </row>
    <row r="329" spans="1:3" ht="10" customHeight="1" x14ac:dyDescent="0.2">
      <c r="A329" s="16" t="s">
        <v>9782</v>
      </c>
      <c r="B329" s="16" t="s">
        <v>9783</v>
      </c>
      <c r="C329" s="22" t="s">
        <v>9784</v>
      </c>
    </row>
    <row r="330" spans="1:3" ht="10" customHeight="1" x14ac:dyDescent="0.2">
      <c r="A330" s="16" t="s">
        <v>9785</v>
      </c>
      <c r="B330" s="16" t="s">
        <v>9786</v>
      </c>
      <c r="C330" s="22" t="s">
        <v>9787</v>
      </c>
    </row>
    <row r="331" spans="1:3" ht="10" customHeight="1" x14ac:dyDescent="0.2"/>
    <row r="332" spans="1:3" ht="10" customHeight="1" x14ac:dyDescent="0.2">
      <c r="A332" s="22" t="s">
        <v>9788</v>
      </c>
    </row>
    <row r="333" spans="1:3" ht="10" customHeight="1" x14ac:dyDescent="0.2"/>
    <row r="334" spans="1:3" ht="10" customHeight="1" x14ac:dyDescent="0.2">
      <c r="A334" s="6" t="s">
        <v>9789</v>
      </c>
      <c r="B334" s="7"/>
      <c r="C334" s="7"/>
    </row>
    <row r="335" spans="1:3" ht="10" customHeight="1" x14ac:dyDescent="0.2">
      <c r="A335" s="22" t="s">
        <v>9790</v>
      </c>
    </row>
    <row r="336" spans="1:3" ht="10" customHeight="1" x14ac:dyDescent="0.2">
      <c r="A336" s="15" t="s">
        <v>9791</v>
      </c>
      <c r="B336" s="15" t="s">
        <v>9318</v>
      </c>
      <c r="C336" s="15" t="s">
        <v>9341</v>
      </c>
    </row>
    <row r="337" spans="1:3" ht="10" customHeight="1" x14ac:dyDescent="0.2">
      <c r="A337" s="16" t="s">
        <v>9792</v>
      </c>
      <c r="B337" s="16" t="s">
        <v>9793</v>
      </c>
      <c r="C337" s="22" t="s">
        <v>9794</v>
      </c>
    </row>
    <row r="338" spans="1:3" ht="10" customHeight="1" x14ac:dyDescent="0.2">
      <c r="A338" s="16" t="s">
        <v>9795</v>
      </c>
      <c r="B338" s="16" t="s">
        <v>9796</v>
      </c>
      <c r="C338" s="22" t="s">
        <v>9797</v>
      </c>
    </row>
    <row r="339" spans="1:3" ht="10" customHeight="1" x14ac:dyDescent="0.2">
      <c r="A339" s="16" t="s">
        <v>9798</v>
      </c>
      <c r="B339" s="16" t="s">
        <v>9799</v>
      </c>
      <c r="C339" s="22" t="s">
        <v>9800</v>
      </c>
    </row>
    <row r="340" spans="1:3" ht="10" customHeight="1" x14ac:dyDescent="0.2">
      <c r="A340" s="16" t="s">
        <v>9801</v>
      </c>
      <c r="B340" s="16" t="s">
        <v>9802</v>
      </c>
      <c r="C340" s="22" t="s">
        <v>9803</v>
      </c>
    </row>
    <row r="341" spans="1:3" ht="10" customHeight="1" x14ac:dyDescent="0.2">
      <c r="A341" s="16" t="s">
        <v>9804</v>
      </c>
      <c r="B341" s="16" t="s">
        <v>9805</v>
      </c>
      <c r="C341" s="22" t="s">
        <v>9806</v>
      </c>
    </row>
    <row r="342" spans="1:3" ht="10" customHeight="1" x14ac:dyDescent="0.2">
      <c r="A342" s="16" t="s">
        <v>9807</v>
      </c>
      <c r="B342" s="16" t="s">
        <v>9808</v>
      </c>
      <c r="C342" s="22" t="s">
        <v>9809</v>
      </c>
    </row>
    <row r="343" spans="1:3" ht="10" customHeight="1" x14ac:dyDescent="0.2">
      <c r="A343" s="16" t="s">
        <v>9810</v>
      </c>
      <c r="B343" s="16" t="s">
        <v>9811</v>
      </c>
      <c r="C343" s="22" t="s">
        <v>9812</v>
      </c>
    </row>
    <row r="344" spans="1:3" ht="10" customHeight="1" x14ac:dyDescent="0.2">
      <c r="A344" s="16" t="s">
        <v>9813</v>
      </c>
      <c r="B344" s="16" t="s">
        <v>9814</v>
      </c>
      <c r="C344" s="22" t="s">
        <v>9815</v>
      </c>
    </row>
    <row r="345" spans="1:3" ht="10" customHeight="1" x14ac:dyDescent="0.2">
      <c r="A345" s="16" t="s">
        <v>9816</v>
      </c>
      <c r="B345" s="16" t="s">
        <v>9817</v>
      </c>
      <c r="C345" s="22" t="s">
        <v>9818</v>
      </c>
    </row>
    <row r="346" spans="1:3" ht="10" customHeight="1" x14ac:dyDescent="0.2">
      <c r="A346" s="16" t="s">
        <v>9819</v>
      </c>
      <c r="B346" s="16" t="s">
        <v>9820</v>
      </c>
    </row>
    <row r="347" spans="1:3" ht="10" customHeight="1" x14ac:dyDescent="0.2"/>
    <row r="348" spans="1:3" ht="10" customHeight="1" x14ac:dyDescent="0.2">
      <c r="A348" s="6" t="s">
        <v>9821</v>
      </c>
      <c r="B348" s="7"/>
      <c r="C348" s="7"/>
    </row>
    <row r="349" spans="1:3" ht="10" customHeight="1" x14ac:dyDescent="0.2">
      <c r="A349" s="22" t="s">
        <v>9822</v>
      </c>
    </row>
    <row r="350" spans="1:3" ht="10" customHeight="1" x14ac:dyDescent="0.2">
      <c r="A350" s="15" t="s">
        <v>9823</v>
      </c>
      <c r="B350" s="15" t="s">
        <v>9318</v>
      </c>
      <c r="C350" s="15" t="s">
        <v>9824</v>
      </c>
    </row>
    <row r="351" spans="1:3" ht="10" customHeight="1" x14ac:dyDescent="0.2">
      <c r="A351" s="16" t="s">
        <v>9825</v>
      </c>
      <c r="B351" s="16" t="s">
        <v>9826</v>
      </c>
      <c r="C351" s="22" t="s">
        <v>9827</v>
      </c>
    </row>
    <row r="352" spans="1:3" ht="10" customHeight="1" x14ac:dyDescent="0.2">
      <c r="A352" s="16" t="s">
        <v>9828</v>
      </c>
      <c r="B352" s="16" t="s">
        <v>9829</v>
      </c>
      <c r="C352" s="22" t="s">
        <v>9830</v>
      </c>
    </row>
    <row r="353" spans="1:3" ht="10" customHeight="1" x14ac:dyDescent="0.2">
      <c r="A353" s="16" t="s">
        <v>9831</v>
      </c>
      <c r="B353" s="16" t="s">
        <v>9832</v>
      </c>
      <c r="C353" s="22" t="s">
        <v>9833</v>
      </c>
    </row>
    <row r="354" spans="1:3" ht="10" customHeight="1" x14ac:dyDescent="0.2">
      <c r="A354" s="16" t="s">
        <v>9834</v>
      </c>
      <c r="B354" s="16" t="s">
        <v>9835</v>
      </c>
      <c r="C354" s="22" t="s">
        <v>9836</v>
      </c>
    </row>
    <row r="355" spans="1:3" ht="10" customHeight="1" x14ac:dyDescent="0.2">
      <c r="A355" s="16" t="s">
        <v>9837</v>
      </c>
      <c r="B355" s="16" t="s">
        <v>9838</v>
      </c>
      <c r="C355" s="22" t="s">
        <v>9839</v>
      </c>
    </row>
    <row r="356" spans="1:3" ht="10" customHeight="1" x14ac:dyDescent="0.2">
      <c r="A356" s="16" t="s">
        <v>9840</v>
      </c>
      <c r="B356" s="16" t="s">
        <v>9841</v>
      </c>
      <c r="C356" s="22" t="s">
        <v>9842</v>
      </c>
    </row>
    <row r="357" spans="1:3" ht="10" customHeight="1" x14ac:dyDescent="0.2">
      <c r="A357" s="16" t="s">
        <v>9843</v>
      </c>
      <c r="B357" s="16" t="s">
        <v>9844</v>
      </c>
      <c r="C357" s="22" t="s">
        <v>9845</v>
      </c>
    </row>
    <row r="358" spans="1:3" ht="10" customHeight="1" x14ac:dyDescent="0.2"/>
    <row r="359" spans="1:3" ht="10" customHeight="1" x14ac:dyDescent="0.2">
      <c r="A359" s="6" t="s">
        <v>9846</v>
      </c>
      <c r="B359" s="7"/>
      <c r="C359" s="7"/>
    </row>
    <row r="360" spans="1:3" ht="10" customHeight="1" x14ac:dyDescent="0.2">
      <c r="A360" s="22" t="s">
        <v>9847</v>
      </c>
    </row>
    <row r="361" spans="1:3" ht="10" customHeight="1" x14ac:dyDescent="0.2">
      <c r="A361" s="15" t="s">
        <v>9791</v>
      </c>
      <c r="B361" s="15" t="s">
        <v>9318</v>
      </c>
      <c r="C361" s="15" t="s">
        <v>9341</v>
      </c>
    </row>
    <row r="362" spans="1:3" ht="10" customHeight="1" x14ac:dyDescent="0.2">
      <c r="A362" s="16" t="s">
        <v>9848</v>
      </c>
      <c r="B362" s="16" t="s">
        <v>9849</v>
      </c>
      <c r="C362" s="22" t="s">
        <v>9850</v>
      </c>
    </row>
    <row r="363" spans="1:3" ht="10" customHeight="1" x14ac:dyDescent="0.2">
      <c r="A363" s="16" t="s">
        <v>9851</v>
      </c>
      <c r="B363" s="16" t="s">
        <v>9852</v>
      </c>
      <c r="C363" s="22" t="s">
        <v>9853</v>
      </c>
    </row>
    <row r="364" spans="1:3" ht="10" customHeight="1" x14ac:dyDescent="0.2">
      <c r="A364" s="16" t="s">
        <v>9854</v>
      </c>
      <c r="B364" s="16" t="s">
        <v>9855</v>
      </c>
      <c r="C364" s="22" t="s">
        <v>9856</v>
      </c>
    </row>
    <row r="365" spans="1:3" ht="10" customHeight="1" x14ac:dyDescent="0.2">
      <c r="A365" s="16" t="s">
        <v>9857</v>
      </c>
      <c r="B365" s="16" t="s">
        <v>9858</v>
      </c>
      <c r="C365" s="22" t="s">
        <v>9859</v>
      </c>
    </row>
    <row r="366" spans="1:3" ht="10" customHeight="1" x14ac:dyDescent="0.2">
      <c r="A366" s="16" t="s">
        <v>9860</v>
      </c>
      <c r="B366" s="16" t="s">
        <v>9861</v>
      </c>
      <c r="C366" s="22" t="s">
        <v>9862</v>
      </c>
    </row>
    <row r="367" spans="1:3" ht="10" customHeight="1" x14ac:dyDescent="0.2">
      <c r="A367" s="16" t="s">
        <v>9863</v>
      </c>
      <c r="B367" s="16" t="s">
        <v>9864</v>
      </c>
      <c r="C367" s="22" t="s">
        <v>9865</v>
      </c>
    </row>
    <row r="368" spans="1:3" ht="10" customHeight="1" x14ac:dyDescent="0.2">
      <c r="A368" s="16" t="s">
        <v>9866</v>
      </c>
      <c r="B368" s="16" t="s">
        <v>9867</v>
      </c>
      <c r="C368" s="22" t="s">
        <v>9868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9869</v>
      </c>
      <c r="B1" s="2"/>
      <c r="C1" s="2"/>
      <c r="D1" s="2"/>
    </row>
    <row r="2" spans="1:4" ht="10" customHeight="1" x14ac:dyDescent="0.2">
      <c r="A2" s="3" t="s">
        <v>9870</v>
      </c>
    </row>
    <row r="3" spans="1:4" ht="10" customHeight="1" x14ac:dyDescent="0.2">
      <c r="A3" s="4" t="s">
        <v>9871</v>
      </c>
      <c r="B3" s="4" t="s">
        <v>8</v>
      </c>
      <c r="C3" s="4" t="s">
        <v>11</v>
      </c>
      <c r="D3" s="4" t="s">
        <v>9318</v>
      </c>
    </row>
    <row r="4" spans="1:4" ht="10" customHeight="1" x14ac:dyDescent="0.2">
      <c r="A4" s="5">
        <v>6</v>
      </c>
      <c r="B4" s="5" t="s">
        <v>44</v>
      </c>
      <c r="C4" s="5" t="s">
        <v>47</v>
      </c>
      <c r="D4" s="5" t="s">
        <v>9872</v>
      </c>
    </row>
    <row r="5" spans="1:4" ht="10" customHeight="1" x14ac:dyDescent="0.2">
      <c r="A5" s="5">
        <v>10</v>
      </c>
      <c r="B5" s="5" t="s">
        <v>44</v>
      </c>
      <c r="C5" s="5" t="s">
        <v>68</v>
      </c>
      <c r="D5" s="5" t="s">
        <v>9873</v>
      </c>
    </row>
    <row r="6" spans="1:4" ht="10" customHeight="1" x14ac:dyDescent="0.2">
      <c r="A6" s="5">
        <v>13</v>
      </c>
      <c r="B6" s="5" t="s">
        <v>44</v>
      </c>
      <c r="C6" s="5" t="s">
        <v>79</v>
      </c>
      <c r="D6" s="5" t="s">
        <v>9874</v>
      </c>
    </row>
    <row r="7" spans="1:4" ht="10" customHeight="1" x14ac:dyDescent="0.2">
      <c r="A7" s="5">
        <v>14</v>
      </c>
      <c r="B7" s="5" t="s">
        <v>44</v>
      </c>
      <c r="C7" s="5" t="s">
        <v>83</v>
      </c>
      <c r="D7" s="5" t="s">
        <v>9873</v>
      </c>
    </row>
    <row r="8" spans="1:4" ht="10" customHeight="1" x14ac:dyDescent="0.2">
      <c r="A8" s="5">
        <v>15</v>
      </c>
      <c r="B8" s="5" t="s">
        <v>44</v>
      </c>
      <c r="C8" s="5" t="s">
        <v>87</v>
      </c>
      <c r="D8" s="5" t="s">
        <v>9875</v>
      </c>
    </row>
    <row r="9" spans="1:4" ht="10" customHeight="1" x14ac:dyDescent="0.2">
      <c r="A9" s="5">
        <v>19</v>
      </c>
      <c r="B9" s="5" t="s">
        <v>44</v>
      </c>
      <c r="C9" s="5" t="s">
        <v>99</v>
      </c>
      <c r="D9" s="5" t="s">
        <v>9876</v>
      </c>
    </row>
    <row r="10" spans="1:4" ht="10" customHeight="1" x14ac:dyDescent="0.2">
      <c r="A10" s="5">
        <v>20</v>
      </c>
      <c r="B10" s="5" t="s">
        <v>44</v>
      </c>
      <c r="C10" s="5" t="s">
        <v>103</v>
      </c>
      <c r="D10" s="5" t="s">
        <v>9877</v>
      </c>
    </row>
    <row r="11" spans="1:4" ht="10" customHeight="1" x14ac:dyDescent="0.2">
      <c r="A11" s="5">
        <v>24</v>
      </c>
      <c r="B11" s="5" t="s">
        <v>44</v>
      </c>
      <c r="C11" s="5" t="s">
        <v>114</v>
      </c>
      <c r="D11" s="5" t="s">
        <v>9878</v>
      </c>
    </row>
    <row r="12" spans="1:4" ht="10" customHeight="1" x14ac:dyDescent="0.2">
      <c r="A12" s="5">
        <v>25</v>
      </c>
      <c r="B12" s="5" t="s">
        <v>44</v>
      </c>
      <c r="C12" s="5" t="s">
        <v>118</v>
      </c>
      <c r="D12" s="5" t="s">
        <v>9879</v>
      </c>
    </row>
    <row r="13" spans="1:4" ht="10" customHeight="1" x14ac:dyDescent="0.2">
      <c r="A13" s="5">
        <v>26</v>
      </c>
      <c r="B13" s="5" t="s">
        <v>44</v>
      </c>
      <c r="C13" s="5" t="s">
        <v>124</v>
      </c>
      <c r="D13" s="5" t="s">
        <v>9880</v>
      </c>
    </row>
    <row r="14" spans="1:4" ht="10" customHeight="1" x14ac:dyDescent="0.2">
      <c r="A14" s="5">
        <v>30</v>
      </c>
      <c r="B14" s="5" t="s">
        <v>44</v>
      </c>
      <c r="C14" s="5" t="s">
        <v>134</v>
      </c>
      <c r="D14" s="5" t="s">
        <v>9881</v>
      </c>
    </row>
    <row r="15" spans="1:4" ht="10" customHeight="1" x14ac:dyDescent="0.2">
      <c r="A15" s="5">
        <v>31</v>
      </c>
      <c r="B15" s="5" t="s">
        <v>44</v>
      </c>
      <c r="C15" s="5" t="s">
        <v>138</v>
      </c>
      <c r="D15" s="5" t="s">
        <v>9882</v>
      </c>
    </row>
    <row r="16" spans="1:4" ht="10" customHeight="1" x14ac:dyDescent="0.2">
      <c r="A16" s="5">
        <v>32</v>
      </c>
      <c r="B16" s="5" t="s">
        <v>44</v>
      </c>
      <c r="C16" s="5" t="s">
        <v>143</v>
      </c>
      <c r="D16" s="5" t="s">
        <v>9883</v>
      </c>
    </row>
    <row r="17" spans="1:4" ht="10" customHeight="1" x14ac:dyDescent="0.2">
      <c r="A17" s="5">
        <v>33</v>
      </c>
      <c r="B17" s="5" t="s">
        <v>44</v>
      </c>
      <c r="C17" s="5" t="s">
        <v>148</v>
      </c>
      <c r="D17" s="5" t="s">
        <v>9884</v>
      </c>
    </row>
    <row r="18" spans="1:4" ht="10" customHeight="1" x14ac:dyDescent="0.2">
      <c r="A18" s="5">
        <v>37</v>
      </c>
      <c r="B18" s="5" t="s">
        <v>44</v>
      </c>
      <c r="C18" s="5" t="s">
        <v>161</v>
      </c>
      <c r="D18" s="5" t="s">
        <v>9885</v>
      </c>
    </row>
    <row r="19" spans="1:4" ht="10" customHeight="1" x14ac:dyDescent="0.2">
      <c r="A19" s="5">
        <v>39</v>
      </c>
      <c r="B19" s="5" t="s">
        <v>44</v>
      </c>
      <c r="C19" s="5" t="s">
        <v>167</v>
      </c>
      <c r="D19" s="5" t="s">
        <v>9886</v>
      </c>
    </row>
    <row r="20" spans="1:4" ht="10" customHeight="1" x14ac:dyDescent="0.2">
      <c r="A20" s="5">
        <v>42</v>
      </c>
      <c r="B20" s="5" t="s">
        <v>44</v>
      </c>
      <c r="C20" s="5" t="s">
        <v>176</v>
      </c>
      <c r="D20" s="5" t="s">
        <v>9887</v>
      </c>
    </row>
    <row r="21" spans="1:4" ht="10" customHeight="1" x14ac:dyDescent="0.2">
      <c r="A21" s="5">
        <v>43</v>
      </c>
      <c r="B21" s="5" t="s">
        <v>44</v>
      </c>
      <c r="C21" s="5" t="s">
        <v>181</v>
      </c>
      <c r="D21" s="5" t="s">
        <v>9888</v>
      </c>
    </row>
    <row r="22" spans="1:4" ht="10" customHeight="1" x14ac:dyDescent="0.2">
      <c r="A22" s="5">
        <v>44</v>
      </c>
      <c r="B22" s="5" t="s">
        <v>44</v>
      </c>
      <c r="C22" s="5" t="s">
        <v>187</v>
      </c>
      <c r="D22" s="5" t="s">
        <v>9889</v>
      </c>
    </row>
    <row r="23" spans="1:4" ht="10" customHeight="1" x14ac:dyDescent="0.2">
      <c r="A23" s="5">
        <v>45</v>
      </c>
      <c r="B23" s="5" t="s">
        <v>44</v>
      </c>
      <c r="C23" s="5" t="s">
        <v>195</v>
      </c>
      <c r="D23" s="5" t="s">
        <v>9890</v>
      </c>
    </row>
    <row r="24" spans="1:4" ht="10" customHeight="1" x14ac:dyDescent="0.2">
      <c r="A24" s="5">
        <v>46</v>
      </c>
      <c r="B24" s="5" t="s">
        <v>44</v>
      </c>
      <c r="C24" s="5" t="s">
        <v>201</v>
      </c>
      <c r="D24" s="5" t="s">
        <v>9891</v>
      </c>
    </row>
    <row r="25" spans="1:4" ht="10" customHeight="1" x14ac:dyDescent="0.2">
      <c r="A25" s="5">
        <v>49</v>
      </c>
      <c r="B25" s="5" t="s">
        <v>44</v>
      </c>
      <c r="C25" s="5" t="s">
        <v>213</v>
      </c>
      <c r="D25" s="5" t="s">
        <v>9892</v>
      </c>
    </row>
    <row r="26" spans="1:4" ht="10" customHeight="1" x14ac:dyDescent="0.2">
      <c r="A26" s="5">
        <v>52</v>
      </c>
      <c r="B26" s="5" t="s">
        <v>44</v>
      </c>
      <c r="C26" s="5" t="s">
        <v>225</v>
      </c>
      <c r="D26" s="5" t="s">
        <v>9893</v>
      </c>
    </row>
    <row r="27" spans="1:4" ht="10" customHeight="1" x14ac:dyDescent="0.2">
      <c r="A27" s="5">
        <v>53</v>
      </c>
      <c r="B27" s="5" t="s">
        <v>44</v>
      </c>
      <c r="C27" s="5" t="s">
        <v>231</v>
      </c>
      <c r="D27" s="5" t="s">
        <v>9894</v>
      </c>
    </row>
    <row r="28" spans="1:4" ht="10" customHeight="1" x14ac:dyDescent="0.2">
      <c r="A28" s="5">
        <v>54</v>
      </c>
      <c r="B28" s="5" t="s">
        <v>44</v>
      </c>
      <c r="C28" s="5" t="s">
        <v>238</v>
      </c>
      <c r="D28" s="5" t="s">
        <v>9895</v>
      </c>
    </row>
    <row r="29" spans="1:4" ht="10" customHeight="1" x14ac:dyDescent="0.2">
      <c r="A29" s="5">
        <v>56</v>
      </c>
      <c r="B29" s="5" t="s">
        <v>44</v>
      </c>
      <c r="C29" s="5" t="s">
        <v>249</v>
      </c>
      <c r="D29" s="5" t="s">
        <v>9896</v>
      </c>
    </row>
    <row r="30" spans="1:4" ht="10" customHeight="1" x14ac:dyDescent="0.2">
      <c r="A30" s="5">
        <v>76</v>
      </c>
      <c r="B30" s="5" t="s">
        <v>44</v>
      </c>
      <c r="C30" s="5" t="s">
        <v>295</v>
      </c>
      <c r="D30" s="5" t="s">
        <v>9897</v>
      </c>
    </row>
    <row r="31" spans="1:4" ht="10" customHeight="1" x14ac:dyDescent="0.2">
      <c r="A31" s="5">
        <v>77</v>
      </c>
      <c r="B31" s="5" t="s">
        <v>44</v>
      </c>
      <c r="C31" s="5" t="s">
        <v>299</v>
      </c>
      <c r="D31" s="5" t="s">
        <v>9898</v>
      </c>
    </row>
    <row r="32" spans="1:4" ht="10" customHeight="1" x14ac:dyDescent="0.2">
      <c r="A32" s="5">
        <v>78</v>
      </c>
      <c r="B32" s="5" t="s">
        <v>44</v>
      </c>
      <c r="C32" s="5" t="s">
        <v>303</v>
      </c>
      <c r="D32" s="5" t="s">
        <v>9899</v>
      </c>
    </row>
    <row r="33" spans="1:4" ht="10" customHeight="1" x14ac:dyDescent="0.2">
      <c r="A33" s="5">
        <v>79</v>
      </c>
      <c r="B33" s="5" t="s">
        <v>44</v>
      </c>
      <c r="C33" s="5" t="s">
        <v>310</v>
      </c>
      <c r="D33" s="5" t="s">
        <v>9900</v>
      </c>
    </row>
    <row r="34" spans="1:4" ht="10" customHeight="1" x14ac:dyDescent="0.2">
      <c r="A34" s="5">
        <v>80</v>
      </c>
      <c r="B34" s="5" t="s">
        <v>44</v>
      </c>
      <c r="C34" s="5" t="s">
        <v>314</v>
      </c>
      <c r="D34" s="5" t="s">
        <v>9901</v>
      </c>
    </row>
    <row r="35" spans="1:4" ht="10" customHeight="1" x14ac:dyDescent="0.2">
      <c r="A35" s="5">
        <v>1781</v>
      </c>
      <c r="B35" s="5" t="s">
        <v>4317</v>
      </c>
      <c r="C35" s="5" t="s">
        <v>4319</v>
      </c>
      <c r="D35" s="5" t="s">
        <v>9902</v>
      </c>
    </row>
    <row r="36" spans="1:4" ht="10" customHeight="1" x14ac:dyDescent="0.2">
      <c r="A36" s="5">
        <v>1784</v>
      </c>
      <c r="B36" s="5" t="s">
        <v>4317</v>
      </c>
      <c r="C36" s="5" t="s">
        <v>4326</v>
      </c>
      <c r="D36" s="5" t="s">
        <v>9903</v>
      </c>
    </row>
    <row r="37" spans="1:4" ht="10" customHeight="1" x14ac:dyDescent="0.2">
      <c r="A37" s="5">
        <v>1785</v>
      </c>
      <c r="B37" s="5" t="s">
        <v>4317</v>
      </c>
      <c r="C37" s="5" t="s">
        <v>4331</v>
      </c>
      <c r="D37" s="5" t="s">
        <v>9904</v>
      </c>
    </row>
    <row r="38" spans="1:4" ht="10" customHeight="1" x14ac:dyDescent="0.2">
      <c r="A38" s="5">
        <v>1786</v>
      </c>
      <c r="B38" s="5" t="s">
        <v>4317</v>
      </c>
      <c r="C38" s="5" t="s">
        <v>4334</v>
      </c>
      <c r="D38" s="5" t="s">
        <v>9905</v>
      </c>
    </row>
    <row r="39" spans="1:4" ht="10" customHeight="1" x14ac:dyDescent="0.2">
      <c r="A39" s="5">
        <v>1787</v>
      </c>
      <c r="B39" s="5" t="s">
        <v>4317</v>
      </c>
      <c r="C39" s="5" t="s">
        <v>4338</v>
      </c>
      <c r="D39" s="5" t="s">
        <v>9906</v>
      </c>
    </row>
    <row r="40" spans="1:4" ht="10" customHeight="1" x14ac:dyDescent="0.2">
      <c r="A40" s="5">
        <v>1788</v>
      </c>
      <c r="B40" s="5" t="s">
        <v>4317</v>
      </c>
      <c r="C40" s="5" t="s">
        <v>4327</v>
      </c>
      <c r="D40" s="5" t="s">
        <v>9907</v>
      </c>
    </row>
    <row r="41" spans="1:4" ht="10" customHeight="1" x14ac:dyDescent="0.2">
      <c r="A41" s="5">
        <v>1821</v>
      </c>
      <c r="B41" s="5" t="s">
        <v>4317</v>
      </c>
      <c r="C41" s="5" t="s">
        <v>4421</v>
      </c>
      <c r="D41" s="5" t="s">
        <v>9908</v>
      </c>
    </row>
    <row r="42" spans="1:4" ht="10" customHeight="1" x14ac:dyDescent="0.2">
      <c r="A42" s="5">
        <v>1822</v>
      </c>
      <c r="B42" s="5" t="s">
        <v>4317</v>
      </c>
      <c r="C42" s="5" t="s">
        <v>4424</v>
      </c>
      <c r="D42" s="5" t="s">
        <v>9909</v>
      </c>
    </row>
    <row r="43" spans="1:4" ht="10" customHeight="1" x14ac:dyDescent="0.2">
      <c r="A43" s="5">
        <v>1826</v>
      </c>
      <c r="B43" s="5" t="s">
        <v>4317</v>
      </c>
      <c r="C43" s="5" t="s">
        <v>4435</v>
      </c>
      <c r="D43" s="5" t="s">
        <v>9910</v>
      </c>
    </row>
    <row r="44" spans="1:4" ht="10" customHeight="1" x14ac:dyDescent="0.2">
      <c r="A44" s="5">
        <v>1886</v>
      </c>
      <c r="B44" s="5" t="s">
        <v>4317</v>
      </c>
      <c r="C44" s="5" t="s">
        <v>4579</v>
      </c>
      <c r="D44" s="5" t="s">
        <v>9911</v>
      </c>
    </row>
    <row r="45" spans="1:4" ht="10" customHeight="1" x14ac:dyDescent="0.2">
      <c r="A45" s="5">
        <v>1887</v>
      </c>
      <c r="B45" s="5" t="s">
        <v>4317</v>
      </c>
      <c r="C45" s="5" t="s">
        <v>4581</v>
      </c>
      <c r="D45" s="5" t="s">
        <v>9912</v>
      </c>
    </row>
    <row r="46" spans="1:4" ht="10" customHeight="1" x14ac:dyDescent="0.2">
      <c r="A46" s="5">
        <v>1888</v>
      </c>
      <c r="B46" s="5" t="s">
        <v>4317</v>
      </c>
      <c r="C46" s="5" t="s">
        <v>4583</v>
      </c>
      <c r="D46" s="5" t="s">
        <v>9913</v>
      </c>
    </row>
    <row r="47" spans="1:4" ht="10" customHeight="1" x14ac:dyDescent="0.2">
      <c r="A47" s="5">
        <v>1893</v>
      </c>
      <c r="B47" s="5" t="s">
        <v>4317</v>
      </c>
      <c r="C47" s="5" t="s">
        <v>4598</v>
      </c>
      <c r="D47" s="5" t="s">
        <v>9914</v>
      </c>
    </row>
    <row r="48" spans="1:4" ht="10" customHeight="1" x14ac:dyDescent="0.2">
      <c r="A48" s="5">
        <v>1912</v>
      </c>
      <c r="B48" s="5" t="s">
        <v>4317</v>
      </c>
      <c r="C48" s="5" t="s">
        <v>4642</v>
      </c>
      <c r="D48" s="5" t="s">
        <v>9915</v>
      </c>
    </row>
    <row r="49" spans="1:4" ht="10" customHeight="1" x14ac:dyDescent="0.2">
      <c r="A49" s="5">
        <v>1913</v>
      </c>
      <c r="B49" s="5" t="s">
        <v>4317</v>
      </c>
      <c r="C49" s="5" t="s">
        <v>4646</v>
      </c>
      <c r="D49" s="5" t="s">
        <v>9916</v>
      </c>
    </row>
    <row r="50" spans="1:4" ht="10" customHeight="1" x14ac:dyDescent="0.2">
      <c r="A50" s="5">
        <v>1914</v>
      </c>
      <c r="B50" s="5" t="s">
        <v>4317</v>
      </c>
      <c r="C50" s="5" t="s">
        <v>4651</v>
      </c>
      <c r="D50" s="5" t="s">
        <v>9917</v>
      </c>
    </row>
    <row r="51" spans="1:4" ht="10" customHeight="1" x14ac:dyDescent="0.2">
      <c r="A51" s="5">
        <v>1915</v>
      </c>
      <c r="B51" s="5" t="s">
        <v>4317</v>
      </c>
      <c r="C51" s="5" t="s">
        <v>4654</v>
      </c>
      <c r="D51" s="5" t="s">
        <v>9918</v>
      </c>
    </row>
    <row r="52" spans="1:4" ht="10" customHeight="1" x14ac:dyDescent="0.2">
      <c r="A52" s="5">
        <v>1916</v>
      </c>
      <c r="B52" s="5" t="s">
        <v>4317</v>
      </c>
      <c r="C52" s="5" t="s">
        <v>4656</v>
      </c>
      <c r="D52" s="5" t="s">
        <v>9919</v>
      </c>
    </row>
    <row r="53" spans="1:4" ht="10" customHeight="1" x14ac:dyDescent="0.2">
      <c r="A53" s="5">
        <v>1917</v>
      </c>
      <c r="B53" s="5" t="s">
        <v>4317</v>
      </c>
      <c r="C53" s="5" t="s">
        <v>4658</v>
      </c>
      <c r="D53" s="5" t="s">
        <v>9920</v>
      </c>
    </row>
    <row r="54" spans="1:4" ht="10" customHeight="1" x14ac:dyDescent="0.2">
      <c r="A54" s="5">
        <v>1918</v>
      </c>
      <c r="B54" s="5" t="s">
        <v>4317</v>
      </c>
      <c r="C54" s="5" t="s">
        <v>4662</v>
      </c>
      <c r="D54" s="5" t="s">
        <v>9921</v>
      </c>
    </row>
    <row r="55" spans="1:4" ht="10" customHeight="1" x14ac:dyDescent="0.2">
      <c r="A55" s="5">
        <v>1919</v>
      </c>
      <c r="B55" s="5" t="s">
        <v>4317</v>
      </c>
      <c r="C55" s="5" t="s">
        <v>4664</v>
      </c>
      <c r="D55" s="5" t="s">
        <v>9922</v>
      </c>
    </row>
    <row r="56" spans="1:4" ht="10" customHeight="1" x14ac:dyDescent="0.2">
      <c r="A56" s="5">
        <v>1920</v>
      </c>
      <c r="B56" s="5" t="s">
        <v>4317</v>
      </c>
      <c r="C56" s="5" t="s">
        <v>4667</v>
      </c>
      <c r="D56" s="5" t="s">
        <v>9923</v>
      </c>
    </row>
    <row r="57" spans="1:4" ht="10" customHeight="1" x14ac:dyDescent="0.2">
      <c r="A57" s="5">
        <v>1921</v>
      </c>
      <c r="B57" s="5" t="s">
        <v>4317</v>
      </c>
      <c r="C57" s="5" t="s">
        <v>4669</v>
      </c>
      <c r="D57" s="5" t="s">
        <v>9924</v>
      </c>
    </row>
    <row r="58" spans="1:4" ht="10" customHeight="1" x14ac:dyDescent="0.2">
      <c r="A58" s="5">
        <v>1922</v>
      </c>
      <c r="B58" s="5" t="s">
        <v>4317</v>
      </c>
      <c r="C58" s="5" t="s">
        <v>4671</v>
      </c>
      <c r="D58" s="5" t="s">
        <v>9925</v>
      </c>
    </row>
    <row r="59" spans="1:4" ht="10" customHeight="1" x14ac:dyDescent="0.2">
      <c r="A59" s="5">
        <v>1923</v>
      </c>
      <c r="B59" s="5" t="s">
        <v>4317</v>
      </c>
      <c r="C59" s="5" t="s">
        <v>4672</v>
      </c>
      <c r="D59" s="5" t="s">
        <v>9926</v>
      </c>
    </row>
    <row r="60" spans="1:4" ht="10" customHeight="1" x14ac:dyDescent="0.2">
      <c r="A60" s="5">
        <v>1924</v>
      </c>
      <c r="B60" s="5" t="s">
        <v>4317</v>
      </c>
      <c r="C60" s="5" t="s">
        <v>4673</v>
      </c>
      <c r="D60" s="5" t="s">
        <v>9927</v>
      </c>
    </row>
    <row r="61" spans="1:4" ht="10" customHeight="1" x14ac:dyDescent="0.2">
      <c r="A61" s="5">
        <v>1925</v>
      </c>
      <c r="B61" s="5" t="s">
        <v>4317</v>
      </c>
      <c r="C61" s="5" t="s">
        <v>4674</v>
      </c>
      <c r="D61" s="5" t="s">
        <v>9928</v>
      </c>
    </row>
    <row r="62" spans="1:4" ht="10" customHeight="1" x14ac:dyDescent="0.2">
      <c r="A62" s="5">
        <v>1926</v>
      </c>
      <c r="B62" s="5" t="s">
        <v>4317</v>
      </c>
      <c r="C62" s="5" t="s">
        <v>4679</v>
      </c>
      <c r="D62" s="5" t="s">
        <v>9929</v>
      </c>
    </row>
    <row r="63" spans="1:4" ht="10" customHeight="1" x14ac:dyDescent="0.2">
      <c r="A63" s="5">
        <v>1927</v>
      </c>
      <c r="B63" s="5" t="s">
        <v>4317</v>
      </c>
      <c r="C63" s="5" t="s">
        <v>4682</v>
      </c>
      <c r="D63" s="5" t="s">
        <v>9930</v>
      </c>
    </row>
    <row r="64" spans="1:4" ht="10" customHeight="1" x14ac:dyDescent="0.2">
      <c r="A64" s="5">
        <v>1928</v>
      </c>
      <c r="B64" s="5" t="s">
        <v>4317</v>
      </c>
      <c r="C64" s="5" t="s">
        <v>4683</v>
      </c>
      <c r="D64" s="5" t="s">
        <v>9931</v>
      </c>
    </row>
    <row r="65" spans="1:4" ht="10" customHeight="1" x14ac:dyDescent="0.2">
      <c r="A65" s="5">
        <v>1929</v>
      </c>
      <c r="B65" s="5" t="s">
        <v>4317</v>
      </c>
      <c r="C65" s="5" t="s">
        <v>4688</v>
      </c>
      <c r="D65" s="5" t="s">
        <v>9932</v>
      </c>
    </row>
    <row r="66" spans="1:4" ht="10" customHeight="1" x14ac:dyDescent="0.2">
      <c r="A66" s="5">
        <v>1930</v>
      </c>
      <c r="B66" s="5" t="s">
        <v>4317</v>
      </c>
      <c r="C66" s="5" t="s">
        <v>4691</v>
      </c>
      <c r="D66" s="5" t="s">
        <v>9933</v>
      </c>
    </row>
    <row r="67" spans="1:4" ht="10" customHeight="1" x14ac:dyDescent="0.2">
      <c r="A67" s="5">
        <v>1931</v>
      </c>
      <c r="B67" s="5" t="s">
        <v>4317</v>
      </c>
      <c r="C67" s="5" t="s">
        <v>4694</v>
      </c>
      <c r="D67" s="5" t="s">
        <v>9934</v>
      </c>
    </row>
    <row r="68" spans="1:4" ht="10" customHeight="1" x14ac:dyDescent="0.2">
      <c r="A68" s="5">
        <v>1938</v>
      </c>
      <c r="B68" s="5" t="s">
        <v>4711</v>
      </c>
      <c r="C68" s="5" t="s">
        <v>4713</v>
      </c>
      <c r="D68" s="5" t="s">
        <v>9935</v>
      </c>
    </row>
    <row r="69" spans="1:4" ht="10" customHeight="1" x14ac:dyDescent="0.2">
      <c r="A69" s="5">
        <v>1958</v>
      </c>
      <c r="B69" s="5" t="s">
        <v>4711</v>
      </c>
      <c r="C69" s="5" t="s">
        <v>4742</v>
      </c>
      <c r="D69" s="5" t="s">
        <v>9936</v>
      </c>
    </row>
    <row r="70" spans="1:4" ht="10" customHeight="1" x14ac:dyDescent="0.2">
      <c r="A70" s="5">
        <v>1959</v>
      </c>
      <c r="B70" s="5" t="s">
        <v>4711</v>
      </c>
      <c r="C70" s="5" t="s">
        <v>4746</v>
      </c>
      <c r="D70" s="5" t="s">
        <v>9937</v>
      </c>
    </row>
    <row r="71" spans="1:4" ht="10" customHeight="1" x14ac:dyDescent="0.2">
      <c r="A71" s="5">
        <v>1960</v>
      </c>
      <c r="B71" s="5" t="s">
        <v>4711</v>
      </c>
      <c r="C71" s="5" t="s">
        <v>4749</v>
      </c>
      <c r="D71" s="5" t="s">
        <v>9938</v>
      </c>
    </row>
    <row r="72" spans="1:4" ht="10" customHeight="1" x14ac:dyDescent="0.2">
      <c r="A72" s="5">
        <v>1961</v>
      </c>
      <c r="B72" s="5" t="s">
        <v>4711</v>
      </c>
      <c r="C72" s="5" t="s">
        <v>4752</v>
      </c>
      <c r="D72" s="5" t="s">
        <v>9939</v>
      </c>
    </row>
    <row r="73" spans="1:4" ht="10" customHeight="1" x14ac:dyDescent="0.2">
      <c r="A73" s="5">
        <v>1962</v>
      </c>
      <c r="B73" s="5" t="s">
        <v>4711</v>
      </c>
      <c r="C73" s="5" t="s">
        <v>4755</v>
      </c>
      <c r="D73" s="5" t="s">
        <v>9940</v>
      </c>
    </row>
    <row r="74" spans="1:4" ht="10" customHeight="1" x14ac:dyDescent="0.2">
      <c r="A74" s="5">
        <v>1963</v>
      </c>
      <c r="B74" s="5" t="s">
        <v>4711</v>
      </c>
      <c r="C74" s="5" t="s">
        <v>4758</v>
      </c>
      <c r="D74" s="5" t="s">
        <v>9941</v>
      </c>
    </row>
    <row r="75" spans="1:4" ht="10" customHeight="1" x14ac:dyDescent="0.2">
      <c r="A75" s="5">
        <v>1964</v>
      </c>
      <c r="B75" s="5" t="s">
        <v>4711</v>
      </c>
      <c r="C75" s="5" t="s">
        <v>4761</v>
      </c>
      <c r="D75" s="5" t="s">
        <v>9942</v>
      </c>
    </row>
    <row r="76" spans="1:4" ht="10" customHeight="1" x14ac:dyDescent="0.2">
      <c r="A76" s="5">
        <v>1965</v>
      </c>
      <c r="B76" s="5" t="s">
        <v>4711</v>
      </c>
      <c r="C76" s="5" t="s">
        <v>4764</v>
      </c>
      <c r="D76" s="5" t="s">
        <v>9943</v>
      </c>
    </row>
    <row r="77" spans="1:4" ht="10" customHeight="1" x14ac:dyDescent="0.2">
      <c r="A77" s="5">
        <v>1966</v>
      </c>
      <c r="B77" s="5" t="s">
        <v>4711</v>
      </c>
      <c r="C77" s="5" t="s">
        <v>4767</v>
      </c>
      <c r="D77" s="5" t="s">
        <v>9944</v>
      </c>
    </row>
    <row r="78" spans="1:4" ht="10" customHeight="1" x14ac:dyDescent="0.2">
      <c r="A78" s="5">
        <v>1967</v>
      </c>
      <c r="B78" s="5" t="s">
        <v>4711</v>
      </c>
      <c r="C78" s="5" t="s">
        <v>4770</v>
      </c>
      <c r="D78" s="5" t="s">
        <v>9945</v>
      </c>
    </row>
    <row r="79" spans="1:4" ht="10" customHeight="1" x14ac:dyDescent="0.2">
      <c r="A79" s="5">
        <v>1968</v>
      </c>
      <c r="B79" s="5" t="s">
        <v>4711</v>
      </c>
      <c r="C79" s="5" t="s">
        <v>4773</v>
      </c>
      <c r="D79" s="5" t="s">
        <v>9946</v>
      </c>
    </row>
    <row r="80" spans="1:4" ht="10" customHeight="1" x14ac:dyDescent="0.2">
      <c r="A80" s="5">
        <v>1969</v>
      </c>
      <c r="B80" s="5" t="s">
        <v>4711</v>
      </c>
      <c r="C80" s="5" t="s">
        <v>4776</v>
      </c>
      <c r="D80" s="5" t="s">
        <v>9947</v>
      </c>
    </row>
    <row r="81" spans="1:4" ht="10" customHeight="1" x14ac:dyDescent="0.2">
      <c r="A81" s="5">
        <v>1970</v>
      </c>
      <c r="B81" s="5" t="s">
        <v>4711</v>
      </c>
      <c r="C81" s="5" t="s">
        <v>4779</v>
      </c>
      <c r="D81" s="5" t="s">
        <v>9948</v>
      </c>
    </row>
    <row r="82" spans="1:4" ht="10" customHeight="1" x14ac:dyDescent="0.2">
      <c r="A82" s="5">
        <v>1971</v>
      </c>
      <c r="B82" s="5" t="s">
        <v>4711</v>
      </c>
      <c r="C82" s="5" t="s">
        <v>4783</v>
      </c>
      <c r="D82" s="5" t="s">
        <v>9949</v>
      </c>
    </row>
    <row r="83" spans="1:4" ht="10" customHeight="1" x14ac:dyDescent="0.2">
      <c r="A83" s="5">
        <v>1972</v>
      </c>
      <c r="B83" s="5" t="s">
        <v>4711</v>
      </c>
      <c r="C83" s="5" t="s">
        <v>4786</v>
      </c>
      <c r="D83" s="5" t="s">
        <v>9950</v>
      </c>
    </row>
    <row r="84" spans="1:4" ht="10" customHeight="1" x14ac:dyDescent="0.2">
      <c r="A84" s="5">
        <v>1973</v>
      </c>
      <c r="B84" s="5" t="s">
        <v>4711</v>
      </c>
      <c r="C84" s="5" t="s">
        <v>4789</v>
      </c>
      <c r="D84" s="5" t="s">
        <v>9951</v>
      </c>
    </row>
    <row r="85" spans="1:4" ht="10" customHeight="1" x14ac:dyDescent="0.2">
      <c r="A85" s="5">
        <v>1974</v>
      </c>
      <c r="B85" s="5" t="s">
        <v>4711</v>
      </c>
      <c r="C85" s="5" t="s">
        <v>4791</v>
      </c>
      <c r="D85" s="5" t="s">
        <v>9952</v>
      </c>
    </row>
    <row r="86" spans="1:4" ht="10" customHeight="1" x14ac:dyDescent="0.2">
      <c r="A86" s="5">
        <v>2159</v>
      </c>
      <c r="B86" s="5" t="s">
        <v>4711</v>
      </c>
      <c r="C86" s="5" t="s">
        <v>5185</v>
      </c>
      <c r="D86" s="5" t="s">
        <v>9953</v>
      </c>
    </row>
    <row r="87" spans="1:4" ht="10" customHeight="1" x14ac:dyDescent="0.2">
      <c r="A87" s="5">
        <v>2163</v>
      </c>
      <c r="B87" s="5" t="s">
        <v>4711</v>
      </c>
      <c r="C87" s="5" t="s">
        <v>5191</v>
      </c>
      <c r="D87" s="5" t="s">
        <v>9954</v>
      </c>
    </row>
    <row r="88" spans="1:4" ht="10" customHeight="1" x14ac:dyDescent="0.2">
      <c r="A88" s="5">
        <v>2170</v>
      </c>
      <c r="B88" s="5" t="s">
        <v>4711</v>
      </c>
      <c r="C88" s="5" t="s">
        <v>5202</v>
      </c>
      <c r="D88" s="5" t="s">
        <v>9955</v>
      </c>
    </row>
    <row r="89" spans="1:4" ht="10" customHeight="1" x14ac:dyDescent="0.2">
      <c r="A89" s="5">
        <v>2171</v>
      </c>
      <c r="B89" s="5" t="s">
        <v>4711</v>
      </c>
      <c r="C89" s="5" t="s">
        <v>5204</v>
      </c>
      <c r="D89" s="5" t="s">
        <v>9956</v>
      </c>
    </row>
    <row r="90" spans="1:4" ht="10" customHeight="1" x14ac:dyDescent="0.2">
      <c r="A90" s="5">
        <v>2173</v>
      </c>
      <c r="B90" s="5" t="s">
        <v>4711</v>
      </c>
      <c r="C90" s="5" t="s">
        <v>5209</v>
      </c>
      <c r="D90" s="5" t="s">
        <v>9957</v>
      </c>
    </row>
    <row r="91" spans="1:4" ht="10" customHeight="1" x14ac:dyDescent="0.2">
      <c r="A91" s="5">
        <v>2179</v>
      </c>
      <c r="B91" s="5" t="s">
        <v>4711</v>
      </c>
      <c r="C91" s="5" t="s">
        <v>5225</v>
      </c>
      <c r="D91" s="5" t="s">
        <v>9958</v>
      </c>
    </row>
    <row r="92" spans="1:4" ht="10" customHeight="1" x14ac:dyDescent="0.2">
      <c r="A92" s="5">
        <v>2182</v>
      </c>
      <c r="B92" s="5" t="s">
        <v>4711</v>
      </c>
      <c r="C92" s="5" t="s">
        <v>5233</v>
      </c>
      <c r="D92" s="5" t="s">
        <v>9959</v>
      </c>
    </row>
    <row r="93" spans="1:4" ht="10" customHeight="1" x14ac:dyDescent="0.2">
      <c r="A93" s="5">
        <v>2185</v>
      </c>
      <c r="B93" s="5" t="s">
        <v>4711</v>
      </c>
      <c r="C93" s="5" t="s">
        <v>5242</v>
      </c>
      <c r="D93" s="5" t="s">
        <v>9960</v>
      </c>
    </row>
    <row r="94" spans="1:4" ht="10" customHeight="1" x14ac:dyDescent="0.2">
      <c r="A94" s="5">
        <v>2186</v>
      </c>
      <c r="B94" s="5" t="s">
        <v>4711</v>
      </c>
      <c r="C94" s="5" t="s">
        <v>5245</v>
      </c>
      <c r="D94" s="5" t="s">
        <v>9961</v>
      </c>
    </row>
    <row r="95" spans="1:4" ht="10" customHeight="1" x14ac:dyDescent="0.2">
      <c r="A95" s="5">
        <v>2187</v>
      </c>
      <c r="B95" s="5" t="s">
        <v>4711</v>
      </c>
      <c r="C95" s="5" t="s">
        <v>5249</v>
      </c>
      <c r="D95" s="5" t="s">
        <v>9962</v>
      </c>
    </row>
    <row r="96" spans="1:4" ht="10" customHeight="1" x14ac:dyDescent="0.2">
      <c r="A96" s="5">
        <v>2192</v>
      </c>
      <c r="B96" s="5" t="s">
        <v>4711</v>
      </c>
      <c r="C96" s="5" t="s">
        <v>5264</v>
      </c>
      <c r="D96" s="5" t="s">
        <v>9963</v>
      </c>
    </row>
    <row r="97" spans="1:4" ht="10" customHeight="1" x14ac:dyDescent="0.2">
      <c r="A97" s="5">
        <v>2198</v>
      </c>
      <c r="B97" s="5" t="s">
        <v>4711</v>
      </c>
      <c r="C97" s="5" t="s">
        <v>5286</v>
      </c>
      <c r="D97" s="5" t="s">
        <v>9964</v>
      </c>
    </row>
    <row r="98" spans="1:4" ht="10" customHeight="1" x14ac:dyDescent="0.2">
      <c r="A98" s="5">
        <v>2199</v>
      </c>
      <c r="B98" s="5" t="s">
        <v>4711</v>
      </c>
      <c r="C98" s="5" t="s">
        <v>5290</v>
      </c>
      <c r="D98" s="5" t="s">
        <v>9965</v>
      </c>
    </row>
    <row r="99" spans="1:4" ht="10" customHeight="1" x14ac:dyDescent="0.2">
      <c r="A99" s="5">
        <v>2209</v>
      </c>
      <c r="B99" s="5" t="s">
        <v>4711</v>
      </c>
      <c r="C99" s="5" t="s">
        <v>5320</v>
      </c>
      <c r="D99" s="5" t="s">
        <v>9966</v>
      </c>
    </row>
    <row r="100" spans="1:4" ht="10" customHeight="1" x14ac:dyDescent="0.2">
      <c r="A100" s="5">
        <v>2211</v>
      </c>
      <c r="B100" s="5" t="s">
        <v>4711</v>
      </c>
      <c r="C100" s="5" t="s">
        <v>5322</v>
      </c>
      <c r="D100" s="5" t="s">
        <v>9967</v>
      </c>
    </row>
    <row r="101" spans="1:4" ht="10" customHeight="1" x14ac:dyDescent="0.2">
      <c r="A101" s="5">
        <v>2218</v>
      </c>
      <c r="B101" s="5" t="s">
        <v>4711</v>
      </c>
      <c r="C101" s="5" t="s">
        <v>5339</v>
      </c>
      <c r="D101" s="5" t="s">
        <v>9968</v>
      </c>
    </row>
    <row r="102" spans="1:4" ht="10" customHeight="1" x14ac:dyDescent="0.2">
      <c r="A102" s="5">
        <v>2220</v>
      </c>
      <c r="B102" s="5" t="s">
        <v>4711</v>
      </c>
      <c r="C102" s="5" t="s">
        <v>5346</v>
      </c>
      <c r="D102" s="5" t="s">
        <v>9969</v>
      </c>
    </row>
    <row r="103" spans="1:4" ht="10" customHeight="1" x14ac:dyDescent="0.2">
      <c r="A103" s="5">
        <v>2226</v>
      </c>
      <c r="B103" s="5" t="s">
        <v>4711</v>
      </c>
      <c r="C103" s="5" t="s">
        <v>5366</v>
      </c>
      <c r="D103" s="5" t="s">
        <v>9970</v>
      </c>
    </row>
    <row r="104" spans="1:4" ht="10" customHeight="1" x14ac:dyDescent="0.2">
      <c r="A104" s="5">
        <v>2228</v>
      </c>
      <c r="B104" s="5" t="s">
        <v>4711</v>
      </c>
      <c r="C104" s="5" t="s">
        <v>5374</v>
      </c>
      <c r="D104" s="5" t="s">
        <v>9971</v>
      </c>
    </row>
    <row r="105" spans="1:4" ht="10" customHeight="1" x14ac:dyDescent="0.2">
      <c r="A105" s="5">
        <v>2231</v>
      </c>
      <c r="B105" s="5" t="s">
        <v>4711</v>
      </c>
      <c r="C105" s="5" t="s">
        <v>5382</v>
      </c>
      <c r="D105" s="5" t="s">
        <v>9972</v>
      </c>
    </row>
    <row r="106" spans="1:4" ht="10" customHeight="1" x14ac:dyDescent="0.2">
      <c r="A106" s="5">
        <v>2235</v>
      </c>
      <c r="B106" s="5" t="s">
        <v>4711</v>
      </c>
      <c r="C106" s="5" t="s">
        <v>5393</v>
      </c>
      <c r="D106" s="5" t="s">
        <v>9973</v>
      </c>
    </row>
    <row r="107" spans="1:4" ht="10" customHeight="1" x14ac:dyDescent="0.2">
      <c r="A107" s="5">
        <v>2240</v>
      </c>
      <c r="B107" s="5" t="s">
        <v>4711</v>
      </c>
      <c r="C107" s="5" t="s">
        <v>5405</v>
      </c>
      <c r="D107" s="5" t="s">
        <v>9974</v>
      </c>
    </row>
    <row r="108" spans="1:4" ht="10" customHeight="1" x14ac:dyDescent="0.2">
      <c r="A108" s="5">
        <v>2243</v>
      </c>
      <c r="B108" s="5" t="s">
        <v>4711</v>
      </c>
      <c r="C108" s="5" t="s">
        <v>5417</v>
      </c>
      <c r="D108" s="5" t="s">
        <v>9975</v>
      </c>
    </row>
    <row r="109" spans="1:4" ht="10" customHeight="1" x14ac:dyDescent="0.2">
      <c r="A109" s="5">
        <v>2245</v>
      </c>
      <c r="B109" s="5" t="s">
        <v>4711</v>
      </c>
      <c r="C109" s="5" t="s">
        <v>5423</v>
      </c>
      <c r="D109" s="5" t="s">
        <v>9976</v>
      </c>
    </row>
    <row r="110" spans="1:4" ht="10" customHeight="1" x14ac:dyDescent="0.2">
      <c r="A110" s="5">
        <v>2246</v>
      </c>
      <c r="B110" s="5" t="s">
        <v>4711</v>
      </c>
      <c r="C110" s="5" t="s">
        <v>5427</v>
      </c>
      <c r="D110" s="5" t="s">
        <v>9977</v>
      </c>
    </row>
    <row r="111" spans="1:4" ht="10" customHeight="1" x14ac:dyDescent="0.2">
      <c r="A111" s="5">
        <v>2247</v>
      </c>
      <c r="B111" s="5" t="s">
        <v>4711</v>
      </c>
      <c r="C111" s="5" t="s">
        <v>5430</v>
      </c>
      <c r="D111" s="5" t="s">
        <v>9978</v>
      </c>
    </row>
    <row r="112" spans="1:4" ht="10" customHeight="1" x14ac:dyDescent="0.2">
      <c r="A112" s="5">
        <v>2248</v>
      </c>
      <c r="B112" s="5" t="s">
        <v>4711</v>
      </c>
      <c r="C112" s="5" t="s">
        <v>5432</v>
      </c>
      <c r="D112" s="5" t="s">
        <v>9979</v>
      </c>
    </row>
    <row r="113" spans="1:4" ht="10" customHeight="1" x14ac:dyDescent="0.2">
      <c r="A113" s="5">
        <v>2654</v>
      </c>
      <c r="B113" s="5" t="s">
        <v>6255</v>
      </c>
      <c r="C113" s="5" t="s">
        <v>6257</v>
      </c>
      <c r="D113" s="5" t="s">
        <v>9980</v>
      </c>
    </row>
    <row r="114" spans="1:4" ht="10" customHeight="1" x14ac:dyDescent="0.2">
      <c r="A114" s="5">
        <v>2655</v>
      </c>
      <c r="B114" s="5" t="s">
        <v>6255</v>
      </c>
      <c r="C114" s="5" t="s">
        <v>6261</v>
      </c>
      <c r="D114" s="5" t="s">
        <v>9981</v>
      </c>
    </row>
    <row r="115" spans="1:4" ht="10" customHeight="1" x14ac:dyDescent="0.2">
      <c r="A115" s="5">
        <v>2656</v>
      </c>
      <c r="B115" s="5" t="s">
        <v>6255</v>
      </c>
      <c r="C115" s="5" t="s">
        <v>6265</v>
      </c>
      <c r="D115" s="5" t="s">
        <v>9982</v>
      </c>
    </row>
    <row r="116" spans="1:4" ht="10" customHeight="1" x14ac:dyDescent="0.2">
      <c r="A116" s="5">
        <v>2657</v>
      </c>
      <c r="B116" s="5" t="s">
        <v>6255</v>
      </c>
      <c r="C116" s="5" t="s">
        <v>6269</v>
      </c>
      <c r="D116" s="5" t="s">
        <v>9983</v>
      </c>
    </row>
    <row r="117" spans="1:4" ht="10" customHeight="1" x14ac:dyDescent="0.2">
      <c r="A117" s="5">
        <v>2658</v>
      </c>
      <c r="B117" s="5" t="s">
        <v>6255</v>
      </c>
      <c r="C117" s="5" t="s">
        <v>6273</v>
      </c>
      <c r="D117" s="5" t="s">
        <v>9984</v>
      </c>
    </row>
    <row r="118" spans="1:4" ht="10" customHeight="1" x14ac:dyDescent="0.2">
      <c r="A118" s="5">
        <v>2663</v>
      </c>
      <c r="B118" s="5" t="s">
        <v>6255</v>
      </c>
      <c r="C118" s="5" t="s">
        <v>6296</v>
      </c>
      <c r="D118" s="5" t="s">
        <v>9985</v>
      </c>
    </row>
    <row r="119" spans="1:4" ht="10" customHeight="1" x14ac:dyDescent="0.2">
      <c r="A119" s="5">
        <v>2664</v>
      </c>
      <c r="B119" s="5" t="s">
        <v>6255</v>
      </c>
      <c r="C119" s="5" t="s">
        <v>6300</v>
      </c>
      <c r="D119" s="5" t="s">
        <v>9986</v>
      </c>
    </row>
    <row r="120" spans="1:4" ht="10" customHeight="1" x14ac:dyDescent="0.2">
      <c r="A120" s="5">
        <v>2665</v>
      </c>
      <c r="B120" s="5" t="s">
        <v>6255</v>
      </c>
      <c r="C120" s="5" t="s">
        <v>6304</v>
      </c>
      <c r="D120" s="5" t="s">
        <v>9987</v>
      </c>
    </row>
    <row r="121" spans="1:4" ht="10" customHeight="1" x14ac:dyDescent="0.2">
      <c r="A121" s="5">
        <v>2666</v>
      </c>
      <c r="B121" s="5" t="s">
        <v>6255</v>
      </c>
      <c r="C121" s="5" t="s">
        <v>6307</v>
      </c>
      <c r="D121" s="5" t="s">
        <v>9988</v>
      </c>
    </row>
    <row r="122" spans="1:4" ht="10" customHeight="1" x14ac:dyDescent="0.2">
      <c r="A122" s="5">
        <v>2667</v>
      </c>
      <c r="B122" s="5" t="s">
        <v>6255</v>
      </c>
      <c r="C122" s="5" t="s">
        <v>6311</v>
      </c>
      <c r="D122" s="5" t="s">
        <v>9989</v>
      </c>
    </row>
    <row r="123" spans="1:4" ht="10" customHeight="1" x14ac:dyDescent="0.2">
      <c r="A123" s="5">
        <v>2668</v>
      </c>
      <c r="B123" s="5" t="s">
        <v>6255</v>
      </c>
      <c r="C123" s="5" t="s">
        <v>6315</v>
      </c>
      <c r="D123" s="5" t="s">
        <v>9990</v>
      </c>
    </row>
    <row r="124" spans="1:4" ht="10" customHeight="1" x14ac:dyDescent="0.2">
      <c r="A124" s="5">
        <v>2669</v>
      </c>
      <c r="B124" s="5" t="s">
        <v>6255</v>
      </c>
      <c r="C124" s="5" t="s">
        <v>6318</v>
      </c>
      <c r="D124" s="5" t="s">
        <v>9991</v>
      </c>
    </row>
    <row r="125" spans="1:4" ht="10" customHeight="1" x14ac:dyDescent="0.2">
      <c r="A125" s="5">
        <v>2670</v>
      </c>
      <c r="B125" s="5" t="s">
        <v>6255</v>
      </c>
      <c r="C125" s="5" t="s">
        <v>6322</v>
      </c>
      <c r="D125" s="5" t="s">
        <v>9992</v>
      </c>
    </row>
    <row r="126" spans="1:4" ht="10" customHeight="1" x14ac:dyDescent="0.2">
      <c r="A126" s="5">
        <v>2671</v>
      </c>
      <c r="B126" s="5" t="s">
        <v>6255</v>
      </c>
      <c r="C126" s="5" t="s">
        <v>6325</v>
      </c>
      <c r="D126" s="5" t="s">
        <v>9993</v>
      </c>
    </row>
    <row r="127" spans="1:4" ht="10" customHeight="1" x14ac:dyDescent="0.2">
      <c r="A127" s="5">
        <v>2672</v>
      </c>
      <c r="B127" s="5" t="s">
        <v>6255</v>
      </c>
      <c r="C127" s="5" t="s">
        <v>6328</v>
      </c>
      <c r="D127" s="5" t="s">
        <v>9994</v>
      </c>
    </row>
    <row r="128" spans="1:4" ht="10" customHeight="1" x14ac:dyDescent="0.2">
      <c r="A128" s="5">
        <v>2673</v>
      </c>
      <c r="B128" s="5" t="s">
        <v>6255</v>
      </c>
      <c r="C128" s="5" t="s">
        <v>6333</v>
      </c>
      <c r="D128" s="5" t="s">
        <v>9995</v>
      </c>
    </row>
    <row r="129" spans="1:4" ht="10" customHeight="1" x14ac:dyDescent="0.2">
      <c r="A129" s="5">
        <v>2675</v>
      </c>
      <c r="B129" s="5" t="s">
        <v>6255</v>
      </c>
      <c r="C129" s="5" t="s">
        <v>6344</v>
      </c>
      <c r="D129" s="5" t="s">
        <v>9996</v>
      </c>
    </row>
    <row r="130" spans="1:4" ht="10" customHeight="1" x14ac:dyDescent="0.2">
      <c r="A130" s="5">
        <v>2676</v>
      </c>
      <c r="B130" s="5" t="s">
        <v>6255</v>
      </c>
      <c r="C130" s="5" t="s">
        <v>6348</v>
      </c>
      <c r="D130" s="5" t="s">
        <v>9997</v>
      </c>
    </row>
    <row r="131" spans="1:4" ht="10" customHeight="1" x14ac:dyDescent="0.2">
      <c r="A131" s="5">
        <v>2677</v>
      </c>
      <c r="B131" s="5" t="s">
        <v>6255</v>
      </c>
      <c r="C131" s="5" t="s">
        <v>6353</v>
      </c>
      <c r="D131" s="5" t="s">
        <v>9998</v>
      </c>
    </row>
    <row r="132" spans="1:4" ht="10" customHeight="1" x14ac:dyDescent="0.2">
      <c r="A132" s="5">
        <v>2678</v>
      </c>
      <c r="B132" s="5" t="s">
        <v>6255</v>
      </c>
      <c r="C132" s="5" t="s">
        <v>287</v>
      </c>
      <c r="D132" s="5" t="s">
        <v>9999</v>
      </c>
    </row>
    <row r="133" spans="1:4" ht="10" customHeight="1" x14ac:dyDescent="0.2">
      <c r="A133" s="5">
        <v>2679</v>
      </c>
      <c r="B133" s="5" t="s">
        <v>6255</v>
      </c>
      <c r="C133" s="5" t="s">
        <v>6360</v>
      </c>
      <c r="D133" s="5" t="s">
        <v>10000</v>
      </c>
    </row>
    <row r="134" spans="1:4" ht="10" customHeight="1" x14ac:dyDescent="0.2">
      <c r="A134" s="5">
        <v>2680</v>
      </c>
      <c r="B134" s="5" t="s">
        <v>6255</v>
      </c>
      <c r="C134" s="5" t="s">
        <v>6366</v>
      </c>
      <c r="D134" s="5" t="s">
        <v>10001</v>
      </c>
    </row>
    <row r="135" spans="1:4" ht="10" customHeight="1" x14ac:dyDescent="0.2">
      <c r="A135" s="5">
        <v>2681</v>
      </c>
      <c r="B135" s="5" t="s">
        <v>6255</v>
      </c>
      <c r="C135" s="5" t="s">
        <v>3562</v>
      </c>
      <c r="D135" s="5" t="s">
        <v>10002</v>
      </c>
    </row>
    <row r="136" spans="1:4" ht="10" customHeight="1" x14ac:dyDescent="0.2">
      <c r="A136" s="5">
        <v>2682</v>
      </c>
      <c r="B136" s="5" t="s">
        <v>6255</v>
      </c>
      <c r="C136" s="5" t="s">
        <v>6375</v>
      </c>
      <c r="D136" s="5" t="s">
        <v>10003</v>
      </c>
    </row>
    <row r="137" spans="1:4" ht="10" customHeight="1" x14ac:dyDescent="0.2">
      <c r="A137" s="5">
        <v>2686</v>
      </c>
      <c r="B137" s="5" t="s">
        <v>6255</v>
      </c>
      <c r="C137" s="5" t="s">
        <v>6393</v>
      </c>
      <c r="D137" s="5" t="s">
        <v>10004</v>
      </c>
    </row>
    <row r="138" spans="1:4" ht="10" customHeight="1" x14ac:dyDescent="0.2">
      <c r="A138" s="5">
        <v>2687</v>
      </c>
      <c r="B138" s="5" t="s">
        <v>6255</v>
      </c>
      <c r="C138" s="5" t="s">
        <v>6398</v>
      </c>
      <c r="D138" s="5" t="s">
        <v>10005</v>
      </c>
    </row>
    <row r="139" spans="1:4" ht="10" customHeight="1" x14ac:dyDescent="0.2">
      <c r="A139" s="5">
        <v>2689</v>
      </c>
      <c r="B139" s="5" t="s">
        <v>6255</v>
      </c>
      <c r="C139" s="5" t="s">
        <v>6405</v>
      </c>
      <c r="D139" s="5" t="s">
        <v>10006</v>
      </c>
    </row>
    <row r="140" spans="1:4" ht="10" customHeight="1" x14ac:dyDescent="0.2">
      <c r="A140" s="5">
        <v>2692</v>
      </c>
      <c r="B140" s="5" t="s">
        <v>6255</v>
      </c>
      <c r="C140" s="5" t="s">
        <v>6420</v>
      </c>
      <c r="D140" s="5" t="s">
        <v>10007</v>
      </c>
    </row>
    <row r="141" spans="1:4" ht="10" customHeight="1" x14ac:dyDescent="0.2">
      <c r="A141" s="5">
        <v>2693</v>
      </c>
      <c r="B141" s="5" t="s">
        <v>6255</v>
      </c>
      <c r="C141" s="5" t="s">
        <v>6424</v>
      </c>
      <c r="D141" s="5" t="s">
        <v>10008</v>
      </c>
    </row>
    <row r="142" spans="1:4" ht="10" customHeight="1" x14ac:dyDescent="0.2">
      <c r="A142" s="5">
        <v>2694</v>
      </c>
      <c r="B142" s="5" t="s">
        <v>6255</v>
      </c>
      <c r="C142" s="5" t="s">
        <v>6429</v>
      </c>
      <c r="D142" s="5" t="s">
        <v>10009</v>
      </c>
    </row>
    <row r="143" spans="1:4" ht="10" customHeight="1" x14ac:dyDescent="0.2">
      <c r="A143" s="5">
        <v>2695</v>
      </c>
      <c r="B143" s="5" t="s">
        <v>6255</v>
      </c>
      <c r="C143" s="5" t="s">
        <v>6435</v>
      </c>
      <c r="D143" s="5" t="s">
        <v>10010</v>
      </c>
    </row>
    <row r="144" spans="1:4" ht="10" customHeight="1" x14ac:dyDescent="0.2">
      <c r="A144" s="5">
        <v>2696</v>
      </c>
      <c r="B144" s="5" t="s">
        <v>6255</v>
      </c>
      <c r="C144" s="5" t="s">
        <v>6440</v>
      </c>
      <c r="D144" s="5" t="s">
        <v>10011</v>
      </c>
    </row>
    <row r="145" spans="1:4" ht="10" customHeight="1" x14ac:dyDescent="0.2">
      <c r="A145" s="5">
        <v>2697</v>
      </c>
      <c r="B145" s="5" t="s">
        <v>6255</v>
      </c>
      <c r="C145" s="5" t="s">
        <v>6445</v>
      </c>
      <c r="D145" s="5" t="s">
        <v>10012</v>
      </c>
    </row>
    <row r="146" spans="1:4" ht="10" customHeight="1" x14ac:dyDescent="0.2">
      <c r="A146" s="5">
        <v>2699</v>
      </c>
      <c r="B146" s="5" t="s">
        <v>6255</v>
      </c>
      <c r="C146" s="5" t="s">
        <v>6452</v>
      </c>
      <c r="D146" s="5" t="s">
        <v>10013</v>
      </c>
    </row>
    <row r="147" spans="1:4" ht="10" customHeight="1" x14ac:dyDescent="0.2">
      <c r="A147" s="5">
        <v>2700</v>
      </c>
      <c r="B147" s="5" t="s">
        <v>6457</v>
      </c>
      <c r="C147" s="5" t="s">
        <v>6458</v>
      </c>
      <c r="D147" s="5" t="s">
        <v>10014</v>
      </c>
    </row>
    <row r="148" spans="1:4" ht="10" customHeight="1" x14ac:dyDescent="0.2">
      <c r="A148" s="5">
        <v>2701</v>
      </c>
      <c r="B148" s="5" t="s">
        <v>6457</v>
      </c>
      <c r="C148" s="5" t="s">
        <v>2909</v>
      </c>
      <c r="D148" s="5" t="s">
        <v>10015</v>
      </c>
    </row>
    <row r="149" spans="1:4" ht="10" customHeight="1" x14ac:dyDescent="0.2">
      <c r="A149" s="5">
        <v>2702</v>
      </c>
      <c r="B149" s="5" t="s">
        <v>6457</v>
      </c>
      <c r="C149" s="5" t="s">
        <v>6464</v>
      </c>
      <c r="D149" s="5" t="s">
        <v>10016</v>
      </c>
    </row>
    <row r="150" spans="1:4" ht="10" customHeight="1" x14ac:dyDescent="0.2">
      <c r="A150" s="5">
        <v>2703</v>
      </c>
      <c r="B150" s="5" t="s">
        <v>6457</v>
      </c>
      <c r="C150" s="5" t="s">
        <v>6469</v>
      </c>
      <c r="D150" s="5" t="s">
        <v>10017</v>
      </c>
    </row>
    <row r="151" spans="1:4" ht="10" customHeight="1" x14ac:dyDescent="0.2">
      <c r="A151" s="5">
        <v>2704</v>
      </c>
      <c r="B151" s="5" t="s">
        <v>6457</v>
      </c>
      <c r="C151" s="5" t="s">
        <v>6472</v>
      </c>
      <c r="D151" s="5" t="s">
        <v>10018</v>
      </c>
    </row>
    <row r="152" spans="1:4" ht="10" customHeight="1" x14ac:dyDescent="0.2">
      <c r="A152" s="5">
        <v>2709</v>
      </c>
      <c r="B152" s="5" t="s">
        <v>6457</v>
      </c>
      <c r="C152" s="5" t="s">
        <v>6487</v>
      </c>
      <c r="D152" s="5" t="s">
        <v>10019</v>
      </c>
    </row>
    <row r="153" spans="1:4" ht="10" customHeight="1" x14ac:dyDescent="0.2">
      <c r="A153" s="5">
        <v>2710</v>
      </c>
      <c r="B153" s="5" t="s">
        <v>6457</v>
      </c>
      <c r="C153" s="5" t="s">
        <v>6491</v>
      </c>
      <c r="D153" s="5" t="s">
        <v>10020</v>
      </c>
    </row>
    <row r="154" spans="1:4" ht="10" customHeight="1" x14ac:dyDescent="0.2">
      <c r="A154" s="5">
        <v>2711</v>
      </c>
      <c r="B154" s="5" t="s">
        <v>6457</v>
      </c>
      <c r="C154" s="5" t="s">
        <v>6494</v>
      </c>
      <c r="D154" s="5" t="s">
        <v>10021</v>
      </c>
    </row>
    <row r="155" spans="1:4" ht="10" customHeight="1" x14ac:dyDescent="0.2">
      <c r="A155" s="5">
        <v>2712</v>
      </c>
      <c r="B155" s="5" t="s">
        <v>6457</v>
      </c>
      <c r="C155" s="5" t="s">
        <v>6497</v>
      </c>
      <c r="D155" s="5" t="s">
        <v>10022</v>
      </c>
    </row>
    <row r="156" spans="1:4" ht="10" customHeight="1" x14ac:dyDescent="0.2">
      <c r="A156" s="5">
        <v>2713</v>
      </c>
      <c r="B156" s="5" t="s">
        <v>6457</v>
      </c>
      <c r="C156" s="5" t="s">
        <v>6499</v>
      </c>
      <c r="D156" s="5" t="s">
        <v>10023</v>
      </c>
    </row>
    <row r="157" spans="1:4" ht="10" customHeight="1" x14ac:dyDescent="0.2">
      <c r="A157" s="5">
        <v>2714</v>
      </c>
      <c r="B157" s="5" t="s">
        <v>6457</v>
      </c>
      <c r="C157" s="5" t="s">
        <v>6501</v>
      </c>
      <c r="D157" s="5" t="s">
        <v>10024</v>
      </c>
    </row>
    <row r="158" spans="1:4" ht="10" customHeight="1" x14ac:dyDescent="0.2">
      <c r="A158" s="5">
        <v>2715</v>
      </c>
      <c r="B158" s="5" t="s">
        <v>6457</v>
      </c>
      <c r="C158" s="5" t="s">
        <v>6503</v>
      </c>
      <c r="D158" s="5" t="s">
        <v>10025</v>
      </c>
    </row>
    <row r="159" spans="1:4" ht="10" customHeight="1" x14ac:dyDescent="0.2">
      <c r="A159" s="5">
        <v>2716</v>
      </c>
      <c r="B159" s="5" t="s">
        <v>6457</v>
      </c>
      <c r="C159" s="5" t="s">
        <v>6505</v>
      </c>
      <c r="D159" s="5" t="s">
        <v>10026</v>
      </c>
    </row>
    <row r="160" spans="1:4" ht="10" customHeight="1" x14ac:dyDescent="0.2">
      <c r="A160" s="5">
        <v>2717</v>
      </c>
      <c r="B160" s="5" t="s">
        <v>6457</v>
      </c>
      <c r="C160" s="5" t="s">
        <v>6507</v>
      </c>
      <c r="D160" s="5" t="s">
        <v>10027</v>
      </c>
    </row>
    <row r="161" spans="1:4" ht="10" customHeight="1" x14ac:dyDescent="0.2">
      <c r="A161" s="5">
        <v>2718</v>
      </c>
      <c r="B161" s="5" t="s">
        <v>6457</v>
      </c>
      <c r="C161" s="5" t="s">
        <v>6509</v>
      </c>
      <c r="D161" s="5" t="s">
        <v>10028</v>
      </c>
    </row>
    <row r="162" spans="1:4" ht="10" customHeight="1" x14ac:dyDescent="0.2">
      <c r="A162" s="5">
        <v>2719</v>
      </c>
      <c r="B162" s="5" t="s">
        <v>6457</v>
      </c>
      <c r="C162" s="5" t="s">
        <v>6511</v>
      </c>
      <c r="D162" s="5" t="s">
        <v>10029</v>
      </c>
    </row>
    <row r="163" spans="1:4" ht="10" customHeight="1" x14ac:dyDescent="0.2">
      <c r="A163" s="5">
        <v>2720</v>
      </c>
      <c r="B163" s="5" t="s">
        <v>6457</v>
      </c>
      <c r="C163" s="5" t="s">
        <v>6513</v>
      </c>
      <c r="D163" s="5" t="s">
        <v>10030</v>
      </c>
    </row>
    <row r="164" spans="1:4" ht="10" customHeight="1" x14ac:dyDescent="0.2">
      <c r="A164" s="5">
        <v>2721</v>
      </c>
      <c r="B164" s="5" t="s">
        <v>6457</v>
      </c>
      <c r="C164" s="5" t="s">
        <v>6515</v>
      </c>
      <c r="D164" s="5" t="s">
        <v>10031</v>
      </c>
    </row>
    <row r="165" spans="1:4" ht="10" customHeight="1" x14ac:dyDescent="0.2">
      <c r="A165" s="5">
        <v>2722</v>
      </c>
      <c r="B165" s="5" t="s">
        <v>6457</v>
      </c>
      <c r="C165" s="5" t="s">
        <v>6518</v>
      </c>
      <c r="D165" s="5" t="s">
        <v>10032</v>
      </c>
    </row>
    <row r="166" spans="1:4" ht="10" customHeight="1" x14ac:dyDescent="0.2">
      <c r="A166" s="5">
        <v>2723</v>
      </c>
      <c r="B166" s="5" t="s">
        <v>6457</v>
      </c>
      <c r="C166" s="5" t="s">
        <v>6522</v>
      </c>
      <c r="D166" s="5" t="s">
        <v>10033</v>
      </c>
    </row>
    <row r="167" spans="1:4" ht="10" customHeight="1" x14ac:dyDescent="0.2">
      <c r="A167" s="5">
        <v>2724</v>
      </c>
      <c r="B167" s="5" t="s">
        <v>6457</v>
      </c>
      <c r="C167" s="5" t="s">
        <v>6525</v>
      </c>
      <c r="D167" s="5" t="s">
        <v>10034</v>
      </c>
    </row>
    <row r="168" spans="1:4" ht="10" customHeight="1" x14ac:dyDescent="0.2">
      <c r="A168" s="5">
        <v>2725</v>
      </c>
      <c r="B168" s="5" t="s">
        <v>6457</v>
      </c>
      <c r="C168" s="5" t="s">
        <v>6528</v>
      </c>
      <c r="D168" s="5" t="s">
        <v>10035</v>
      </c>
    </row>
    <row r="169" spans="1:4" ht="10" customHeight="1" x14ac:dyDescent="0.2">
      <c r="A169" s="5">
        <v>2726</v>
      </c>
      <c r="B169" s="5" t="s">
        <v>6457</v>
      </c>
      <c r="C169" s="5" t="s">
        <v>6532</v>
      </c>
      <c r="D169" s="5" t="s">
        <v>10036</v>
      </c>
    </row>
    <row r="170" spans="1:4" ht="10" customHeight="1" x14ac:dyDescent="0.2">
      <c r="A170" s="5">
        <v>2728</v>
      </c>
      <c r="B170" s="5" t="s">
        <v>6457</v>
      </c>
      <c r="C170" s="5" t="s">
        <v>6537</v>
      </c>
      <c r="D170" s="5" t="s">
        <v>10037</v>
      </c>
    </row>
    <row r="171" spans="1:4" ht="10" customHeight="1" x14ac:dyDescent="0.2">
      <c r="A171" s="5">
        <v>2729</v>
      </c>
      <c r="B171" s="5" t="s">
        <v>6457</v>
      </c>
      <c r="C171" s="5" t="s">
        <v>6539</v>
      </c>
      <c r="D171" s="5" t="s">
        <v>10038</v>
      </c>
    </row>
    <row r="172" spans="1:4" ht="10" customHeight="1" x14ac:dyDescent="0.2">
      <c r="A172" s="5">
        <v>2730</v>
      </c>
      <c r="B172" s="5" t="s">
        <v>6457</v>
      </c>
      <c r="C172" s="5" t="s">
        <v>6543</v>
      </c>
      <c r="D172" s="5" t="s">
        <v>10039</v>
      </c>
    </row>
    <row r="173" spans="1:4" ht="10" customHeight="1" x14ac:dyDescent="0.2">
      <c r="A173" s="5">
        <v>2732</v>
      </c>
      <c r="B173" s="5" t="s">
        <v>6457</v>
      </c>
      <c r="C173" s="5" t="s">
        <v>6549</v>
      </c>
      <c r="D173" s="5" t="s">
        <v>10040</v>
      </c>
    </row>
    <row r="174" spans="1:4" ht="10" customHeight="1" x14ac:dyDescent="0.2">
      <c r="A174" s="5">
        <v>2733</v>
      </c>
      <c r="B174" s="5" t="s">
        <v>6457</v>
      </c>
      <c r="C174" s="5" t="s">
        <v>6551</v>
      </c>
      <c r="D174" s="5" t="s">
        <v>10041</v>
      </c>
    </row>
    <row r="175" spans="1:4" ht="10" customHeight="1" x14ac:dyDescent="0.2">
      <c r="A175" s="5">
        <v>2734</v>
      </c>
      <c r="B175" s="5" t="s">
        <v>6457</v>
      </c>
      <c r="C175" s="5" t="s">
        <v>6553</v>
      </c>
      <c r="D175" s="5" t="s">
        <v>10042</v>
      </c>
    </row>
    <row r="176" spans="1:4" ht="10" customHeight="1" x14ac:dyDescent="0.2">
      <c r="A176" s="5">
        <v>2736</v>
      </c>
      <c r="B176" s="5" t="s">
        <v>6457</v>
      </c>
      <c r="C176" s="5" t="s">
        <v>6560</v>
      </c>
      <c r="D176" s="5" t="s">
        <v>10043</v>
      </c>
    </row>
    <row r="177" spans="1:4" ht="10" customHeight="1" x14ac:dyDescent="0.2">
      <c r="A177" s="5">
        <v>2741</v>
      </c>
      <c r="B177" s="5" t="s">
        <v>6457</v>
      </c>
      <c r="C177" s="5" t="s">
        <v>6575</v>
      </c>
      <c r="D177" s="5" t="s">
        <v>10044</v>
      </c>
    </row>
    <row r="178" spans="1:4" ht="10" customHeight="1" x14ac:dyDescent="0.2">
      <c r="A178" s="5">
        <v>2742</v>
      </c>
      <c r="B178" s="5" t="s">
        <v>6457</v>
      </c>
      <c r="C178" s="5" t="s">
        <v>6579</v>
      </c>
      <c r="D178" s="5" t="s">
        <v>10045</v>
      </c>
    </row>
    <row r="179" spans="1:4" ht="10" customHeight="1" x14ac:dyDescent="0.2">
      <c r="A179" s="5">
        <v>2743</v>
      </c>
      <c r="B179" s="5" t="s">
        <v>6457</v>
      </c>
      <c r="C179" s="5" t="s">
        <v>6582</v>
      </c>
      <c r="D179" s="5" t="s">
        <v>10046</v>
      </c>
    </row>
    <row r="180" spans="1:4" ht="10" customHeight="1" x14ac:dyDescent="0.2">
      <c r="A180" s="5">
        <v>2744</v>
      </c>
      <c r="B180" s="5" t="s">
        <v>6457</v>
      </c>
      <c r="C180" s="5" t="s">
        <v>6585</v>
      </c>
      <c r="D180" s="5" t="s">
        <v>10047</v>
      </c>
    </row>
    <row r="181" spans="1:4" ht="10" customHeight="1" x14ac:dyDescent="0.2">
      <c r="A181" s="5">
        <v>2745</v>
      </c>
      <c r="B181" s="5" t="s">
        <v>6457</v>
      </c>
      <c r="C181" s="5" t="s">
        <v>6589</v>
      </c>
      <c r="D181" s="5" t="s">
        <v>10048</v>
      </c>
    </row>
    <row r="182" spans="1:4" ht="10" customHeight="1" x14ac:dyDescent="0.2">
      <c r="A182" s="5">
        <v>2746</v>
      </c>
      <c r="B182" s="5" t="s">
        <v>6457</v>
      </c>
      <c r="C182" s="5" t="s">
        <v>6592</v>
      </c>
      <c r="D182" s="5" t="s">
        <v>10049</v>
      </c>
    </row>
    <row r="183" spans="1:4" ht="10" customHeight="1" x14ac:dyDescent="0.2">
      <c r="A183" s="5">
        <v>2747</v>
      </c>
      <c r="B183" s="5" t="s">
        <v>6457</v>
      </c>
      <c r="C183" s="5" t="s">
        <v>6596</v>
      </c>
      <c r="D183" s="5" t="s">
        <v>10050</v>
      </c>
    </row>
    <row r="184" spans="1:4" ht="10" customHeight="1" x14ac:dyDescent="0.2">
      <c r="A184" s="5">
        <v>2748</v>
      </c>
      <c r="B184" s="5" t="s">
        <v>6457</v>
      </c>
      <c r="C184" s="5" t="s">
        <v>6599</v>
      </c>
      <c r="D184" s="5" t="s">
        <v>10051</v>
      </c>
    </row>
    <row r="185" spans="1:4" ht="10" customHeight="1" x14ac:dyDescent="0.2">
      <c r="A185" s="5">
        <v>2749</v>
      </c>
      <c r="B185" s="5" t="s">
        <v>6457</v>
      </c>
      <c r="C185" s="5" t="s">
        <v>6344</v>
      </c>
      <c r="D185" s="5" t="s">
        <v>10052</v>
      </c>
    </row>
    <row r="186" spans="1:4" ht="10" customHeight="1" x14ac:dyDescent="0.2">
      <c r="A186" s="5">
        <v>2750</v>
      </c>
      <c r="B186" s="5" t="s">
        <v>6457</v>
      </c>
      <c r="C186" s="5" t="s">
        <v>6606</v>
      </c>
      <c r="D186" s="5" t="s">
        <v>10053</v>
      </c>
    </row>
    <row r="187" spans="1:4" ht="10" customHeight="1" x14ac:dyDescent="0.2">
      <c r="A187" s="5">
        <v>2751</v>
      </c>
      <c r="B187" s="5" t="s">
        <v>6457</v>
      </c>
      <c r="C187" s="5" t="s">
        <v>6609</v>
      </c>
      <c r="D187" s="5" t="s">
        <v>10054</v>
      </c>
    </row>
    <row r="188" spans="1:4" ht="10" customHeight="1" x14ac:dyDescent="0.2">
      <c r="A188" s="5">
        <v>2754</v>
      </c>
      <c r="B188" s="5" t="s">
        <v>6457</v>
      </c>
      <c r="C188" s="5" t="s">
        <v>6619</v>
      </c>
      <c r="D188" s="5" t="s">
        <v>10055</v>
      </c>
    </row>
    <row r="189" spans="1:4" ht="10" customHeight="1" x14ac:dyDescent="0.2">
      <c r="A189" s="5">
        <v>2755</v>
      </c>
      <c r="B189" s="5" t="s">
        <v>6457</v>
      </c>
      <c r="C189" s="5" t="s">
        <v>6621</v>
      </c>
      <c r="D189" s="5" t="s">
        <v>10056</v>
      </c>
    </row>
    <row r="190" spans="1:4" ht="10" customHeight="1" x14ac:dyDescent="0.2">
      <c r="A190" s="5">
        <v>2757</v>
      </c>
      <c r="B190" s="5" t="s">
        <v>6457</v>
      </c>
      <c r="C190" s="5" t="s">
        <v>6629</v>
      </c>
      <c r="D190" s="5" t="s">
        <v>10057</v>
      </c>
    </row>
    <row r="191" spans="1:4" ht="10" customHeight="1" x14ac:dyDescent="0.2">
      <c r="A191" s="5">
        <v>2758</v>
      </c>
      <c r="B191" s="5" t="s">
        <v>6457</v>
      </c>
      <c r="C191" s="5" t="s">
        <v>6633</v>
      </c>
      <c r="D191" s="5" t="s">
        <v>10058</v>
      </c>
    </row>
    <row r="192" spans="1:4" ht="10" customHeight="1" x14ac:dyDescent="0.2">
      <c r="A192" s="5">
        <v>2759</v>
      </c>
      <c r="B192" s="5" t="s">
        <v>6457</v>
      </c>
      <c r="C192" s="5" t="s">
        <v>6638</v>
      </c>
      <c r="D192" s="5" t="s">
        <v>10059</v>
      </c>
    </row>
    <row r="193" spans="1:4" ht="10" customHeight="1" x14ac:dyDescent="0.2">
      <c r="A193" s="5">
        <v>2760</v>
      </c>
      <c r="B193" s="5" t="s">
        <v>6457</v>
      </c>
      <c r="C193" s="5" t="s">
        <v>6642</v>
      </c>
      <c r="D193" s="5" t="s">
        <v>10060</v>
      </c>
    </row>
    <row r="194" spans="1:4" ht="10" customHeight="1" x14ac:dyDescent="0.2">
      <c r="A194" s="5">
        <v>2761</v>
      </c>
      <c r="B194" s="5" t="s">
        <v>6457</v>
      </c>
      <c r="C194" s="5" t="s">
        <v>6648</v>
      </c>
      <c r="D194" s="5" t="s">
        <v>10061</v>
      </c>
    </row>
    <row r="195" spans="1:4" ht="10" customHeight="1" x14ac:dyDescent="0.2">
      <c r="A195" s="5">
        <v>2762</v>
      </c>
      <c r="B195" s="5" t="s">
        <v>6457</v>
      </c>
      <c r="C195" s="5" t="s">
        <v>6653</v>
      </c>
      <c r="D195" s="5" t="s">
        <v>10062</v>
      </c>
    </row>
    <row r="196" spans="1:4" ht="10" customHeight="1" x14ac:dyDescent="0.2">
      <c r="A196" s="5">
        <v>2763</v>
      </c>
      <c r="B196" s="5" t="s">
        <v>6457</v>
      </c>
      <c r="C196" s="5" t="s">
        <v>386</v>
      </c>
      <c r="D196" s="5" t="s">
        <v>10063</v>
      </c>
    </row>
    <row r="197" spans="1:4" ht="10" customHeight="1" x14ac:dyDescent="0.2">
      <c r="A197" s="5">
        <v>2764</v>
      </c>
      <c r="B197" s="5" t="s">
        <v>6457</v>
      </c>
      <c r="C197" s="5" t="s">
        <v>3537</v>
      </c>
      <c r="D197" s="5" t="s">
        <v>10064</v>
      </c>
    </row>
    <row r="198" spans="1:4" ht="10" customHeight="1" x14ac:dyDescent="0.2">
      <c r="A198" s="5">
        <v>2765</v>
      </c>
      <c r="B198" s="5" t="s">
        <v>6457</v>
      </c>
      <c r="C198" s="5" t="s">
        <v>6661</v>
      </c>
      <c r="D198" s="5" t="s">
        <v>10065</v>
      </c>
    </row>
    <row r="199" spans="1:4" ht="10" customHeight="1" x14ac:dyDescent="0.2">
      <c r="A199" s="5">
        <v>2766</v>
      </c>
      <c r="B199" s="5" t="s">
        <v>6457</v>
      </c>
      <c r="C199" s="5" t="s">
        <v>6665</v>
      </c>
      <c r="D199" s="5" t="s">
        <v>10066</v>
      </c>
    </row>
    <row r="200" spans="1:4" ht="10" customHeight="1" x14ac:dyDescent="0.2">
      <c r="A200" s="5">
        <v>2767</v>
      </c>
      <c r="B200" s="5" t="s">
        <v>6457</v>
      </c>
      <c r="C200" s="5" t="s">
        <v>6669</v>
      </c>
      <c r="D200" s="5" t="s">
        <v>10067</v>
      </c>
    </row>
    <row r="201" spans="1:4" ht="10" customHeight="1" x14ac:dyDescent="0.2">
      <c r="A201" s="5">
        <v>2768</v>
      </c>
      <c r="B201" s="5" t="s">
        <v>6457</v>
      </c>
      <c r="C201" s="5" t="s">
        <v>6674</v>
      </c>
      <c r="D201" s="5" t="s">
        <v>10068</v>
      </c>
    </row>
    <row r="202" spans="1:4" ht="10" customHeight="1" x14ac:dyDescent="0.2">
      <c r="A202" s="5">
        <v>2769</v>
      </c>
      <c r="B202" s="5" t="s">
        <v>6457</v>
      </c>
      <c r="C202" s="5" t="s">
        <v>6677</v>
      </c>
      <c r="D202" s="5" t="s">
        <v>10069</v>
      </c>
    </row>
    <row r="203" spans="1:4" ht="10" customHeight="1" x14ac:dyDescent="0.2">
      <c r="A203" s="5">
        <v>2770</v>
      </c>
      <c r="B203" s="5" t="s">
        <v>6457</v>
      </c>
      <c r="C203" s="5" t="s">
        <v>6682</v>
      </c>
      <c r="D203" s="5" t="s">
        <v>10070</v>
      </c>
    </row>
    <row r="204" spans="1:4" ht="10" customHeight="1" x14ac:dyDescent="0.2">
      <c r="A204" s="5">
        <v>2771</v>
      </c>
      <c r="B204" s="5" t="s">
        <v>6457</v>
      </c>
      <c r="C204" s="5" t="s">
        <v>6685</v>
      </c>
      <c r="D204" s="5" t="s">
        <v>10071</v>
      </c>
    </row>
    <row r="205" spans="1:4" ht="10" customHeight="1" x14ac:dyDescent="0.2">
      <c r="A205" s="5">
        <v>2776</v>
      </c>
      <c r="B205" s="5" t="s">
        <v>6457</v>
      </c>
      <c r="C205" s="5" t="s">
        <v>6703</v>
      </c>
      <c r="D205" s="5" t="s">
        <v>10072</v>
      </c>
    </row>
    <row r="206" spans="1:4" ht="10" customHeight="1" x14ac:dyDescent="0.2">
      <c r="A206" s="5">
        <v>2777</v>
      </c>
      <c r="B206" s="5" t="s">
        <v>6457</v>
      </c>
      <c r="C206" s="5" t="s">
        <v>6707</v>
      </c>
      <c r="D206" s="5" t="s">
        <v>10073</v>
      </c>
    </row>
    <row r="207" spans="1:4" ht="10" customHeight="1" x14ac:dyDescent="0.2">
      <c r="A207" s="5">
        <v>2778</v>
      </c>
      <c r="B207" s="5" t="s">
        <v>6457</v>
      </c>
      <c r="C207" s="5" t="s">
        <v>6710</v>
      </c>
      <c r="D207" s="5" t="s">
        <v>10074</v>
      </c>
    </row>
    <row r="208" spans="1:4" ht="10" customHeight="1" x14ac:dyDescent="0.2">
      <c r="A208" s="5">
        <v>2780</v>
      </c>
      <c r="B208" s="5" t="s">
        <v>6457</v>
      </c>
      <c r="C208" s="5" t="s">
        <v>6717</v>
      </c>
      <c r="D208" s="5" t="s">
        <v>10075</v>
      </c>
    </row>
    <row r="209" spans="1:4" ht="10" customHeight="1" x14ac:dyDescent="0.2">
      <c r="A209" s="5">
        <v>2782</v>
      </c>
      <c r="B209" s="5" t="s">
        <v>6457</v>
      </c>
      <c r="C209" s="5" t="s">
        <v>6725</v>
      </c>
      <c r="D209" s="5" t="s">
        <v>10076</v>
      </c>
    </row>
    <row r="210" spans="1:4" ht="10" customHeight="1" x14ac:dyDescent="0.2">
      <c r="A210" s="5">
        <v>2783</v>
      </c>
      <c r="B210" s="5" t="s">
        <v>6457</v>
      </c>
      <c r="C210" s="5" t="s">
        <v>6729</v>
      </c>
      <c r="D210" s="5" t="s">
        <v>10072</v>
      </c>
    </row>
    <row r="211" spans="1:4" ht="10" customHeight="1" x14ac:dyDescent="0.2">
      <c r="A211" s="5">
        <v>2784</v>
      </c>
      <c r="B211" s="5" t="s">
        <v>6457</v>
      </c>
      <c r="C211" s="5" t="s">
        <v>6732</v>
      </c>
      <c r="D211" s="5" t="s">
        <v>10072</v>
      </c>
    </row>
    <row r="212" spans="1:4" ht="10" customHeight="1" x14ac:dyDescent="0.2">
      <c r="A212" s="5">
        <v>2785</v>
      </c>
      <c r="B212" s="5" t="s">
        <v>6457</v>
      </c>
      <c r="C212" s="5" t="s">
        <v>6736</v>
      </c>
      <c r="D212" s="5" t="s">
        <v>10072</v>
      </c>
    </row>
    <row r="213" spans="1:4" ht="10" customHeight="1" x14ac:dyDescent="0.2">
      <c r="A213" s="5">
        <v>2786</v>
      </c>
      <c r="B213" s="5" t="s">
        <v>6457</v>
      </c>
      <c r="C213" s="5" t="s">
        <v>6740</v>
      </c>
      <c r="D213" s="5" t="s">
        <v>10077</v>
      </c>
    </row>
    <row r="214" spans="1:4" ht="10" customHeight="1" x14ac:dyDescent="0.2">
      <c r="A214" s="5">
        <v>2788</v>
      </c>
      <c r="B214" s="5" t="s">
        <v>6457</v>
      </c>
      <c r="C214" s="5" t="s">
        <v>4134</v>
      </c>
      <c r="D214" s="5" t="s">
        <v>10078</v>
      </c>
    </row>
    <row r="215" spans="1:4" ht="10" customHeight="1" x14ac:dyDescent="0.2">
      <c r="A215" s="5">
        <v>2790</v>
      </c>
      <c r="B215" s="5" t="s">
        <v>6457</v>
      </c>
      <c r="C215" s="5" t="s">
        <v>6755</v>
      </c>
      <c r="D215" s="5" t="s">
        <v>10079</v>
      </c>
    </row>
    <row r="216" spans="1:4" ht="10" customHeight="1" x14ac:dyDescent="0.2">
      <c r="A216" s="5">
        <v>2791</v>
      </c>
      <c r="B216" s="5" t="s">
        <v>6457</v>
      </c>
      <c r="C216" s="5" t="s">
        <v>6758</v>
      </c>
      <c r="D216" s="5" t="s">
        <v>10080</v>
      </c>
    </row>
    <row r="217" spans="1:4" ht="10" customHeight="1" x14ac:dyDescent="0.2">
      <c r="A217" s="5">
        <v>2792</v>
      </c>
      <c r="B217" s="5" t="s">
        <v>6457</v>
      </c>
      <c r="C217" s="5" t="s">
        <v>6763</v>
      </c>
      <c r="D217" s="5" t="s">
        <v>10081</v>
      </c>
    </row>
    <row r="218" spans="1:4" ht="10" customHeight="1" x14ac:dyDescent="0.2">
      <c r="A218" s="5">
        <v>2793</v>
      </c>
      <c r="B218" s="5" t="s">
        <v>6457</v>
      </c>
      <c r="C218" s="5" t="s">
        <v>6767</v>
      </c>
      <c r="D218" s="5" t="s">
        <v>10082</v>
      </c>
    </row>
    <row r="219" spans="1:4" ht="10" customHeight="1" x14ac:dyDescent="0.2">
      <c r="A219" s="5">
        <v>2794</v>
      </c>
      <c r="B219" s="5" t="s">
        <v>6457</v>
      </c>
      <c r="C219" s="5" t="s">
        <v>6772</v>
      </c>
      <c r="D219" s="5" t="s">
        <v>10083</v>
      </c>
    </row>
    <row r="220" spans="1:4" ht="10" customHeight="1" x14ac:dyDescent="0.2">
      <c r="A220" s="5">
        <v>2797</v>
      </c>
      <c r="B220" s="5" t="s">
        <v>6457</v>
      </c>
      <c r="C220" s="5" t="s">
        <v>6783</v>
      </c>
      <c r="D220" s="5" t="s">
        <v>10084</v>
      </c>
    </row>
    <row r="221" spans="1:4" ht="10" customHeight="1" x14ac:dyDescent="0.2">
      <c r="A221" s="5">
        <v>2798</v>
      </c>
      <c r="B221" s="5" t="s">
        <v>6457</v>
      </c>
      <c r="C221" s="5" t="s">
        <v>6787</v>
      </c>
      <c r="D221" s="5" t="s">
        <v>10085</v>
      </c>
    </row>
    <row r="222" spans="1:4" ht="10" customHeight="1" x14ac:dyDescent="0.2">
      <c r="A222" s="5">
        <v>2799</v>
      </c>
      <c r="B222" s="5" t="s">
        <v>6457</v>
      </c>
      <c r="C222" s="5" t="s">
        <v>6791</v>
      </c>
      <c r="D222" s="5" t="s">
        <v>10086</v>
      </c>
    </row>
    <row r="223" spans="1:4" ht="10" customHeight="1" x14ac:dyDescent="0.2">
      <c r="A223" s="5">
        <v>2800</v>
      </c>
      <c r="B223" s="5" t="s">
        <v>6457</v>
      </c>
      <c r="C223" s="5" t="s">
        <v>6796</v>
      </c>
      <c r="D223" s="5" t="s">
        <v>10087</v>
      </c>
    </row>
    <row r="224" spans="1:4" ht="10" customHeight="1" x14ac:dyDescent="0.2">
      <c r="A224" s="5">
        <v>2801</v>
      </c>
      <c r="B224" s="5" t="s">
        <v>6457</v>
      </c>
      <c r="C224" s="5" t="s">
        <v>6800</v>
      </c>
      <c r="D224" s="5" t="s">
        <v>10088</v>
      </c>
    </row>
    <row r="225" spans="1:4" ht="10" customHeight="1" x14ac:dyDescent="0.2">
      <c r="A225" s="5">
        <v>2802</v>
      </c>
      <c r="B225" s="5" t="s">
        <v>6457</v>
      </c>
      <c r="C225" s="5" t="s">
        <v>6803</v>
      </c>
      <c r="D225" s="5" t="s">
        <v>10089</v>
      </c>
    </row>
    <row r="226" spans="1:4" ht="10" customHeight="1" x14ac:dyDescent="0.2">
      <c r="A226" s="5">
        <v>2804</v>
      </c>
      <c r="B226" s="5" t="s">
        <v>6457</v>
      </c>
      <c r="C226" s="5" t="s">
        <v>6814</v>
      </c>
      <c r="D226" s="5" t="s">
        <v>10090</v>
      </c>
    </row>
    <row r="227" spans="1:4" ht="10" customHeight="1" x14ac:dyDescent="0.2">
      <c r="A227" s="5">
        <v>2805</v>
      </c>
      <c r="B227" s="5" t="s">
        <v>6457</v>
      </c>
      <c r="C227" s="5" t="s">
        <v>6817</v>
      </c>
      <c r="D227" s="5" t="s">
        <v>10091</v>
      </c>
    </row>
    <row r="228" spans="1:4" ht="10" customHeight="1" x14ac:dyDescent="0.2">
      <c r="A228" s="5">
        <v>2806</v>
      </c>
      <c r="B228" s="5" t="s">
        <v>6457</v>
      </c>
      <c r="C228" s="5" t="s">
        <v>6820</v>
      </c>
      <c r="D228" s="5" t="s">
        <v>10092</v>
      </c>
    </row>
    <row r="229" spans="1:4" ht="10" customHeight="1" x14ac:dyDescent="0.2">
      <c r="A229" s="5">
        <v>2807</v>
      </c>
      <c r="B229" s="5" t="s">
        <v>6457</v>
      </c>
      <c r="C229" s="5" t="s">
        <v>6824</v>
      </c>
      <c r="D229" s="5" t="s">
        <v>10093</v>
      </c>
    </row>
    <row r="230" spans="1:4" ht="10" customHeight="1" x14ac:dyDescent="0.2">
      <c r="A230" s="5">
        <v>2809</v>
      </c>
      <c r="B230" s="5" t="s">
        <v>6457</v>
      </c>
      <c r="C230" s="5" t="s">
        <v>6829</v>
      </c>
      <c r="D230" s="5" t="s">
        <v>10094</v>
      </c>
    </row>
    <row r="231" spans="1:4" ht="10" customHeight="1" x14ac:dyDescent="0.2">
      <c r="A231" s="5">
        <v>2810</v>
      </c>
      <c r="B231" s="5" t="s">
        <v>6832</v>
      </c>
      <c r="C231" s="5" t="s">
        <v>6833</v>
      </c>
      <c r="D231" s="5" t="s">
        <v>10095</v>
      </c>
    </row>
    <row r="232" spans="1:4" ht="10" customHeight="1" x14ac:dyDescent="0.2">
      <c r="A232" s="5">
        <v>2823</v>
      </c>
      <c r="B232" s="5" t="s">
        <v>6832</v>
      </c>
      <c r="C232" s="5" t="s">
        <v>6863</v>
      </c>
      <c r="D232" s="5" t="s">
        <v>10096</v>
      </c>
    </row>
    <row r="233" spans="1:4" ht="10" customHeight="1" x14ac:dyDescent="0.2">
      <c r="A233" s="5">
        <v>2831</v>
      </c>
      <c r="B233" s="5" t="s">
        <v>6832</v>
      </c>
      <c r="C233" s="5" t="s">
        <v>6877</v>
      </c>
      <c r="D233" s="5" t="s">
        <v>10097</v>
      </c>
    </row>
    <row r="234" spans="1:4" ht="10" customHeight="1" x14ac:dyDescent="0.2">
      <c r="A234" s="5">
        <v>2858</v>
      </c>
      <c r="B234" s="5" t="s">
        <v>6832</v>
      </c>
      <c r="C234" s="5" t="s">
        <v>6932</v>
      </c>
      <c r="D234" s="5" t="s">
        <v>10098</v>
      </c>
    </row>
    <row r="235" spans="1:4" ht="10" customHeight="1" x14ac:dyDescent="0.2">
      <c r="A235" s="5">
        <v>2859</v>
      </c>
      <c r="B235" s="5" t="s">
        <v>6832</v>
      </c>
      <c r="C235" s="5" t="s">
        <v>6935</v>
      </c>
      <c r="D235" s="5" t="s">
        <v>10099</v>
      </c>
    </row>
    <row r="236" spans="1:4" ht="10" customHeight="1" x14ac:dyDescent="0.2">
      <c r="A236" s="5">
        <v>2860</v>
      </c>
      <c r="B236" s="5" t="s">
        <v>6832</v>
      </c>
      <c r="C236" s="5" t="s">
        <v>6939</v>
      </c>
      <c r="D236" s="5" t="s">
        <v>10100</v>
      </c>
    </row>
    <row r="237" spans="1:4" ht="10" customHeight="1" x14ac:dyDescent="0.2">
      <c r="A237" s="5">
        <v>2861</v>
      </c>
      <c r="B237" s="5" t="s">
        <v>6832</v>
      </c>
      <c r="C237" s="5" t="s">
        <v>6942</v>
      </c>
      <c r="D237" s="5" t="s">
        <v>10101</v>
      </c>
    </row>
    <row r="238" spans="1:4" ht="10" customHeight="1" x14ac:dyDescent="0.2">
      <c r="A238" s="5">
        <v>2879</v>
      </c>
      <c r="B238" s="5" t="s">
        <v>6832</v>
      </c>
      <c r="C238" s="5" t="s">
        <v>6964</v>
      </c>
      <c r="D238" s="5" t="s">
        <v>10102</v>
      </c>
    </row>
    <row r="239" spans="1:4" ht="10" customHeight="1" x14ac:dyDescent="0.2">
      <c r="A239" s="5">
        <v>2880</v>
      </c>
      <c r="B239" s="5" t="s">
        <v>6832</v>
      </c>
      <c r="C239" s="5" t="s">
        <v>6967</v>
      </c>
      <c r="D239" s="5" t="s">
        <v>10103</v>
      </c>
    </row>
    <row r="240" spans="1:4" ht="10" customHeight="1" x14ac:dyDescent="0.2">
      <c r="A240" s="5">
        <v>2888</v>
      </c>
      <c r="B240" s="5" t="s">
        <v>6832</v>
      </c>
      <c r="C240" s="5" t="s">
        <v>6977</v>
      </c>
      <c r="D240" s="5" t="s">
        <v>10104</v>
      </c>
    </row>
    <row r="241" spans="1:4" ht="10" customHeight="1" x14ac:dyDescent="0.2">
      <c r="A241" s="5">
        <v>2891</v>
      </c>
      <c r="B241" s="5" t="s">
        <v>6832</v>
      </c>
      <c r="C241" s="5" t="s">
        <v>6982</v>
      </c>
      <c r="D241" s="5" t="s">
        <v>10105</v>
      </c>
    </row>
    <row r="242" spans="1:4" ht="10" customHeight="1" x14ac:dyDescent="0.2">
      <c r="A242" s="5">
        <v>2902</v>
      </c>
      <c r="B242" s="5" t="s">
        <v>6832</v>
      </c>
      <c r="C242" s="5" t="s">
        <v>7000</v>
      </c>
      <c r="D242" s="5" t="s">
        <v>10106</v>
      </c>
    </row>
    <row r="243" spans="1:4" ht="10" customHeight="1" x14ac:dyDescent="0.2">
      <c r="A243" s="5">
        <v>2913</v>
      </c>
      <c r="B243" s="5" t="s">
        <v>6832</v>
      </c>
      <c r="C243" s="5" t="s">
        <v>7021</v>
      </c>
      <c r="D243" s="5" t="s">
        <v>10107</v>
      </c>
    </row>
    <row r="244" spans="1:4" ht="10" customHeight="1" x14ac:dyDescent="0.2">
      <c r="A244" s="5">
        <v>2926</v>
      </c>
      <c r="B244" s="5" t="s">
        <v>6832</v>
      </c>
      <c r="C244" s="5" t="s">
        <v>7059</v>
      </c>
      <c r="D244" s="5" t="s">
        <v>10108</v>
      </c>
    </row>
    <row r="245" spans="1:4" ht="10" customHeight="1" x14ac:dyDescent="0.2">
      <c r="A245" s="5">
        <v>2931</v>
      </c>
      <c r="B245" s="5" t="s">
        <v>6832</v>
      </c>
      <c r="C245" s="5" t="s">
        <v>7069</v>
      </c>
      <c r="D245" s="5" t="s">
        <v>10109</v>
      </c>
    </row>
    <row r="246" spans="1:4" ht="10" customHeight="1" x14ac:dyDescent="0.2">
      <c r="A246" s="5">
        <v>2932</v>
      </c>
      <c r="B246" s="5" t="s">
        <v>6832</v>
      </c>
      <c r="C246" s="5" t="s">
        <v>7073</v>
      </c>
      <c r="D246" s="5" t="s">
        <v>10110</v>
      </c>
    </row>
    <row r="247" spans="1:4" ht="10" customHeight="1" x14ac:dyDescent="0.2">
      <c r="A247" s="5">
        <v>2940</v>
      </c>
      <c r="B247" s="5" t="s">
        <v>6832</v>
      </c>
      <c r="C247" s="5" t="s">
        <v>7091</v>
      </c>
      <c r="D247" s="5" t="s">
        <v>10111</v>
      </c>
    </row>
    <row r="248" spans="1:4" ht="10" customHeight="1" x14ac:dyDescent="0.2">
      <c r="A248" s="5">
        <v>2943</v>
      </c>
      <c r="B248" s="5" t="s">
        <v>6832</v>
      </c>
      <c r="C248" s="5" t="s">
        <v>7097</v>
      </c>
      <c r="D248" s="5" t="s">
        <v>10112</v>
      </c>
    </row>
    <row r="249" spans="1:4" ht="10" customHeight="1" x14ac:dyDescent="0.2">
      <c r="A249" s="5">
        <v>2948</v>
      </c>
      <c r="B249" s="5" t="s">
        <v>6832</v>
      </c>
      <c r="C249" s="5" t="s">
        <v>7107</v>
      </c>
      <c r="D249" s="5" t="s">
        <v>10113</v>
      </c>
    </row>
    <row r="250" spans="1:4" ht="10" customHeight="1" x14ac:dyDescent="0.2">
      <c r="A250" s="5">
        <v>2973</v>
      </c>
      <c r="B250" s="5" t="s">
        <v>6832</v>
      </c>
      <c r="C250" s="5" t="s">
        <v>7139</v>
      </c>
      <c r="D250" s="5" t="s">
        <v>10114</v>
      </c>
    </row>
    <row r="251" spans="1:4" ht="10" customHeight="1" x14ac:dyDescent="0.2">
      <c r="A251" s="5">
        <v>2976</v>
      </c>
      <c r="B251" s="5" t="s">
        <v>7148</v>
      </c>
      <c r="C251" s="5" t="s">
        <v>7150</v>
      </c>
      <c r="D251" s="5" t="s">
        <v>10115</v>
      </c>
    </row>
    <row r="252" spans="1:4" ht="10" customHeight="1" x14ac:dyDescent="0.2">
      <c r="A252" s="5">
        <v>2982</v>
      </c>
      <c r="B252" s="5" t="s">
        <v>7148</v>
      </c>
      <c r="C252" s="5" t="s">
        <v>7167</v>
      </c>
      <c r="D252" s="5" t="s">
        <v>10116</v>
      </c>
    </row>
    <row r="253" spans="1:4" ht="10" customHeight="1" x14ac:dyDescent="0.2">
      <c r="A253" s="5">
        <v>2986</v>
      </c>
      <c r="B253" s="5" t="s">
        <v>7148</v>
      </c>
      <c r="C253" s="5" t="s">
        <v>7176</v>
      </c>
      <c r="D253" s="5" t="s">
        <v>10117</v>
      </c>
    </row>
    <row r="254" spans="1:4" ht="10" customHeight="1" x14ac:dyDescent="0.2">
      <c r="A254" s="5">
        <v>2987</v>
      </c>
      <c r="B254" s="5" t="s">
        <v>7148</v>
      </c>
      <c r="C254" s="5" t="s">
        <v>7179</v>
      </c>
      <c r="D254" s="5" t="s">
        <v>10118</v>
      </c>
    </row>
    <row r="255" spans="1:4" ht="10" customHeight="1" x14ac:dyDescent="0.2">
      <c r="A255" s="5">
        <v>2988</v>
      </c>
      <c r="B255" s="5" t="s">
        <v>7148</v>
      </c>
      <c r="C255" s="5" t="s">
        <v>7183</v>
      </c>
      <c r="D255" s="5" t="s">
        <v>10119</v>
      </c>
    </row>
    <row r="256" spans="1:4" ht="10" customHeight="1" x14ac:dyDescent="0.2">
      <c r="A256" s="5">
        <v>2989</v>
      </c>
      <c r="B256" s="5" t="s">
        <v>7148</v>
      </c>
      <c r="C256" s="5" t="s">
        <v>7185</v>
      </c>
      <c r="D256" s="5" t="s">
        <v>10120</v>
      </c>
    </row>
    <row r="257" spans="1:4" ht="10" customHeight="1" x14ac:dyDescent="0.2">
      <c r="A257" s="5">
        <v>2991</v>
      </c>
      <c r="B257" s="5" t="s">
        <v>7148</v>
      </c>
      <c r="C257" s="5" t="s">
        <v>7190</v>
      </c>
      <c r="D257" s="5" t="s">
        <v>10121</v>
      </c>
    </row>
    <row r="258" spans="1:4" ht="10" customHeight="1" x14ac:dyDescent="0.2">
      <c r="A258" s="5">
        <v>2992</v>
      </c>
      <c r="B258" s="5" t="s">
        <v>7148</v>
      </c>
      <c r="C258" s="5" t="s">
        <v>7193</v>
      </c>
      <c r="D258" s="5" t="s">
        <v>10122</v>
      </c>
    </row>
    <row r="259" spans="1:4" ht="10" customHeight="1" x14ac:dyDescent="0.2">
      <c r="A259" s="5">
        <v>2993</v>
      </c>
      <c r="B259" s="5" t="s">
        <v>7148</v>
      </c>
      <c r="C259" s="5" t="s">
        <v>7195</v>
      </c>
      <c r="D259" s="5" t="s">
        <v>10123</v>
      </c>
    </row>
    <row r="260" spans="1:4" ht="10" customHeight="1" x14ac:dyDescent="0.2">
      <c r="A260" s="5">
        <v>2994</v>
      </c>
      <c r="B260" s="5" t="s">
        <v>7148</v>
      </c>
      <c r="C260" s="5" t="s">
        <v>7197</v>
      </c>
      <c r="D260" s="5" t="s">
        <v>10124</v>
      </c>
    </row>
    <row r="261" spans="1:4" ht="10" customHeight="1" x14ac:dyDescent="0.2">
      <c r="A261" s="5">
        <v>2995</v>
      </c>
      <c r="B261" s="5" t="s">
        <v>7148</v>
      </c>
      <c r="C261" s="5" t="s">
        <v>7199</v>
      </c>
      <c r="D261" s="5" t="s">
        <v>10125</v>
      </c>
    </row>
    <row r="262" spans="1:4" ht="10" customHeight="1" x14ac:dyDescent="0.2">
      <c r="A262" s="5">
        <v>2996</v>
      </c>
      <c r="B262" s="5" t="s">
        <v>7148</v>
      </c>
      <c r="C262" s="5" t="s">
        <v>7201</v>
      </c>
      <c r="D262" s="5" t="s">
        <v>10126</v>
      </c>
    </row>
    <row r="263" spans="1:4" ht="10" customHeight="1" x14ac:dyDescent="0.2">
      <c r="A263" s="5">
        <v>2997</v>
      </c>
      <c r="B263" s="5" t="s">
        <v>7148</v>
      </c>
      <c r="C263" s="5" t="s">
        <v>7203</v>
      </c>
      <c r="D263" s="5" t="s">
        <v>10127</v>
      </c>
    </row>
    <row r="264" spans="1:4" ht="10" customHeight="1" x14ac:dyDescent="0.2">
      <c r="A264" s="5">
        <v>2998</v>
      </c>
      <c r="B264" s="5" t="s">
        <v>7148</v>
      </c>
      <c r="C264" s="5" t="s">
        <v>7206</v>
      </c>
      <c r="D264" s="5" t="s">
        <v>10128</v>
      </c>
    </row>
    <row r="265" spans="1:4" ht="10" customHeight="1" x14ac:dyDescent="0.2">
      <c r="A265" s="5">
        <v>2999</v>
      </c>
      <c r="B265" s="5" t="s">
        <v>7148</v>
      </c>
      <c r="C265" s="5" t="s">
        <v>7208</v>
      </c>
      <c r="D265" s="5" t="s">
        <v>10129</v>
      </c>
    </row>
    <row r="266" spans="1:4" ht="10" customHeight="1" x14ac:dyDescent="0.2">
      <c r="A266" s="5">
        <v>3000</v>
      </c>
      <c r="B266" s="5" t="s">
        <v>7148</v>
      </c>
      <c r="C266" s="5" t="s">
        <v>7211</v>
      </c>
      <c r="D266" s="5" t="s">
        <v>10129</v>
      </c>
    </row>
    <row r="267" spans="1:4" ht="10" customHeight="1" x14ac:dyDescent="0.2">
      <c r="A267" s="5">
        <v>3001</v>
      </c>
      <c r="B267" s="5" t="s">
        <v>7148</v>
      </c>
      <c r="C267" s="5" t="s">
        <v>7214</v>
      </c>
      <c r="D267" s="5" t="s">
        <v>10130</v>
      </c>
    </row>
    <row r="268" spans="1:4" ht="10" customHeight="1" x14ac:dyDescent="0.2">
      <c r="A268" s="5">
        <v>3002</v>
      </c>
      <c r="B268" s="5" t="s">
        <v>7148</v>
      </c>
      <c r="C268" s="5" t="s">
        <v>7217</v>
      </c>
      <c r="D268" s="5" t="s">
        <v>10131</v>
      </c>
    </row>
    <row r="269" spans="1:4" ht="10" customHeight="1" x14ac:dyDescent="0.2">
      <c r="A269" s="5">
        <v>3003</v>
      </c>
      <c r="B269" s="5" t="s">
        <v>7148</v>
      </c>
      <c r="C269" s="5" t="s">
        <v>7220</v>
      </c>
      <c r="D269" s="5" t="s">
        <v>10132</v>
      </c>
    </row>
    <row r="270" spans="1:4" ht="10" customHeight="1" x14ac:dyDescent="0.2">
      <c r="A270" s="5">
        <v>3004</v>
      </c>
      <c r="B270" s="5" t="s">
        <v>7148</v>
      </c>
      <c r="C270" s="5" t="s">
        <v>7223</v>
      </c>
      <c r="D270" s="5" t="s">
        <v>10133</v>
      </c>
    </row>
    <row r="271" spans="1:4" ht="10" customHeight="1" x14ac:dyDescent="0.2">
      <c r="A271" s="5">
        <v>3005</v>
      </c>
      <c r="B271" s="5" t="s">
        <v>7148</v>
      </c>
      <c r="C271" s="5" t="s">
        <v>7226</v>
      </c>
      <c r="D271" s="5" t="s">
        <v>10134</v>
      </c>
    </row>
    <row r="272" spans="1:4" ht="10" customHeight="1" x14ac:dyDescent="0.2">
      <c r="A272" s="5">
        <v>3007</v>
      </c>
      <c r="B272" s="5" t="s">
        <v>7148</v>
      </c>
      <c r="C272" s="5" t="s">
        <v>7231</v>
      </c>
      <c r="D272" s="5" t="s">
        <v>10135</v>
      </c>
    </row>
    <row r="273" spans="1:4" ht="10" customHeight="1" x14ac:dyDescent="0.2">
      <c r="A273" s="5">
        <v>3011</v>
      </c>
      <c r="B273" s="5" t="s">
        <v>7148</v>
      </c>
      <c r="C273" s="5" t="s">
        <v>7243</v>
      </c>
      <c r="D273" s="5" t="s">
        <v>10136</v>
      </c>
    </row>
    <row r="274" spans="1:4" ht="10" customHeight="1" x14ac:dyDescent="0.2">
      <c r="A274" s="5">
        <v>3012</v>
      </c>
      <c r="B274" s="5" t="s">
        <v>7148</v>
      </c>
      <c r="C274" s="5" t="s">
        <v>7246</v>
      </c>
      <c r="D274" s="5" t="s">
        <v>10137</v>
      </c>
    </row>
    <row r="275" spans="1:4" ht="10" customHeight="1" x14ac:dyDescent="0.2">
      <c r="A275" s="5">
        <v>3013</v>
      </c>
      <c r="B275" s="5" t="s">
        <v>7148</v>
      </c>
      <c r="C275" s="5" t="s">
        <v>7249</v>
      </c>
      <c r="D275" s="5" t="s">
        <v>10138</v>
      </c>
    </row>
    <row r="276" spans="1:4" ht="10" customHeight="1" x14ac:dyDescent="0.2">
      <c r="A276" s="5">
        <v>3014</v>
      </c>
      <c r="B276" s="5" t="s">
        <v>7148</v>
      </c>
      <c r="C276" s="5" t="s">
        <v>7252</v>
      </c>
      <c r="D276" s="5" t="s">
        <v>10139</v>
      </c>
    </row>
    <row r="277" spans="1:4" ht="10" customHeight="1" x14ac:dyDescent="0.2">
      <c r="A277" s="5">
        <v>3016</v>
      </c>
      <c r="B277" s="5" t="s">
        <v>7148</v>
      </c>
      <c r="C277" s="5" t="s">
        <v>7258</v>
      </c>
      <c r="D277" s="5" t="s">
        <v>10140</v>
      </c>
    </row>
    <row r="278" spans="1:4" ht="10" customHeight="1" x14ac:dyDescent="0.2">
      <c r="A278" s="5">
        <v>3017</v>
      </c>
      <c r="B278" s="5" t="s">
        <v>7148</v>
      </c>
      <c r="C278" s="5" t="s">
        <v>7260</v>
      </c>
      <c r="D278" s="5" t="s">
        <v>10141</v>
      </c>
    </row>
    <row r="279" spans="1:4" ht="10" customHeight="1" x14ac:dyDescent="0.2">
      <c r="A279" s="5">
        <v>3018</v>
      </c>
      <c r="B279" s="5" t="s">
        <v>7148</v>
      </c>
      <c r="C279" s="5" t="s">
        <v>7262</v>
      </c>
      <c r="D279" s="5" t="s">
        <v>10142</v>
      </c>
    </row>
    <row r="280" spans="1:4" ht="10" customHeight="1" x14ac:dyDescent="0.2">
      <c r="A280" s="5">
        <v>3019</v>
      </c>
      <c r="B280" s="5" t="s">
        <v>7148</v>
      </c>
      <c r="C280" s="5" t="s">
        <v>7264</v>
      </c>
      <c r="D280" s="5" t="s">
        <v>10143</v>
      </c>
    </row>
    <row r="281" spans="1:4" ht="10" customHeight="1" x14ac:dyDescent="0.2">
      <c r="A281" s="5">
        <v>3021</v>
      </c>
      <c r="B281" s="5" t="s">
        <v>7148</v>
      </c>
      <c r="C281" s="5" t="s">
        <v>7269</v>
      </c>
      <c r="D281" s="5" t="s">
        <v>10144</v>
      </c>
    </row>
    <row r="282" spans="1:4" ht="10" customHeight="1" x14ac:dyDescent="0.2">
      <c r="A282" s="5">
        <v>3022</v>
      </c>
      <c r="B282" s="5" t="s">
        <v>7148</v>
      </c>
      <c r="C282" s="5" t="s">
        <v>7271</v>
      </c>
      <c r="D282" s="5" t="s">
        <v>10145</v>
      </c>
    </row>
    <row r="283" spans="1:4" ht="10" customHeight="1" x14ac:dyDescent="0.2">
      <c r="A283" s="5">
        <v>3024</v>
      </c>
      <c r="B283" s="5" t="s">
        <v>7148</v>
      </c>
      <c r="C283" s="5" t="s">
        <v>7275</v>
      </c>
      <c r="D283" s="5" t="s">
        <v>10146</v>
      </c>
    </row>
    <row r="284" spans="1:4" ht="10" customHeight="1" x14ac:dyDescent="0.2">
      <c r="A284" s="5">
        <v>3025</v>
      </c>
      <c r="B284" s="5" t="s">
        <v>7148</v>
      </c>
      <c r="C284" s="5" t="s">
        <v>7277</v>
      </c>
      <c r="D284" s="5" t="s">
        <v>10146</v>
      </c>
    </row>
    <row r="285" spans="1:4" ht="10" customHeight="1" x14ac:dyDescent="0.2">
      <c r="A285" s="5">
        <v>3026</v>
      </c>
      <c r="B285" s="5" t="s">
        <v>7148</v>
      </c>
      <c r="C285" s="5" t="s">
        <v>7279</v>
      </c>
      <c r="D285" s="5" t="s">
        <v>10147</v>
      </c>
    </row>
    <row r="286" spans="1:4" ht="10" customHeight="1" x14ac:dyDescent="0.2">
      <c r="A286" s="5">
        <v>3027</v>
      </c>
      <c r="B286" s="5" t="s">
        <v>7148</v>
      </c>
      <c r="C286" s="5" t="s">
        <v>7281</v>
      </c>
      <c r="D286" s="5" t="s">
        <v>10148</v>
      </c>
    </row>
    <row r="287" spans="1:4" ht="10" customHeight="1" x14ac:dyDescent="0.2">
      <c r="A287" s="5">
        <v>3028</v>
      </c>
      <c r="B287" s="5" t="s">
        <v>7148</v>
      </c>
      <c r="C287" s="5" t="s">
        <v>7283</v>
      </c>
      <c r="D287" s="5" t="s">
        <v>10149</v>
      </c>
    </row>
    <row r="288" spans="1:4" ht="10" customHeight="1" x14ac:dyDescent="0.2">
      <c r="A288" s="5">
        <v>3033</v>
      </c>
      <c r="B288" s="5" t="s">
        <v>7148</v>
      </c>
      <c r="C288" s="5" t="s">
        <v>7298</v>
      </c>
      <c r="D288" s="5" t="s">
        <v>10150</v>
      </c>
    </row>
    <row r="289" spans="1:4" ht="10" customHeight="1" x14ac:dyDescent="0.2">
      <c r="A289" s="5">
        <v>3038</v>
      </c>
      <c r="B289" s="5" t="s">
        <v>7148</v>
      </c>
      <c r="C289" s="5" t="s">
        <v>7314</v>
      </c>
      <c r="D289" s="5" t="s">
        <v>10151</v>
      </c>
    </row>
    <row r="290" spans="1:4" ht="10" customHeight="1" x14ac:dyDescent="0.2">
      <c r="A290" s="5">
        <v>3042</v>
      </c>
      <c r="B290" s="5" t="s">
        <v>7148</v>
      </c>
      <c r="C290" s="5" t="s">
        <v>7330</v>
      </c>
      <c r="D290" s="5" t="s">
        <v>10152</v>
      </c>
    </row>
    <row r="291" spans="1:4" ht="10" customHeight="1" x14ac:dyDescent="0.2">
      <c r="A291" s="5">
        <v>3043</v>
      </c>
      <c r="B291" s="5" t="s">
        <v>7148</v>
      </c>
      <c r="C291" s="5" t="s">
        <v>7333</v>
      </c>
      <c r="D291" s="5" t="s">
        <v>10153</v>
      </c>
    </row>
    <row r="292" spans="1:4" ht="10" customHeight="1" x14ac:dyDescent="0.2">
      <c r="A292" s="5">
        <v>3044</v>
      </c>
      <c r="B292" s="5" t="s">
        <v>7148</v>
      </c>
      <c r="C292" s="5" t="s">
        <v>7336</v>
      </c>
      <c r="D292" s="5" t="s">
        <v>10154</v>
      </c>
    </row>
    <row r="293" spans="1:4" ht="10" customHeight="1" x14ac:dyDescent="0.2">
      <c r="A293" s="5">
        <v>3045</v>
      </c>
      <c r="B293" s="5" t="s">
        <v>7148</v>
      </c>
      <c r="C293" s="5" t="s">
        <v>7338</v>
      </c>
      <c r="D293" s="5" t="s">
        <v>10155</v>
      </c>
    </row>
    <row r="294" spans="1:4" ht="10" customHeight="1" x14ac:dyDescent="0.2">
      <c r="A294" s="5">
        <v>3046</v>
      </c>
      <c r="B294" s="5" t="s">
        <v>7148</v>
      </c>
      <c r="C294" s="5" t="s">
        <v>7340</v>
      </c>
      <c r="D294" s="5" t="s">
        <v>10156</v>
      </c>
    </row>
    <row r="295" spans="1:4" ht="10" customHeight="1" x14ac:dyDescent="0.2">
      <c r="A295" s="5">
        <v>3047</v>
      </c>
      <c r="B295" s="5" t="s">
        <v>7148</v>
      </c>
      <c r="C295" s="5" t="s">
        <v>7342</v>
      </c>
      <c r="D295" s="5" t="s">
        <v>10157</v>
      </c>
    </row>
    <row r="296" spans="1:4" ht="10" customHeight="1" x14ac:dyDescent="0.2">
      <c r="A296" s="5">
        <v>3048</v>
      </c>
      <c r="B296" s="5" t="s">
        <v>7148</v>
      </c>
      <c r="C296" s="5" t="s">
        <v>7344</v>
      </c>
      <c r="D296" s="5" t="s">
        <v>10158</v>
      </c>
    </row>
    <row r="297" spans="1:4" ht="10" customHeight="1" x14ac:dyDescent="0.2">
      <c r="A297" s="5">
        <v>3049</v>
      </c>
      <c r="B297" s="5" t="s">
        <v>7148</v>
      </c>
      <c r="C297" s="5" t="s">
        <v>7346</v>
      </c>
      <c r="D297" s="5" t="s">
        <v>10159</v>
      </c>
    </row>
    <row r="298" spans="1:4" ht="10" customHeight="1" x14ac:dyDescent="0.2">
      <c r="A298" s="5">
        <v>3050</v>
      </c>
      <c r="B298" s="5" t="s">
        <v>7148</v>
      </c>
      <c r="C298" s="5" t="s">
        <v>7348</v>
      </c>
      <c r="D298" s="5" t="s">
        <v>10160</v>
      </c>
    </row>
    <row r="299" spans="1:4" ht="10" customHeight="1" x14ac:dyDescent="0.2">
      <c r="A299" s="5">
        <v>3051</v>
      </c>
      <c r="B299" s="5" t="s">
        <v>7148</v>
      </c>
      <c r="C299" s="5" t="s">
        <v>7350</v>
      </c>
      <c r="D299" s="5" t="s">
        <v>10161</v>
      </c>
    </row>
    <row r="300" spans="1:4" ht="10" customHeight="1" x14ac:dyDescent="0.2">
      <c r="A300" s="5">
        <v>3052</v>
      </c>
      <c r="B300" s="5" t="s">
        <v>7148</v>
      </c>
      <c r="C300" s="5" t="s">
        <v>7353</v>
      </c>
      <c r="D300" s="5" t="s">
        <v>10162</v>
      </c>
    </row>
    <row r="301" spans="1:4" ht="10" customHeight="1" x14ac:dyDescent="0.2">
      <c r="A301" s="5">
        <v>3054</v>
      </c>
      <c r="B301" s="5" t="s">
        <v>7148</v>
      </c>
      <c r="C301" s="5" t="s">
        <v>7360</v>
      </c>
      <c r="D301" s="5" t="s">
        <v>10163</v>
      </c>
    </row>
    <row r="302" spans="1:4" ht="10" customHeight="1" x14ac:dyDescent="0.2">
      <c r="A302" s="5">
        <v>3065</v>
      </c>
      <c r="B302" s="5" t="s">
        <v>7148</v>
      </c>
      <c r="C302" s="5" t="s">
        <v>7387</v>
      </c>
      <c r="D302" s="5" t="s">
        <v>10164</v>
      </c>
    </row>
    <row r="303" spans="1:4" ht="10" customHeight="1" x14ac:dyDescent="0.2">
      <c r="A303" s="5">
        <v>3097</v>
      </c>
      <c r="B303" s="5" t="s">
        <v>7148</v>
      </c>
      <c r="C303" s="5" t="s">
        <v>7460</v>
      </c>
      <c r="D303" s="5" t="s">
        <v>10165</v>
      </c>
    </row>
    <row r="304" spans="1:4" ht="10" customHeight="1" x14ac:dyDescent="0.2">
      <c r="A304" s="5">
        <v>3103</v>
      </c>
      <c r="B304" s="5" t="s">
        <v>7148</v>
      </c>
      <c r="C304" s="5" t="s">
        <v>7479</v>
      </c>
      <c r="D304" s="5" t="s">
        <v>10166</v>
      </c>
    </row>
    <row r="305" spans="1:4" ht="10" customHeight="1" x14ac:dyDescent="0.2">
      <c r="A305" s="5">
        <v>3104</v>
      </c>
      <c r="B305" s="5" t="s">
        <v>7148</v>
      </c>
      <c r="C305" s="5" t="s">
        <v>7482</v>
      </c>
      <c r="D305" s="5" t="s">
        <v>10166</v>
      </c>
    </row>
    <row r="306" spans="1:4" ht="10" customHeight="1" x14ac:dyDescent="0.2">
      <c r="A306" s="5">
        <v>3106</v>
      </c>
      <c r="B306" s="5" t="s">
        <v>7148</v>
      </c>
      <c r="C306" s="5" t="s">
        <v>7487</v>
      </c>
      <c r="D306" s="5" t="s">
        <v>10167</v>
      </c>
    </row>
    <row r="307" spans="1:4" ht="10" customHeight="1" x14ac:dyDescent="0.2">
      <c r="A307" s="5">
        <v>3109</v>
      </c>
      <c r="B307" s="5" t="s">
        <v>7148</v>
      </c>
      <c r="C307" s="5" t="s">
        <v>7493</v>
      </c>
      <c r="D307" s="5" t="s">
        <v>10168</v>
      </c>
    </row>
    <row r="308" spans="1:4" ht="10" customHeight="1" x14ac:dyDescent="0.2">
      <c r="A308" s="5">
        <v>3110</v>
      </c>
      <c r="B308" s="5" t="s">
        <v>7148</v>
      </c>
      <c r="C308" s="5" t="s">
        <v>7496</v>
      </c>
      <c r="D308" s="5" t="s">
        <v>10169</v>
      </c>
    </row>
    <row r="309" spans="1:4" ht="10" customHeight="1" x14ac:dyDescent="0.2">
      <c r="A309" s="5">
        <v>3124</v>
      </c>
      <c r="B309" s="5" t="s">
        <v>7148</v>
      </c>
      <c r="C309" s="5" t="s">
        <v>7542</v>
      </c>
      <c r="D309" s="5" t="s">
        <v>10170</v>
      </c>
    </row>
    <row r="310" spans="1:4" ht="10" customHeight="1" x14ac:dyDescent="0.2">
      <c r="A310" s="5">
        <v>3125</v>
      </c>
      <c r="B310" s="5" t="s">
        <v>7148</v>
      </c>
      <c r="C310" s="5" t="s">
        <v>7546</v>
      </c>
      <c r="D310" s="5" t="s">
        <v>10171</v>
      </c>
    </row>
    <row r="311" spans="1:4" ht="10" customHeight="1" x14ac:dyDescent="0.2">
      <c r="A311" s="5">
        <v>3126</v>
      </c>
      <c r="B311" s="5" t="s">
        <v>7148</v>
      </c>
      <c r="C311" s="5" t="s">
        <v>7550</v>
      </c>
      <c r="D311" s="5" t="s">
        <v>10172</v>
      </c>
    </row>
    <row r="312" spans="1:4" ht="10" customHeight="1" x14ac:dyDescent="0.2">
      <c r="A312" s="5">
        <v>3128</v>
      </c>
      <c r="B312" s="5" t="s">
        <v>7148</v>
      </c>
      <c r="C312" s="5" t="s">
        <v>7557</v>
      </c>
      <c r="D312" s="5" t="s">
        <v>10173</v>
      </c>
    </row>
    <row r="313" spans="1:4" ht="10" customHeight="1" x14ac:dyDescent="0.2">
      <c r="A313" s="5">
        <v>3129</v>
      </c>
      <c r="B313" s="5" t="s">
        <v>7148</v>
      </c>
      <c r="C313" s="5" t="s">
        <v>7560</v>
      </c>
      <c r="D313" s="5" t="s">
        <v>10174</v>
      </c>
    </row>
    <row r="314" spans="1:4" ht="10" customHeight="1" x14ac:dyDescent="0.2">
      <c r="A314" s="5">
        <v>3130</v>
      </c>
      <c r="B314" s="5" t="s">
        <v>7148</v>
      </c>
      <c r="C314" s="5" t="s">
        <v>7562</v>
      </c>
      <c r="D314" s="5" t="s">
        <v>10175</v>
      </c>
    </row>
    <row r="315" spans="1:4" ht="10" customHeight="1" x14ac:dyDescent="0.2">
      <c r="A315" s="5">
        <v>3131</v>
      </c>
      <c r="B315" s="5" t="s">
        <v>7148</v>
      </c>
      <c r="C315" s="5" t="s">
        <v>7565</v>
      </c>
      <c r="D315" s="5" t="s">
        <v>10176</v>
      </c>
    </row>
    <row r="316" spans="1:4" ht="10" customHeight="1" x14ac:dyDescent="0.2">
      <c r="A316" s="5">
        <v>3132</v>
      </c>
      <c r="B316" s="5" t="s">
        <v>7148</v>
      </c>
      <c r="C316" s="5" t="s">
        <v>7569</v>
      </c>
      <c r="D316" s="5" t="s">
        <v>10177</v>
      </c>
    </row>
    <row r="317" spans="1:4" ht="10" customHeight="1" x14ac:dyDescent="0.2">
      <c r="A317" s="5">
        <v>3133</v>
      </c>
      <c r="B317" s="5" t="s">
        <v>7148</v>
      </c>
      <c r="C317" s="5" t="s">
        <v>7572</v>
      </c>
      <c r="D317" s="5" t="s">
        <v>10178</v>
      </c>
    </row>
    <row r="318" spans="1:4" ht="10" customHeight="1" x14ac:dyDescent="0.2">
      <c r="A318" s="5">
        <v>3134</v>
      </c>
      <c r="B318" s="5" t="s">
        <v>7148</v>
      </c>
      <c r="C318" s="5" t="s">
        <v>7574</v>
      </c>
      <c r="D318" s="5" t="s">
        <v>10179</v>
      </c>
    </row>
    <row r="319" spans="1:4" ht="10" customHeight="1" x14ac:dyDescent="0.2">
      <c r="A319" s="5">
        <v>3135</v>
      </c>
      <c r="B319" s="5" t="s">
        <v>7148</v>
      </c>
      <c r="C319" s="5" t="s">
        <v>7576</v>
      </c>
      <c r="D319" s="5" t="s">
        <v>10180</v>
      </c>
    </row>
    <row r="320" spans="1:4" ht="10" customHeight="1" x14ac:dyDescent="0.2">
      <c r="A320" s="5">
        <v>3136</v>
      </c>
      <c r="B320" s="5" t="s">
        <v>7148</v>
      </c>
      <c r="C320" s="5" t="s">
        <v>6366</v>
      </c>
      <c r="D320" s="5" t="s">
        <v>10181</v>
      </c>
    </row>
    <row r="321" spans="1:4" ht="10" customHeight="1" x14ac:dyDescent="0.2">
      <c r="A321" s="5">
        <v>3137</v>
      </c>
      <c r="B321" s="5" t="s">
        <v>7148</v>
      </c>
      <c r="C321" s="5" t="s">
        <v>7581</v>
      </c>
      <c r="D321" s="5" t="s">
        <v>10182</v>
      </c>
    </row>
    <row r="322" spans="1:4" ht="10" customHeight="1" x14ac:dyDescent="0.2">
      <c r="A322" s="5">
        <v>3138</v>
      </c>
      <c r="B322" s="5" t="s">
        <v>7148</v>
      </c>
      <c r="C322" s="5" t="s">
        <v>7585</v>
      </c>
      <c r="D322" s="5" t="s">
        <v>10183</v>
      </c>
    </row>
    <row r="323" spans="1:4" ht="10" customHeight="1" x14ac:dyDescent="0.2">
      <c r="A323" s="5">
        <v>3139</v>
      </c>
      <c r="B323" s="5" t="s">
        <v>7148</v>
      </c>
      <c r="C323" s="5" t="s">
        <v>7588</v>
      </c>
      <c r="D323" s="5" t="s">
        <v>10184</v>
      </c>
    </row>
    <row r="324" spans="1:4" ht="10" customHeight="1" x14ac:dyDescent="0.2">
      <c r="A324" s="5">
        <v>3143</v>
      </c>
      <c r="B324" s="5" t="s">
        <v>7148</v>
      </c>
      <c r="C324" s="5" t="s">
        <v>7602</v>
      </c>
      <c r="D324" s="5" t="s">
        <v>10185</v>
      </c>
    </row>
    <row r="325" spans="1:4" ht="10" customHeight="1" x14ac:dyDescent="0.2">
      <c r="A325" s="5">
        <v>3149</v>
      </c>
      <c r="B325" s="5" t="s">
        <v>7148</v>
      </c>
      <c r="C325" s="5" t="s">
        <v>7622</v>
      </c>
      <c r="D325" s="5" t="s">
        <v>10186</v>
      </c>
    </row>
    <row r="326" spans="1:4" ht="10" customHeight="1" x14ac:dyDescent="0.2">
      <c r="A326" s="5">
        <v>3153</v>
      </c>
      <c r="B326" s="5" t="s">
        <v>7148</v>
      </c>
      <c r="C326" s="5" t="s">
        <v>7632</v>
      </c>
      <c r="D326" s="5" t="s">
        <v>10187</v>
      </c>
    </row>
    <row r="327" spans="1:4" ht="10" customHeight="1" x14ac:dyDescent="0.2">
      <c r="A327" s="5">
        <v>3155</v>
      </c>
      <c r="B327" s="5" t="s">
        <v>7148</v>
      </c>
      <c r="C327" s="5" t="s">
        <v>7639</v>
      </c>
      <c r="D327" s="5" t="s">
        <v>10188</v>
      </c>
    </row>
    <row r="328" spans="1:4" ht="10" customHeight="1" x14ac:dyDescent="0.2">
      <c r="A328" s="5">
        <v>3156</v>
      </c>
      <c r="B328" s="5" t="s">
        <v>7148</v>
      </c>
      <c r="C328" s="5" t="s">
        <v>7644</v>
      </c>
      <c r="D328" s="5" t="s">
        <v>10188</v>
      </c>
    </row>
    <row r="329" spans="1:4" ht="10" customHeight="1" x14ac:dyDescent="0.2">
      <c r="A329" s="5">
        <v>3157</v>
      </c>
      <c r="B329" s="5" t="s">
        <v>7148</v>
      </c>
      <c r="C329" s="5" t="s">
        <v>7647</v>
      </c>
      <c r="D329" s="5" t="s">
        <v>10189</v>
      </c>
    </row>
    <row r="330" spans="1:4" ht="10" customHeight="1" x14ac:dyDescent="0.2">
      <c r="A330" s="5">
        <v>3158</v>
      </c>
      <c r="B330" s="5" t="s">
        <v>7148</v>
      </c>
      <c r="C330" s="5" t="s">
        <v>7649</v>
      </c>
      <c r="D330" s="5" t="s">
        <v>10190</v>
      </c>
    </row>
    <row r="331" spans="1:4" ht="10" customHeight="1" x14ac:dyDescent="0.2">
      <c r="A331" s="5">
        <v>3159</v>
      </c>
      <c r="B331" s="5" t="s">
        <v>7148</v>
      </c>
      <c r="C331" s="5" t="s">
        <v>7652</v>
      </c>
      <c r="D331" s="5" t="s">
        <v>10191</v>
      </c>
    </row>
    <row r="332" spans="1:4" ht="10" customHeight="1" x14ac:dyDescent="0.2">
      <c r="A332" s="5">
        <v>3160</v>
      </c>
      <c r="B332" s="5" t="s">
        <v>7148</v>
      </c>
      <c r="C332" s="5" t="s">
        <v>7656</v>
      </c>
      <c r="D332" s="5" t="s">
        <v>10192</v>
      </c>
    </row>
    <row r="333" spans="1:4" ht="10" customHeight="1" x14ac:dyDescent="0.2">
      <c r="A333" s="5">
        <v>3166</v>
      </c>
      <c r="B333" s="5" t="s">
        <v>7148</v>
      </c>
      <c r="C333" s="5" t="s">
        <v>7672</v>
      </c>
      <c r="D333" s="5" t="s">
        <v>10193</v>
      </c>
    </row>
    <row r="334" spans="1:4" ht="10" customHeight="1" x14ac:dyDescent="0.2">
      <c r="A334" s="5">
        <v>3169</v>
      </c>
      <c r="B334" s="5" t="s">
        <v>7148</v>
      </c>
      <c r="C334" s="5" t="s">
        <v>7680</v>
      </c>
      <c r="D334" s="5" t="s">
        <v>10194</v>
      </c>
    </row>
    <row r="335" spans="1:4" ht="10" customHeight="1" x14ac:dyDescent="0.2">
      <c r="A335" s="5">
        <v>3170</v>
      </c>
      <c r="B335" s="5" t="s">
        <v>7148</v>
      </c>
      <c r="C335" s="5" t="s">
        <v>7683</v>
      </c>
      <c r="D335" s="5" t="s">
        <v>10195</v>
      </c>
    </row>
    <row r="336" spans="1:4" ht="10" customHeight="1" x14ac:dyDescent="0.2">
      <c r="A336" s="5">
        <v>3171</v>
      </c>
      <c r="B336" s="5" t="s">
        <v>7148</v>
      </c>
      <c r="C336" s="5" t="s">
        <v>7686</v>
      </c>
      <c r="D336" s="5" t="s">
        <v>10196</v>
      </c>
    </row>
    <row r="337" spans="1:4" ht="10" customHeight="1" x14ac:dyDescent="0.2">
      <c r="A337" s="5">
        <v>3172</v>
      </c>
      <c r="B337" s="5" t="s">
        <v>7148</v>
      </c>
      <c r="C337" s="5" t="s">
        <v>7689</v>
      </c>
      <c r="D337" s="5" t="s">
        <v>10197</v>
      </c>
    </row>
    <row r="338" spans="1:4" ht="10" customHeight="1" x14ac:dyDescent="0.2">
      <c r="A338" s="5">
        <v>3173</v>
      </c>
      <c r="B338" s="5" t="s">
        <v>7148</v>
      </c>
      <c r="C338" s="5" t="s">
        <v>7692</v>
      </c>
      <c r="D338" s="5" t="s">
        <v>10198</v>
      </c>
    </row>
    <row r="339" spans="1:4" ht="10" customHeight="1" x14ac:dyDescent="0.2">
      <c r="A339" s="5">
        <v>3174</v>
      </c>
      <c r="B339" s="5" t="s">
        <v>7148</v>
      </c>
      <c r="C339" s="5" t="s">
        <v>7694</v>
      </c>
      <c r="D339" s="5" t="s">
        <v>10199</v>
      </c>
    </row>
    <row r="340" spans="1:4" ht="10" customHeight="1" x14ac:dyDescent="0.2">
      <c r="A340" s="5">
        <v>3175</v>
      </c>
      <c r="B340" s="5" t="s">
        <v>7148</v>
      </c>
      <c r="C340" s="5" t="s">
        <v>7696</v>
      </c>
      <c r="D340" s="5" t="s">
        <v>10200</v>
      </c>
    </row>
    <row r="341" spans="1:4" ht="10" customHeight="1" x14ac:dyDescent="0.2">
      <c r="A341" s="5">
        <v>3178</v>
      </c>
      <c r="B341" s="5" t="s">
        <v>7148</v>
      </c>
      <c r="C341" s="5" t="s">
        <v>7708</v>
      </c>
      <c r="D341" s="5" t="s">
        <v>10201</v>
      </c>
    </row>
    <row r="342" spans="1:4" ht="10" customHeight="1" x14ac:dyDescent="0.2">
      <c r="A342" s="5">
        <v>3202</v>
      </c>
      <c r="B342" s="5" t="s">
        <v>7148</v>
      </c>
      <c r="C342" s="5" t="s">
        <v>7767</v>
      </c>
      <c r="D342" s="5" t="s">
        <v>10202</v>
      </c>
    </row>
    <row r="343" spans="1:4" ht="10" customHeight="1" x14ac:dyDescent="0.2">
      <c r="A343" s="5">
        <v>3205</v>
      </c>
      <c r="B343" s="5" t="s">
        <v>7148</v>
      </c>
      <c r="C343" s="5" t="s">
        <v>7776</v>
      </c>
      <c r="D343" s="5" t="s">
        <v>10203</v>
      </c>
    </row>
    <row r="344" spans="1:4" ht="10" customHeight="1" x14ac:dyDescent="0.2">
      <c r="A344" s="5">
        <v>3213</v>
      </c>
      <c r="B344" s="5" t="s">
        <v>7785</v>
      </c>
      <c r="C344" s="5" t="s">
        <v>7794</v>
      </c>
      <c r="D344" s="5" t="s">
        <v>10204</v>
      </c>
    </row>
    <row r="345" spans="1:4" ht="10" customHeight="1" x14ac:dyDescent="0.2">
      <c r="A345" s="5">
        <v>3215</v>
      </c>
      <c r="B345" s="5" t="s">
        <v>7785</v>
      </c>
      <c r="C345" s="5" t="s">
        <v>7800</v>
      </c>
      <c r="D345" s="5" t="s">
        <v>10205</v>
      </c>
    </row>
    <row r="346" spans="1:4" ht="10" customHeight="1" x14ac:dyDescent="0.2">
      <c r="A346" s="5">
        <v>3217</v>
      </c>
      <c r="B346" s="5" t="s">
        <v>7785</v>
      </c>
      <c r="C346" s="5" t="s">
        <v>7807</v>
      </c>
      <c r="D346" s="5" t="s">
        <v>10206</v>
      </c>
    </row>
    <row r="347" spans="1:4" ht="10" customHeight="1" x14ac:dyDescent="0.2">
      <c r="A347" s="5">
        <v>3219</v>
      </c>
      <c r="B347" s="5" t="s">
        <v>7785</v>
      </c>
      <c r="C347" s="5" t="s">
        <v>7813</v>
      </c>
      <c r="D347" s="5" t="s">
        <v>10207</v>
      </c>
    </row>
    <row r="348" spans="1:4" ht="10" customHeight="1" x14ac:dyDescent="0.2">
      <c r="A348" s="5">
        <v>3221</v>
      </c>
      <c r="B348" s="5" t="s">
        <v>7785</v>
      </c>
      <c r="C348" s="5" t="s">
        <v>5448</v>
      </c>
      <c r="D348" s="5" t="s">
        <v>10208</v>
      </c>
    </row>
    <row r="349" spans="1:4" ht="10" customHeight="1" x14ac:dyDescent="0.2">
      <c r="A349" s="5">
        <v>3222</v>
      </c>
      <c r="B349" s="5" t="s">
        <v>7785</v>
      </c>
      <c r="C349" s="5" t="s">
        <v>7820</v>
      </c>
      <c r="D349" s="5" t="s">
        <v>10209</v>
      </c>
    </row>
    <row r="350" spans="1:4" ht="10" customHeight="1" x14ac:dyDescent="0.2">
      <c r="A350" s="5">
        <v>3256</v>
      </c>
      <c r="B350" s="5" t="s">
        <v>7930</v>
      </c>
      <c r="C350" s="5" t="s">
        <v>7932</v>
      </c>
      <c r="D350" s="5" t="s">
        <v>10210</v>
      </c>
    </row>
    <row r="351" spans="1:4" ht="10" customHeight="1" x14ac:dyDescent="0.2">
      <c r="A351" s="5">
        <v>3257</v>
      </c>
      <c r="B351" s="5" t="s">
        <v>7930</v>
      </c>
      <c r="C351" s="5" t="s">
        <v>7934</v>
      </c>
      <c r="D351" s="5" t="s">
        <v>10211</v>
      </c>
    </row>
    <row r="352" spans="1:4" ht="10" customHeight="1" x14ac:dyDescent="0.2">
      <c r="A352" s="5">
        <v>3258</v>
      </c>
      <c r="B352" s="5" t="s">
        <v>7930</v>
      </c>
      <c r="C352" s="5" t="s">
        <v>7938</v>
      </c>
      <c r="D352" s="5" t="s">
        <v>10212</v>
      </c>
    </row>
    <row r="353" spans="1:4" ht="10" customHeight="1" x14ac:dyDescent="0.2">
      <c r="A353" s="5">
        <v>3259</v>
      </c>
      <c r="B353" s="5" t="s">
        <v>7930</v>
      </c>
      <c r="C353" s="5" t="s">
        <v>7941</v>
      </c>
      <c r="D353" s="5" t="s">
        <v>10213</v>
      </c>
    </row>
    <row r="354" spans="1:4" ht="10" customHeight="1" x14ac:dyDescent="0.2">
      <c r="A354" s="5">
        <v>3260</v>
      </c>
      <c r="B354" s="5" t="s">
        <v>7930</v>
      </c>
      <c r="C354" s="5" t="s">
        <v>7944</v>
      </c>
      <c r="D354" s="5" t="s">
        <v>10214</v>
      </c>
    </row>
    <row r="355" spans="1:4" ht="10" customHeight="1" x14ac:dyDescent="0.2">
      <c r="A355" s="5">
        <v>3261</v>
      </c>
      <c r="B355" s="5" t="s">
        <v>7930</v>
      </c>
      <c r="C355" s="5" t="s">
        <v>7947</v>
      </c>
      <c r="D355" s="5" t="s">
        <v>10215</v>
      </c>
    </row>
    <row r="356" spans="1:4" ht="10" customHeight="1" x14ac:dyDescent="0.2">
      <c r="A356" s="5">
        <v>3262</v>
      </c>
      <c r="B356" s="5" t="s">
        <v>7930</v>
      </c>
      <c r="C356" s="5" t="s">
        <v>7950</v>
      </c>
      <c r="D356" s="5" t="s">
        <v>10216</v>
      </c>
    </row>
    <row r="357" spans="1:4" ht="10" customHeight="1" x14ac:dyDescent="0.2">
      <c r="A357" s="5">
        <v>3263</v>
      </c>
      <c r="B357" s="5" t="s">
        <v>7930</v>
      </c>
      <c r="C357" s="5" t="s">
        <v>7953</v>
      </c>
      <c r="D357" s="5" t="s">
        <v>10217</v>
      </c>
    </row>
    <row r="358" spans="1:4" ht="10" customHeight="1" x14ac:dyDescent="0.2">
      <c r="A358" s="5">
        <v>3264</v>
      </c>
      <c r="B358" s="5" t="s">
        <v>7930</v>
      </c>
      <c r="C358" s="5" t="s">
        <v>7956</v>
      </c>
      <c r="D358" s="5" t="s">
        <v>10218</v>
      </c>
    </row>
    <row r="359" spans="1:4" ht="10" customHeight="1" x14ac:dyDescent="0.2">
      <c r="A359" s="5">
        <v>3265</v>
      </c>
      <c r="B359" s="5" t="s">
        <v>7930</v>
      </c>
      <c r="C359" s="5" t="s">
        <v>7959</v>
      </c>
      <c r="D359" s="5" t="s">
        <v>10219</v>
      </c>
    </row>
    <row r="360" spans="1:4" ht="10" customHeight="1" x14ac:dyDescent="0.2">
      <c r="A360" s="5">
        <v>3266</v>
      </c>
      <c r="B360" s="5" t="s">
        <v>7930</v>
      </c>
      <c r="C360" s="5" t="s">
        <v>7962</v>
      </c>
      <c r="D360" s="5" t="s">
        <v>10220</v>
      </c>
    </row>
    <row r="361" spans="1:4" ht="10" customHeight="1" x14ac:dyDescent="0.2">
      <c r="A361" s="5">
        <v>3267</v>
      </c>
      <c r="B361" s="5" t="s">
        <v>7930</v>
      </c>
      <c r="C361" s="5" t="s">
        <v>7966</v>
      </c>
      <c r="D361" s="5" t="s">
        <v>10221</v>
      </c>
    </row>
    <row r="362" spans="1:4" ht="10" customHeight="1" x14ac:dyDescent="0.2">
      <c r="A362" s="5">
        <v>3268</v>
      </c>
      <c r="B362" s="5" t="s">
        <v>7930</v>
      </c>
      <c r="C362" s="5" t="s">
        <v>7969</v>
      </c>
      <c r="D362" s="5" t="s">
        <v>10222</v>
      </c>
    </row>
    <row r="363" spans="1:4" ht="10" customHeight="1" x14ac:dyDescent="0.2">
      <c r="A363" s="5">
        <v>3269</v>
      </c>
      <c r="B363" s="5" t="s">
        <v>7930</v>
      </c>
      <c r="C363" s="5" t="s">
        <v>7971</v>
      </c>
      <c r="D363" s="5" t="s">
        <v>10223</v>
      </c>
    </row>
    <row r="364" spans="1:4" ht="10" customHeight="1" x14ac:dyDescent="0.2">
      <c r="A364" s="5">
        <v>3270</v>
      </c>
      <c r="B364" s="5" t="s">
        <v>7930</v>
      </c>
      <c r="C364" s="5" t="s">
        <v>7974</v>
      </c>
      <c r="D364" s="5" t="s">
        <v>10224</v>
      </c>
    </row>
    <row r="365" spans="1:4" ht="10" customHeight="1" x14ac:dyDescent="0.2">
      <c r="A365" s="5">
        <v>3271</v>
      </c>
      <c r="B365" s="5" t="s">
        <v>7930</v>
      </c>
      <c r="C365" s="5" t="s">
        <v>7977</v>
      </c>
      <c r="D365" s="5" t="s">
        <v>10225</v>
      </c>
    </row>
    <row r="366" spans="1:4" ht="10" customHeight="1" x14ac:dyDescent="0.2">
      <c r="A366" s="5">
        <v>3272</v>
      </c>
      <c r="B366" s="5" t="s">
        <v>7930</v>
      </c>
      <c r="C366" s="5" t="s">
        <v>7981</v>
      </c>
      <c r="D366" s="5" t="s">
        <v>10226</v>
      </c>
    </row>
    <row r="367" spans="1:4" ht="10" customHeight="1" x14ac:dyDescent="0.2">
      <c r="A367" s="5">
        <v>3277</v>
      </c>
      <c r="B367" s="5" t="s">
        <v>7930</v>
      </c>
      <c r="C367" s="5" t="s">
        <v>7997</v>
      </c>
      <c r="D367" s="5" t="s">
        <v>10227</v>
      </c>
    </row>
    <row r="368" spans="1:4" ht="10" customHeight="1" x14ac:dyDescent="0.2">
      <c r="A368" s="5">
        <v>3278</v>
      </c>
      <c r="B368" s="5" t="s">
        <v>7930</v>
      </c>
      <c r="C368" s="5" t="s">
        <v>8000</v>
      </c>
      <c r="D368" s="5" t="s">
        <v>10228</v>
      </c>
    </row>
    <row r="369" spans="1:4" ht="10" customHeight="1" x14ac:dyDescent="0.2">
      <c r="A369" s="5">
        <v>3281</v>
      </c>
      <c r="B369" s="5" t="s">
        <v>7930</v>
      </c>
      <c r="C369" s="5" t="s">
        <v>8010</v>
      </c>
      <c r="D369" s="5" t="s">
        <v>10229</v>
      </c>
    </row>
    <row r="370" spans="1:4" ht="10" customHeight="1" x14ac:dyDescent="0.2">
      <c r="A370" s="5">
        <v>3282</v>
      </c>
      <c r="B370" s="5" t="s">
        <v>7930</v>
      </c>
      <c r="C370" s="5" t="s">
        <v>8012</v>
      </c>
      <c r="D370" s="5" t="s">
        <v>10229</v>
      </c>
    </row>
    <row r="371" spans="1:4" ht="10" customHeight="1" x14ac:dyDescent="0.2">
      <c r="A371" s="5">
        <v>3283</v>
      </c>
      <c r="B371" s="5" t="s">
        <v>7930</v>
      </c>
      <c r="C371" s="5" t="s">
        <v>8016</v>
      </c>
      <c r="D371" s="5" t="s">
        <v>10230</v>
      </c>
    </row>
    <row r="372" spans="1:4" ht="10" customHeight="1" x14ac:dyDescent="0.2">
      <c r="A372" s="5">
        <v>3284</v>
      </c>
      <c r="B372" s="5" t="s">
        <v>7930</v>
      </c>
      <c r="C372" s="5" t="s">
        <v>8020</v>
      </c>
      <c r="D372" s="5" t="s">
        <v>10231</v>
      </c>
    </row>
    <row r="373" spans="1:4" ht="10" customHeight="1" x14ac:dyDescent="0.2">
      <c r="A373" s="5">
        <v>3285</v>
      </c>
      <c r="B373" s="5" t="s">
        <v>7930</v>
      </c>
      <c r="C373" s="5" t="s">
        <v>8023</v>
      </c>
      <c r="D373" s="5" t="s">
        <v>10232</v>
      </c>
    </row>
    <row r="374" spans="1:4" ht="10" customHeight="1" x14ac:dyDescent="0.2">
      <c r="A374" s="5">
        <v>3288</v>
      </c>
      <c r="B374" s="5" t="s">
        <v>7930</v>
      </c>
      <c r="C374" s="5" t="s">
        <v>8030</v>
      </c>
      <c r="D374" s="5" t="s">
        <v>10233</v>
      </c>
    </row>
    <row r="375" spans="1:4" ht="10" customHeight="1" x14ac:dyDescent="0.2">
      <c r="A375" s="5">
        <v>3289</v>
      </c>
      <c r="B375" s="5" t="s">
        <v>7930</v>
      </c>
      <c r="C375" s="5" t="s">
        <v>8034</v>
      </c>
      <c r="D375" s="5" t="s">
        <v>10234</v>
      </c>
    </row>
    <row r="376" spans="1:4" ht="10" customHeight="1" x14ac:dyDescent="0.2">
      <c r="A376" s="5">
        <v>3290</v>
      </c>
      <c r="B376" s="5" t="s">
        <v>7930</v>
      </c>
      <c r="C376" s="5" t="s">
        <v>8038</v>
      </c>
      <c r="D376" s="5" t="s">
        <v>10235</v>
      </c>
    </row>
    <row r="377" spans="1:4" ht="10" customHeight="1" x14ac:dyDescent="0.2">
      <c r="A377" s="5">
        <v>3291</v>
      </c>
      <c r="B377" s="5" t="s">
        <v>7930</v>
      </c>
      <c r="C377" s="5" t="s">
        <v>8041</v>
      </c>
      <c r="D377" s="5" t="s">
        <v>10206</v>
      </c>
    </row>
    <row r="378" spans="1:4" ht="10" customHeight="1" x14ac:dyDescent="0.2">
      <c r="A378" s="5">
        <v>3292</v>
      </c>
      <c r="B378" s="5" t="s">
        <v>7930</v>
      </c>
      <c r="C378" s="5" t="s">
        <v>8044</v>
      </c>
      <c r="D378" s="5" t="s">
        <v>10236</v>
      </c>
    </row>
    <row r="379" spans="1:4" ht="10" customHeight="1" x14ac:dyDescent="0.2">
      <c r="A379" s="5">
        <v>3293</v>
      </c>
      <c r="B379" s="5" t="s">
        <v>7930</v>
      </c>
      <c r="C379" s="5" t="s">
        <v>8047</v>
      </c>
      <c r="D379" s="5" t="s">
        <v>10237</v>
      </c>
    </row>
    <row r="380" spans="1:4" ht="10" customHeight="1" x14ac:dyDescent="0.2">
      <c r="A380" s="5">
        <v>3294</v>
      </c>
      <c r="B380" s="5" t="s">
        <v>7930</v>
      </c>
      <c r="C380" s="5" t="s">
        <v>8050</v>
      </c>
      <c r="D380" s="5" t="s">
        <v>10238</v>
      </c>
    </row>
    <row r="381" spans="1:4" ht="10" customHeight="1" x14ac:dyDescent="0.2">
      <c r="A381" s="5">
        <v>3295</v>
      </c>
      <c r="B381" s="5" t="s">
        <v>7930</v>
      </c>
      <c r="C381" s="5" t="s">
        <v>8053</v>
      </c>
      <c r="D381" s="5" t="s">
        <v>10239</v>
      </c>
    </row>
    <row r="382" spans="1:4" ht="10" customHeight="1" x14ac:dyDescent="0.2">
      <c r="A382" s="5">
        <v>3296</v>
      </c>
      <c r="B382" s="5" t="s">
        <v>7930</v>
      </c>
      <c r="C382" s="5" t="s">
        <v>8056</v>
      </c>
      <c r="D382" s="5" t="s">
        <v>10240</v>
      </c>
    </row>
    <row r="383" spans="1:4" ht="10" customHeight="1" x14ac:dyDescent="0.2">
      <c r="A383" s="5">
        <v>3297</v>
      </c>
      <c r="B383" s="5" t="s">
        <v>7930</v>
      </c>
      <c r="C383" s="5" t="s">
        <v>8059</v>
      </c>
      <c r="D383" s="5" t="s">
        <v>10241</v>
      </c>
    </row>
    <row r="384" spans="1:4" ht="10" customHeight="1" x14ac:dyDescent="0.2">
      <c r="A384" s="5">
        <v>3302</v>
      </c>
      <c r="B384" s="5" t="s">
        <v>7930</v>
      </c>
      <c r="C384" s="5" t="s">
        <v>8077</v>
      </c>
      <c r="D384" s="5" t="s">
        <v>10242</v>
      </c>
    </row>
    <row r="385" spans="1:4" ht="10" customHeight="1" x14ac:dyDescent="0.2">
      <c r="A385" s="5">
        <v>3306</v>
      </c>
      <c r="B385" s="5" t="s">
        <v>7930</v>
      </c>
      <c r="C385" s="5" t="s">
        <v>7519</v>
      </c>
      <c r="D385" s="5" t="s">
        <v>10243</v>
      </c>
    </row>
    <row r="386" spans="1:4" ht="10" customHeight="1" x14ac:dyDescent="0.2">
      <c r="A386" s="5">
        <v>3307</v>
      </c>
      <c r="B386" s="5" t="s">
        <v>7930</v>
      </c>
      <c r="C386" s="5" t="s">
        <v>8094</v>
      </c>
      <c r="D386" s="5" t="s">
        <v>10244</v>
      </c>
    </row>
    <row r="387" spans="1:4" ht="10" customHeight="1" x14ac:dyDescent="0.2">
      <c r="A387" s="5">
        <v>3308</v>
      </c>
      <c r="B387" s="5" t="s">
        <v>7930</v>
      </c>
      <c r="C387" s="5" t="s">
        <v>8099</v>
      </c>
      <c r="D387" s="5" t="s">
        <v>10245</v>
      </c>
    </row>
    <row r="388" spans="1:4" ht="10" customHeight="1" x14ac:dyDescent="0.2">
      <c r="A388" s="5">
        <v>3311</v>
      </c>
      <c r="B388" s="5" t="s">
        <v>7930</v>
      </c>
      <c r="C388" s="5" t="s">
        <v>8110</v>
      </c>
      <c r="D388" s="5" t="s">
        <v>10246</v>
      </c>
    </row>
    <row r="389" spans="1:4" ht="10" customHeight="1" x14ac:dyDescent="0.2">
      <c r="A389" s="5">
        <v>3312</v>
      </c>
      <c r="B389" s="5" t="s">
        <v>7930</v>
      </c>
      <c r="C389" s="5" t="s">
        <v>8114</v>
      </c>
      <c r="D389" s="5" t="s">
        <v>10247</v>
      </c>
    </row>
    <row r="390" spans="1:4" ht="10" customHeight="1" x14ac:dyDescent="0.2">
      <c r="A390" s="5">
        <v>3313</v>
      </c>
      <c r="B390" s="5" t="s">
        <v>7930</v>
      </c>
      <c r="C390" s="5" t="s">
        <v>8117</v>
      </c>
      <c r="D390" s="5" t="s">
        <v>10248</v>
      </c>
    </row>
    <row r="391" spans="1:4" ht="10" customHeight="1" x14ac:dyDescent="0.2">
      <c r="A391" s="5">
        <v>3314</v>
      </c>
      <c r="B391" s="5" t="s">
        <v>7930</v>
      </c>
      <c r="C391" s="5" t="s">
        <v>8120</v>
      </c>
      <c r="D391" s="5" t="s">
        <v>10249</v>
      </c>
    </row>
    <row r="392" spans="1:4" ht="10" customHeight="1" x14ac:dyDescent="0.2">
      <c r="A392" s="5">
        <v>3315</v>
      </c>
      <c r="B392" s="5" t="s">
        <v>7930</v>
      </c>
      <c r="C392" s="5" t="s">
        <v>8122</v>
      </c>
      <c r="D392" s="5" t="s">
        <v>10250</v>
      </c>
    </row>
    <row r="393" spans="1:4" ht="10" customHeight="1" x14ac:dyDescent="0.2">
      <c r="A393" s="5">
        <v>3316</v>
      </c>
      <c r="B393" s="5" t="s">
        <v>7930</v>
      </c>
      <c r="C393" s="5" t="s">
        <v>8124</v>
      </c>
      <c r="D393" s="5" t="s">
        <v>10251</v>
      </c>
    </row>
    <row r="394" spans="1:4" ht="10" customHeight="1" x14ac:dyDescent="0.2">
      <c r="A394" s="5">
        <v>3317</v>
      </c>
      <c r="B394" s="5" t="s">
        <v>7930</v>
      </c>
      <c r="C394" s="5" t="s">
        <v>8126</v>
      </c>
      <c r="D394" s="5" t="s">
        <v>10252</v>
      </c>
    </row>
    <row r="395" spans="1:4" ht="10" customHeight="1" x14ac:dyDescent="0.2">
      <c r="A395" s="5">
        <v>3318</v>
      </c>
      <c r="B395" s="5" t="s">
        <v>7930</v>
      </c>
      <c r="C395" s="5" t="s">
        <v>8128</v>
      </c>
      <c r="D395" s="5" t="s">
        <v>10253</v>
      </c>
    </row>
    <row r="396" spans="1:4" ht="10" customHeight="1" x14ac:dyDescent="0.2">
      <c r="A396" s="5">
        <v>3319</v>
      </c>
      <c r="B396" s="5" t="s">
        <v>7930</v>
      </c>
      <c r="C396" s="5" t="s">
        <v>8131</v>
      </c>
      <c r="D396" s="5" t="s">
        <v>10254</v>
      </c>
    </row>
    <row r="397" spans="1:4" ht="10" customHeight="1" x14ac:dyDescent="0.2">
      <c r="A397" s="5">
        <v>3320</v>
      </c>
      <c r="B397" s="5" t="s">
        <v>7930</v>
      </c>
      <c r="C397" s="5" t="s">
        <v>8133</v>
      </c>
      <c r="D397" s="5" t="s">
        <v>10255</v>
      </c>
    </row>
    <row r="398" spans="1:4" ht="10" customHeight="1" x14ac:dyDescent="0.2">
      <c r="A398" s="5">
        <v>3321</v>
      </c>
      <c r="B398" s="5" t="s">
        <v>7930</v>
      </c>
      <c r="C398" s="5" t="s">
        <v>8136</v>
      </c>
      <c r="D398" s="5" t="s">
        <v>10256</v>
      </c>
    </row>
    <row r="399" spans="1:4" ht="10" customHeight="1" x14ac:dyDescent="0.2">
      <c r="A399" s="5">
        <v>3322</v>
      </c>
      <c r="B399" s="5" t="s">
        <v>7930</v>
      </c>
      <c r="C399" s="5" t="s">
        <v>8139</v>
      </c>
      <c r="D399" s="5" t="s">
        <v>10257</v>
      </c>
    </row>
    <row r="400" spans="1:4" ht="10" customHeight="1" x14ac:dyDescent="0.2">
      <c r="A400" s="5">
        <v>3323</v>
      </c>
      <c r="B400" s="5" t="s">
        <v>7930</v>
      </c>
      <c r="C400" s="5" t="s">
        <v>5448</v>
      </c>
      <c r="D400" s="5" t="s">
        <v>10258</v>
      </c>
    </row>
    <row r="401" spans="1:4" ht="10" customHeight="1" x14ac:dyDescent="0.2">
      <c r="A401" s="5">
        <v>3326</v>
      </c>
      <c r="B401" s="5" t="s">
        <v>6805</v>
      </c>
      <c r="C401" s="5" t="s">
        <v>8153</v>
      </c>
      <c r="D401" s="5" t="s">
        <v>10259</v>
      </c>
    </row>
    <row r="402" spans="1:4" ht="10" customHeight="1" x14ac:dyDescent="0.2">
      <c r="A402" s="5">
        <v>3327</v>
      </c>
      <c r="B402" s="5" t="s">
        <v>6805</v>
      </c>
      <c r="C402" s="5" t="s">
        <v>8157</v>
      </c>
      <c r="D402" s="5" t="s">
        <v>10260</v>
      </c>
    </row>
    <row r="403" spans="1:4" ht="10" customHeight="1" x14ac:dyDescent="0.2">
      <c r="A403" s="5">
        <v>3328</v>
      </c>
      <c r="B403" s="5" t="s">
        <v>6805</v>
      </c>
      <c r="C403" s="5" t="s">
        <v>8159</v>
      </c>
      <c r="D403" s="5" t="s">
        <v>10261</v>
      </c>
    </row>
    <row r="404" spans="1:4" ht="10" customHeight="1" x14ac:dyDescent="0.2">
      <c r="A404" s="5">
        <v>3329</v>
      </c>
      <c r="B404" s="5" t="s">
        <v>6805</v>
      </c>
      <c r="C404" s="5" t="s">
        <v>8162</v>
      </c>
      <c r="D404" s="5" t="s">
        <v>10262</v>
      </c>
    </row>
    <row r="405" spans="1:4" ht="10" customHeight="1" x14ac:dyDescent="0.2">
      <c r="A405" s="5">
        <v>3330</v>
      </c>
      <c r="B405" s="5" t="s">
        <v>6805</v>
      </c>
      <c r="C405" s="5" t="s">
        <v>8165</v>
      </c>
      <c r="D405" s="5" t="s">
        <v>10263</v>
      </c>
    </row>
    <row r="406" spans="1:4" ht="10" customHeight="1" x14ac:dyDescent="0.2">
      <c r="A406" s="5">
        <v>3331</v>
      </c>
      <c r="B406" s="5" t="s">
        <v>6805</v>
      </c>
      <c r="C406" s="5" t="s">
        <v>8168</v>
      </c>
      <c r="D406" s="5" t="s">
        <v>10264</v>
      </c>
    </row>
    <row r="407" spans="1:4" ht="10" customHeight="1" x14ac:dyDescent="0.2">
      <c r="A407" s="5">
        <v>3332</v>
      </c>
      <c r="B407" s="5" t="s">
        <v>6805</v>
      </c>
      <c r="C407" s="5" t="s">
        <v>8173</v>
      </c>
      <c r="D407" s="5" t="s">
        <v>10265</v>
      </c>
    </row>
    <row r="408" spans="1:4" ht="10" customHeight="1" x14ac:dyDescent="0.2">
      <c r="A408" s="5">
        <v>3333</v>
      </c>
      <c r="B408" s="5" t="s">
        <v>6805</v>
      </c>
      <c r="C408" s="5" t="s">
        <v>8175</v>
      </c>
      <c r="D408" s="5" t="s">
        <v>10266</v>
      </c>
    </row>
    <row r="409" spans="1:4" ht="10" customHeight="1" x14ac:dyDescent="0.2">
      <c r="A409" s="5">
        <v>3334</v>
      </c>
      <c r="B409" s="5" t="s">
        <v>6805</v>
      </c>
      <c r="C409" s="5" t="s">
        <v>8179</v>
      </c>
      <c r="D409" s="5" t="s">
        <v>10267</v>
      </c>
    </row>
    <row r="410" spans="1:4" ht="10" customHeight="1" x14ac:dyDescent="0.2">
      <c r="A410" s="5">
        <v>3335</v>
      </c>
      <c r="B410" s="5" t="s">
        <v>6805</v>
      </c>
      <c r="C410" s="5" t="s">
        <v>8182</v>
      </c>
      <c r="D410" s="5" t="s">
        <v>10268</v>
      </c>
    </row>
    <row r="411" spans="1:4" ht="10" customHeight="1" x14ac:dyDescent="0.2">
      <c r="A411" s="5">
        <v>3336</v>
      </c>
      <c r="B411" s="5" t="s">
        <v>6805</v>
      </c>
      <c r="C411" s="5" t="s">
        <v>8187</v>
      </c>
      <c r="D411" s="5" t="s">
        <v>10269</v>
      </c>
    </row>
    <row r="412" spans="1:4" ht="10" customHeight="1" x14ac:dyDescent="0.2">
      <c r="A412" s="5">
        <v>3337</v>
      </c>
      <c r="B412" s="5" t="s">
        <v>6805</v>
      </c>
      <c r="C412" s="5" t="s">
        <v>8192</v>
      </c>
      <c r="D412" s="5" t="s">
        <v>10270</v>
      </c>
    </row>
    <row r="413" spans="1:4" ht="10" customHeight="1" x14ac:dyDescent="0.2">
      <c r="A413" s="5">
        <v>3338</v>
      </c>
      <c r="B413" s="5" t="s">
        <v>6805</v>
      </c>
      <c r="C413" s="5" t="s">
        <v>8195</v>
      </c>
      <c r="D413" s="5" t="s">
        <v>10271</v>
      </c>
    </row>
    <row r="414" spans="1:4" ht="10" customHeight="1" x14ac:dyDescent="0.2">
      <c r="A414" s="5">
        <v>3339</v>
      </c>
      <c r="B414" s="5" t="s">
        <v>6805</v>
      </c>
      <c r="C414" s="5" t="s">
        <v>8200</v>
      </c>
      <c r="D414" s="5" t="s">
        <v>10272</v>
      </c>
    </row>
    <row r="415" spans="1:4" ht="10" customHeight="1" x14ac:dyDescent="0.2">
      <c r="A415" s="5">
        <v>3340</v>
      </c>
      <c r="B415" s="5" t="s">
        <v>6805</v>
      </c>
      <c r="C415" s="5" t="s">
        <v>8202</v>
      </c>
      <c r="D415" s="5" t="s">
        <v>10273</v>
      </c>
    </row>
    <row r="416" spans="1:4" ht="10" customHeight="1" x14ac:dyDescent="0.2">
      <c r="A416" s="5">
        <v>3341</v>
      </c>
      <c r="B416" s="5" t="s">
        <v>6805</v>
      </c>
      <c r="C416" s="5" t="s">
        <v>8206</v>
      </c>
      <c r="D416" s="5" t="s">
        <v>10274</v>
      </c>
    </row>
    <row r="417" spans="1:4" ht="10" customHeight="1" x14ac:dyDescent="0.2">
      <c r="A417" s="5">
        <v>3342</v>
      </c>
      <c r="B417" s="5" t="s">
        <v>6805</v>
      </c>
      <c r="C417" s="5" t="s">
        <v>8211</v>
      </c>
      <c r="D417" s="5" t="s">
        <v>10275</v>
      </c>
    </row>
    <row r="418" spans="1:4" ht="10" customHeight="1" x14ac:dyDescent="0.2">
      <c r="A418" s="5">
        <v>3343</v>
      </c>
      <c r="B418" s="5" t="s">
        <v>6805</v>
      </c>
      <c r="C418" s="5" t="s">
        <v>8214</v>
      </c>
      <c r="D418" s="5" t="s">
        <v>10276</v>
      </c>
    </row>
    <row r="419" spans="1:4" ht="10" customHeight="1" x14ac:dyDescent="0.2">
      <c r="A419" s="5">
        <v>3344</v>
      </c>
      <c r="B419" s="5" t="s">
        <v>6805</v>
      </c>
      <c r="C419" s="5" t="s">
        <v>8216</v>
      </c>
      <c r="D419" s="5" t="s">
        <v>10277</v>
      </c>
    </row>
    <row r="420" spans="1:4" ht="10" customHeight="1" x14ac:dyDescent="0.2">
      <c r="A420" s="5">
        <v>3345</v>
      </c>
      <c r="B420" s="5" t="s">
        <v>6805</v>
      </c>
      <c r="C420" s="5" t="s">
        <v>8222</v>
      </c>
      <c r="D420" s="5" t="s">
        <v>10278</v>
      </c>
    </row>
    <row r="421" spans="1:4" ht="10" customHeight="1" x14ac:dyDescent="0.2">
      <c r="A421" s="5">
        <v>3346</v>
      </c>
      <c r="B421" s="5" t="s">
        <v>6805</v>
      </c>
      <c r="C421" s="5" t="s">
        <v>2168</v>
      </c>
      <c r="D421" s="5" t="s">
        <v>10279</v>
      </c>
    </row>
    <row r="422" spans="1:4" ht="10" customHeight="1" x14ac:dyDescent="0.2">
      <c r="A422" s="5">
        <v>3347</v>
      </c>
      <c r="B422" s="5" t="s">
        <v>6805</v>
      </c>
      <c r="C422" s="5" t="s">
        <v>8225</v>
      </c>
      <c r="D422" s="5" t="s">
        <v>10280</v>
      </c>
    </row>
    <row r="423" spans="1:4" ht="10" customHeight="1" x14ac:dyDescent="0.2">
      <c r="A423" s="5">
        <v>3348</v>
      </c>
      <c r="B423" s="5" t="s">
        <v>6805</v>
      </c>
      <c r="C423" s="5" t="s">
        <v>8227</v>
      </c>
      <c r="D423" s="5" t="s">
        <v>10281</v>
      </c>
    </row>
    <row r="424" spans="1:4" ht="10" customHeight="1" x14ac:dyDescent="0.2">
      <c r="A424" s="5">
        <v>3349</v>
      </c>
      <c r="B424" s="5" t="s">
        <v>6805</v>
      </c>
      <c r="C424" s="5" t="s">
        <v>8230</v>
      </c>
      <c r="D424" s="5" t="s">
        <v>10282</v>
      </c>
    </row>
    <row r="425" spans="1:4" ht="10" customHeight="1" x14ac:dyDescent="0.2">
      <c r="A425" s="5">
        <v>3350</v>
      </c>
      <c r="B425" s="5" t="s">
        <v>6805</v>
      </c>
      <c r="C425" s="5" t="s">
        <v>8233</v>
      </c>
      <c r="D425" s="5" t="s">
        <v>10283</v>
      </c>
    </row>
    <row r="426" spans="1:4" ht="10" customHeight="1" x14ac:dyDescent="0.2">
      <c r="A426" s="5">
        <v>3351</v>
      </c>
      <c r="B426" s="5" t="s">
        <v>6805</v>
      </c>
      <c r="C426" s="5" t="s">
        <v>8236</v>
      </c>
      <c r="D426" s="5" t="s">
        <v>10284</v>
      </c>
    </row>
    <row r="427" spans="1:4" ht="10" customHeight="1" x14ac:dyDescent="0.2">
      <c r="A427" s="5">
        <v>3354</v>
      </c>
      <c r="B427" s="5" t="s">
        <v>6805</v>
      </c>
      <c r="C427" s="5" t="s">
        <v>8246</v>
      </c>
      <c r="D427" s="5" t="s">
        <v>10285</v>
      </c>
    </row>
    <row r="428" spans="1:4" ht="10" customHeight="1" x14ac:dyDescent="0.2">
      <c r="A428" s="5">
        <v>3355</v>
      </c>
      <c r="B428" s="5" t="s">
        <v>6805</v>
      </c>
      <c r="C428" s="5" t="s">
        <v>8248</v>
      </c>
      <c r="D428" s="5" t="s">
        <v>10286</v>
      </c>
    </row>
    <row r="429" spans="1:4" ht="10" customHeight="1" x14ac:dyDescent="0.2">
      <c r="A429" s="5">
        <v>3356</v>
      </c>
      <c r="B429" s="5" t="s">
        <v>6805</v>
      </c>
      <c r="C429" s="5" t="s">
        <v>8250</v>
      </c>
      <c r="D429" s="5" t="s">
        <v>10287</v>
      </c>
    </row>
    <row r="430" spans="1:4" ht="10" customHeight="1" x14ac:dyDescent="0.2">
      <c r="A430" s="5">
        <v>3357</v>
      </c>
      <c r="B430" s="5" t="s">
        <v>6805</v>
      </c>
      <c r="C430" s="5" t="s">
        <v>8252</v>
      </c>
      <c r="D430" s="5" t="s">
        <v>10288</v>
      </c>
    </row>
    <row r="431" spans="1:4" ht="10" customHeight="1" x14ac:dyDescent="0.2">
      <c r="A431" s="5">
        <v>3358</v>
      </c>
      <c r="B431" s="5" t="s">
        <v>6805</v>
      </c>
      <c r="C431" s="5" t="s">
        <v>8254</v>
      </c>
      <c r="D431" s="5" t="s">
        <v>10289</v>
      </c>
    </row>
    <row r="432" spans="1:4" ht="10" customHeight="1" x14ac:dyDescent="0.2">
      <c r="A432" s="5">
        <v>3359</v>
      </c>
      <c r="B432" s="5" t="s">
        <v>6805</v>
      </c>
      <c r="C432" s="5" t="s">
        <v>8256</v>
      </c>
      <c r="D432" s="5" t="s">
        <v>10290</v>
      </c>
    </row>
    <row r="433" spans="1:4" ht="10" customHeight="1" x14ac:dyDescent="0.2">
      <c r="A433" s="5">
        <v>3360</v>
      </c>
      <c r="B433" s="5" t="s">
        <v>6805</v>
      </c>
      <c r="C433" s="5" t="s">
        <v>8258</v>
      </c>
      <c r="D433" s="5" t="s">
        <v>10291</v>
      </c>
    </row>
    <row r="434" spans="1:4" ht="10" customHeight="1" x14ac:dyDescent="0.2">
      <c r="A434" s="5">
        <v>3361</v>
      </c>
      <c r="B434" s="5" t="s">
        <v>6805</v>
      </c>
      <c r="C434" s="5" t="s">
        <v>8260</v>
      </c>
      <c r="D434" s="5" t="s">
        <v>10292</v>
      </c>
    </row>
    <row r="435" spans="1:4" ht="10" customHeight="1" x14ac:dyDescent="0.2">
      <c r="A435" s="5">
        <v>3374</v>
      </c>
      <c r="B435" s="5" t="s">
        <v>44</v>
      </c>
      <c r="C435" s="5" t="s">
        <v>8288</v>
      </c>
      <c r="D435" s="5" t="s">
        <v>10293</v>
      </c>
    </row>
    <row r="436" spans="1:4" ht="10" customHeight="1" x14ac:dyDescent="0.2">
      <c r="A436" s="5">
        <v>3375</v>
      </c>
      <c r="B436" s="5" t="s">
        <v>44</v>
      </c>
      <c r="C436" s="5" t="s">
        <v>8290</v>
      </c>
      <c r="D436" s="5" t="s">
        <v>10294</v>
      </c>
    </row>
    <row r="437" spans="1:4" ht="10" customHeight="1" x14ac:dyDescent="0.2">
      <c r="A437" s="5">
        <v>3376</v>
      </c>
      <c r="B437" s="5" t="s">
        <v>44</v>
      </c>
      <c r="C437" s="5" t="s">
        <v>8292</v>
      </c>
      <c r="D437" s="5" t="s">
        <v>10295</v>
      </c>
    </row>
    <row r="438" spans="1:4" ht="10" customHeight="1" x14ac:dyDescent="0.2">
      <c r="A438" s="5">
        <v>3377</v>
      </c>
      <c r="B438" s="5" t="s">
        <v>44</v>
      </c>
      <c r="C438" s="5" t="s">
        <v>8294</v>
      </c>
      <c r="D438" s="5" t="s">
        <v>10296</v>
      </c>
    </row>
    <row r="439" spans="1:4" ht="10" customHeight="1" x14ac:dyDescent="0.2">
      <c r="A439" s="5">
        <v>3378</v>
      </c>
      <c r="B439" s="5" t="s">
        <v>44</v>
      </c>
      <c r="C439" s="5" t="s">
        <v>8296</v>
      </c>
      <c r="D439" s="5" t="s">
        <v>10297</v>
      </c>
    </row>
    <row r="440" spans="1:4" ht="10" customHeight="1" x14ac:dyDescent="0.2">
      <c r="A440" s="5">
        <v>3379</v>
      </c>
      <c r="B440" s="5" t="s">
        <v>44</v>
      </c>
      <c r="C440" s="5" t="s">
        <v>8298</v>
      </c>
      <c r="D440" s="5" t="s">
        <v>10298</v>
      </c>
    </row>
    <row r="441" spans="1:4" ht="10" customHeight="1" x14ac:dyDescent="0.2">
      <c r="A441" s="5">
        <v>3380</v>
      </c>
      <c r="B441" s="5" t="s">
        <v>44</v>
      </c>
      <c r="C441" s="5" t="s">
        <v>8300</v>
      </c>
      <c r="D441" s="5" t="s">
        <v>10299</v>
      </c>
    </row>
    <row r="442" spans="1:4" ht="10" customHeight="1" x14ac:dyDescent="0.2">
      <c r="A442" s="5">
        <v>3381</v>
      </c>
      <c r="B442" s="5" t="s">
        <v>44</v>
      </c>
      <c r="C442" s="5" t="s">
        <v>8302</v>
      </c>
      <c r="D442" s="5" t="s">
        <v>10300</v>
      </c>
    </row>
    <row r="443" spans="1:4" ht="10" customHeight="1" x14ac:dyDescent="0.2">
      <c r="A443" s="5">
        <v>3382</v>
      </c>
      <c r="B443" s="5" t="s">
        <v>44</v>
      </c>
      <c r="C443" s="5" t="s">
        <v>8304</v>
      </c>
      <c r="D443" s="5" t="s">
        <v>10301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J Book Items Cons.</vt:lpstr>
      <vt:lpstr>FY2026 &gt;&gt;</vt:lpstr>
      <vt:lpstr>FY26 Total Funding</vt:lpstr>
      <vt:lpstr>FY26 Newbuild TAM</vt:lpstr>
      <vt:lpstr>FY26 Newbuild SAM</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2026-04-14T12:22:09Z</dcterms:modified>
</cp:coreProperties>
</file>