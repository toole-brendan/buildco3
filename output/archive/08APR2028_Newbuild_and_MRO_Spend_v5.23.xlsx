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69</xdr:row>
      <xdr:rowOff>28575</xdr:rowOff>
    </xdr:from>
    <xdr:to>
      <xdr:col>14</xdr:col>
      <xdr:colOff>0</xdr:colOff>
      <xdr:row>81</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Mine Warfare</t>
        </is>
      </c>
      <c r="B25" s="30" t="inlineStr">
        <is>
          <t>USN</t>
        </is>
      </c>
      <c r="C25" s="31">
        <f>SUMIFS(JB_26BV,JB_B,1,JB_W,"Mine Warfare",JB_RC,"ADD")</f>
        <v/>
      </c>
      <c r="D25" s="37">
        <f>IFERROR(C25/C$42,0)</f>
        <v/>
      </c>
    </row>
    <row r="26" ht="10" customHeight="1">
      <c r="A26" s="30" t="inlineStr">
        <is>
          <t>Crane Ship</t>
        </is>
      </c>
      <c r="B26" s="30" t="inlineStr">
        <is>
          <t>USN</t>
        </is>
      </c>
      <c r="C26" s="31">
        <f>SUMIFS(JB_26BV,JB_B,1,JB_W,"Crane Ship",JB_RC,"ADD")</f>
        <v/>
      </c>
      <c r="D26" s="37">
        <f>IFERROR(C26/C$42,0)</f>
        <v/>
      </c>
    </row>
    <row r="27" ht="10" customHeight="1">
      <c r="A27" s="30" t="inlineStr">
        <is>
          <t>Research, Survey &amp; Instrumentation Ships</t>
        </is>
      </c>
      <c r="B27" s="30" t="inlineStr">
        <is>
          <t>MSC</t>
        </is>
      </c>
      <c r="C27" s="31">
        <f>SUMIFS(JB_26BV,JB_B,1,JB_W,"Research, Survey &amp; Instrumentation Ships",JB_RC,"ADD")</f>
        <v/>
      </c>
      <c r="D27" s="37">
        <f>IFERROR(C27/C$42,0)</f>
        <v/>
      </c>
    </row>
    <row r="28" ht="10" customHeight="1">
      <c r="A28" s="30" t="inlineStr">
        <is>
          <t>Material Support Ships</t>
        </is>
      </c>
      <c r="B28" s="30" t="inlineStr">
        <is>
          <t>USN</t>
        </is>
      </c>
      <c r="C28" s="31">
        <f>SUMIFS(JB_26BV,JB_B,1,JB_W,"Material Support Ships",JB_RC,"ADD")</f>
        <v/>
      </c>
      <c r="D28" s="37">
        <f>IFERROR(C28/C$42,0)</f>
        <v/>
      </c>
    </row>
    <row r="29" ht="10" customHeight="1">
      <c r="A29" s="30" t="inlineStr">
        <is>
          <t>Aviation Logistics Support Ship</t>
        </is>
      </c>
      <c r="B29" s="30" t="inlineStr">
        <is>
          <t>USN</t>
        </is>
      </c>
      <c r="C29" s="31">
        <f>SUMIFS(JB_26BV,JB_B,1,JB_W,"Aviation Logistics Support Ship",JB_RC,"ADD")</f>
        <v/>
      </c>
      <c r="D29" s="37">
        <f>IFERROR(C29/C$42,0)</f>
        <v/>
      </c>
    </row>
    <row r="30" ht="10" customHeight="1">
      <c r="A30" s="30" t="inlineStr">
        <is>
          <t>Hospital Ship</t>
        </is>
      </c>
      <c r="B30" s="30" t="inlineStr">
        <is>
          <t>MSC</t>
        </is>
      </c>
      <c r="C30" s="31">
        <f>SUMIFS(JB_26BV,JB_B,1,JB_W,"Hospital Ship",JB_RC,"ADD")</f>
        <v/>
      </c>
      <c r="D30" s="37">
        <f>IFERROR(C30/C$42,0)</f>
        <v/>
      </c>
    </row>
    <row r="31" ht="10" customHeight="1">
      <c r="A31" s="30" t="inlineStr">
        <is>
          <t>General Auxiliary</t>
        </is>
      </c>
      <c r="B31" s="30" t="inlineStr">
        <is>
          <t>USN</t>
        </is>
      </c>
      <c r="C31" s="31">
        <f>SUMIFS(JB_26BV,JB_B,1,JB_W,"General Auxiliary",JB_RC,"ADD")</f>
        <v/>
      </c>
      <c r="D31" s="37">
        <f>IFERROR(C31/C$42,0)</f>
        <v/>
      </c>
    </row>
    <row r="32" ht="10" customHeight="1">
      <c r="A32" s="30" t="inlineStr">
        <is>
          <t>High Speed Transport</t>
        </is>
      </c>
      <c r="B32" s="30" t="inlineStr">
        <is>
          <t>USN</t>
        </is>
      </c>
      <c r="C32" s="31">
        <f>SUMIFS(JB_26BV,JB_B,1,JB_W,"High Speed Transport",JB_RC,"ADD")</f>
        <v/>
      </c>
      <c r="D32" s="37">
        <f>IFERROR(C32/C$42,0)</f>
        <v/>
      </c>
    </row>
    <row r="33" ht="10" customHeight="1">
      <c r="A33" s="30" t="inlineStr">
        <is>
          <t>Submarine Escort Ship</t>
        </is>
      </c>
      <c r="B33" s="30" t="inlineStr">
        <is>
          <t>USN</t>
        </is>
      </c>
      <c r="C33" s="31">
        <f>SUMIFS(JB_26BV,JB_B,1,JB_W,"Submarine Escort Ship",JB_RC,"ADD")</f>
        <v/>
      </c>
      <c r="D33" s="37">
        <f>IFERROR(C33/C$42,0)</f>
        <v/>
      </c>
    </row>
    <row r="34" ht="10" customHeight="1">
      <c r="A34" s="30" t="inlineStr">
        <is>
          <t>Command Ships</t>
        </is>
      </c>
      <c r="B34" s="30" t="inlineStr">
        <is>
          <t>USN</t>
        </is>
      </c>
      <c r="C34" s="31">
        <f>SUMIFS(JB_26BV,JB_B,1,JB_W,"Command Ships",JB_RC,"ADD")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Icebreakers, Great Lakes</t>
        </is>
      </c>
      <c r="B39" s="30" t="inlineStr">
        <is>
          <t>USCG</t>
        </is>
      </c>
      <c r="C39" s="31">
        <f>SUMIFS(JB_26BV,JB_B,1,JB_W,"Icebreakers, Great Lakes",JB_RC,"ADD")</f>
        <v/>
      </c>
      <c r="D39" s="37">
        <f>IFERROR(C39/C$42,0)</f>
        <v/>
      </c>
    </row>
    <row r="40" ht="10" customHeight="1">
      <c r="A40" s="30" t="inlineStr">
        <is>
          <t>National Security Cutters</t>
        </is>
      </c>
      <c r="B40" s="30" t="inlineStr">
        <is>
          <t>USCG</t>
        </is>
      </c>
      <c r="C40" s="31">
        <f>SUMIFS(JB_26BV,JB_B,1,JB_W,"National Security Cutters",JB_RC,"ADD")</f>
        <v/>
      </c>
      <c r="D40" s="37">
        <f>IFERROR(C40/C$42,0)</f>
        <v/>
      </c>
    </row>
    <row r="41" ht="10" customHeight="1">
      <c r="A41" s="30" t="inlineStr">
        <is>
          <t>Coastal Buoy Tenders</t>
        </is>
      </c>
      <c r="B41" s="30" t="inlineStr">
        <is>
          <t>USCG</t>
        </is>
      </c>
      <c r="C41" s="31">
        <f>SUMIFS(JB_26BV,JB_B,1,JB_W,"Coastal Buoy Tenders",JB_RC,"ADD")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Material Support Ships</t>
        </is>
      </c>
      <c r="B22" s="30" t="inlineStr">
        <is>
          <t>USN</t>
        </is>
      </c>
      <c r="C22" s="31">
        <f>SUMIFS(JB_26BV,JB_B,1,JB_W,"Material Support Ships",JB_RC,"ADD")</f>
        <v/>
      </c>
      <c r="D22" s="37">
        <f>IFERROR(C22/C$39,0)</f>
        <v/>
      </c>
    </row>
    <row r="23" ht="10" customHeight="1">
      <c r="A23" s="30" t="inlineStr">
        <is>
          <t>Aviation Logistics Support Ship</t>
        </is>
      </c>
      <c r="B23" s="30" t="inlineStr">
        <is>
          <t>USN</t>
        </is>
      </c>
      <c r="C23" s="31">
        <f>SUMIFS(JB_26BV,JB_B,1,JB_W,"Aviation Logistics Support Ship",JB_RC,"ADD")</f>
        <v/>
      </c>
      <c r="D23" s="37">
        <f>IFERROR(C23/C$39,0)</f>
        <v/>
      </c>
    </row>
    <row r="24" ht="10" customHeight="1">
      <c r="A24" s="30" t="inlineStr">
        <is>
          <t>Hospital Ship</t>
        </is>
      </c>
      <c r="B24" s="30" t="inlineStr">
        <is>
          <t>MSC</t>
        </is>
      </c>
      <c r="C24" s="31">
        <f>SUMIFS(JB_26BV,JB_B,1,JB_W,"Hospital Ship",JB_RC,"ADD")</f>
        <v/>
      </c>
      <c r="D24" s="37">
        <f>IFERROR(C24/C$39,0)</f>
        <v/>
      </c>
    </row>
    <row r="25" ht="10" customHeight="1">
      <c r="A25" s="30" t="inlineStr">
        <is>
          <t>Mine Warfare</t>
        </is>
      </c>
      <c r="B25" s="30" t="inlineStr">
        <is>
          <t>USN</t>
        </is>
      </c>
      <c r="C25" s="31">
        <f>SUMIFS(JB_26BV,JB_B,1,JB_W,"Mine Warfare",JB_RC,"ADD")</f>
        <v/>
      </c>
      <c r="D25" s="37">
        <f>IFERROR(C25/C$39,0)</f>
        <v/>
      </c>
    </row>
    <row r="26" ht="10" customHeight="1">
      <c r="A26" s="30" t="inlineStr">
        <is>
          <t>Crane Ship</t>
        </is>
      </c>
      <c r="B26" s="30" t="inlineStr">
        <is>
          <t>USN</t>
        </is>
      </c>
      <c r="C26" s="31">
        <f>SUMIFS(JB_26BV,JB_B,1,JB_W,"Crane Ship",JB_RC,"ADD")</f>
        <v/>
      </c>
      <c r="D26" s="37">
        <f>IFERROR(C26/C$39,0)</f>
        <v/>
      </c>
    </row>
    <row r="27" ht="10" customHeight="1">
      <c r="A27" s="30" t="inlineStr">
        <is>
          <t>Research, Survey &amp; Instrumentation Ships</t>
        </is>
      </c>
      <c r="B27" s="30" t="inlineStr">
        <is>
          <t>MSC</t>
        </is>
      </c>
      <c r="C27" s="31">
        <f>SUMIFS(JB_26BV,JB_B,1,JB_W,"Research, Survey &amp; Instrumentation Ships",JB_RC,"ADD")</f>
        <v/>
      </c>
      <c r="D27" s="37">
        <f>IFERROR(C27/C$39,0)</f>
        <v/>
      </c>
    </row>
    <row r="28" ht="10" customHeight="1">
      <c r="A28" s="30" t="inlineStr">
        <is>
          <t>General Auxiliary</t>
        </is>
      </c>
      <c r="B28" s="30" t="inlineStr">
        <is>
          <t>USN</t>
        </is>
      </c>
      <c r="C28" s="31">
        <f>SUMIFS(JB_26BV,JB_B,1,JB_W,"General Auxiliary",JB_RC,"ADD")</f>
        <v/>
      </c>
      <c r="D28" s="37">
        <f>IFERROR(C28/C$39,0)</f>
        <v/>
      </c>
    </row>
    <row r="29" ht="10" customHeight="1">
      <c r="A29" s="30" t="inlineStr">
        <is>
          <t>High Speed Transport</t>
        </is>
      </c>
      <c r="B29" s="30" t="inlineStr">
        <is>
          <t>USN</t>
        </is>
      </c>
      <c r="C29" s="31">
        <f>SUMIFS(JB_26BV,JB_B,1,JB_W,"High Speed Transport",JB_RC,"ADD")</f>
        <v/>
      </c>
      <c r="D29" s="37">
        <f>IFERROR(C29/C$39,0)</f>
        <v/>
      </c>
    </row>
    <row r="30" ht="10" customHeight="1">
      <c r="A30" s="30" t="inlineStr">
        <is>
          <t>Submarine Escort Ship</t>
        </is>
      </c>
      <c r="B30" s="30" t="inlineStr">
        <is>
          <t>USN</t>
        </is>
      </c>
      <c r="C30" s="31">
        <f>SUMIFS(JB_26BV,JB_B,1,JB_W,"Submarine Escort Ship",JB_RC,"ADD")</f>
        <v/>
      </c>
      <c r="D30" s="37">
        <f>IFERROR(C30/C$39,0)</f>
        <v/>
      </c>
    </row>
    <row r="31" ht="10" customHeight="1">
      <c r="A31" s="30" t="inlineStr">
        <is>
          <t>Command Ships</t>
        </is>
      </c>
      <c r="B31" s="30" t="inlineStr">
        <is>
          <t>USN</t>
        </is>
      </c>
      <c r="C31" s="31">
        <f>SUMIFS(JB_26BV,JB_B,1,JB_W,"Command Ships",JB_RC,"ADD")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Coastal Buoy Tenders</t>
        </is>
      </c>
      <c r="B36" s="30" t="inlineStr">
        <is>
          <t>USCG</t>
        </is>
      </c>
      <c r="C36" s="31">
        <f>SUMIFS(JB_26BV,JB_B,1,JB_W,"Coastal Buoy Tenders",JB_RC,"ADD")</f>
        <v/>
      </c>
      <c r="D36" s="37">
        <f>IFERROR(C36/C$39,0)</f>
        <v/>
      </c>
    </row>
    <row r="37" ht="10" customHeight="1">
      <c r="A37" s="30" t="inlineStr">
        <is>
          <t>Icebreakers, Great Lakes</t>
        </is>
      </c>
      <c r="B37" s="30" t="inlineStr">
        <is>
          <t>USCG</t>
        </is>
      </c>
      <c r="C37" s="31">
        <f>SUMIFS(JB_26BV,JB_B,1,JB_W,"Icebreakers, Great Lakes",JB_RC,"ADD")</f>
        <v/>
      </c>
      <c r="D37" s="37">
        <f>IFERROR(C37/C$39,0)</f>
        <v/>
      </c>
    </row>
    <row r="38" ht="10" customHeight="1">
      <c r="A38" s="30" t="inlineStr">
        <is>
          <t>National Security Cutters</t>
        </is>
      </c>
      <c r="B38" s="30" t="inlineStr">
        <is>
          <t>USCG</t>
        </is>
      </c>
      <c r="C38" s="31">
        <f>SUMIFS(JB_26BV,JB_B,1,JB_W,"National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MISC. HM&amp;E</t>
        </is>
      </c>
      <c r="B22" s="26" t="inlineStr">
        <is>
          <t>Hull, Mechanical, and Electrical</t>
        </is>
      </c>
      <c r="C22" s="49">
        <f>SUMIFS(JB_26BV,JB_B,1,JB_EX,"P-8a",JB_CC,"Hull, Mechanical, and Electrical",JB_H,"DDG",JB_CE,"MISC. HM&amp;E",JB_RC,"ALT")</f>
        <v/>
      </c>
      <c r="D22" s="37">
        <f>IFERROR(C22/C$80,0)</f>
        <v/>
      </c>
    </row>
    <row r="23" ht="10" customHeight="1">
      <c r="A23" s="30" t="inlineStr">
        <is>
          <t>MAIN TURBINE GENERATOR (MTG)</t>
        </is>
      </c>
      <c r="B23" s="26" t="inlineStr">
        <is>
          <t>Hull, Mechanical, and Electrical</t>
        </is>
      </c>
      <c r="C23" s="49">
        <f>SUMIFS(JB_26BV,JB_B,1,JB_EX,"P-8a",JB_CC,"Hull, Mechanical, and Electrical",JB_H,"DDG",JB_CE,"MAIN TURBINE GENERATOR (MTG)",JB_RC,"ALT")</f>
        <v/>
      </c>
      <c r="D23" s="37">
        <f>IFERROR(C23/C$80,0)</f>
        <v/>
      </c>
    </row>
    <row r="24" ht="10" customHeight="1">
      <c r="A24" s="30" t="inlineStr">
        <is>
          <t>Integrated Bridge Navigation System</t>
        </is>
      </c>
      <c r="B24" s="26" t="inlineStr">
        <is>
          <t>Hull, Mechanical, and Electrical</t>
        </is>
      </c>
      <c r="C24" s="49">
        <f>SUMIFS(JB_26BV,JB_B,1,JB_EX,"P-8a",JB_CC,"Hull, Mechanical, and Electrical",JB_H,"DDG",JB_CE,"Integrated Bridge Navigation System",JB_RC,"ALT")</f>
        <v/>
      </c>
      <c r="D24" s="37">
        <f>IFERROR(C24/C$80,0)</f>
        <v/>
      </c>
    </row>
    <row r="25" ht="10" customHeight="1">
      <c r="A25" s="30" t="inlineStr">
        <is>
          <t>STC 3 IVCS</t>
        </is>
      </c>
      <c r="B25" s="26" t="inlineStr">
        <is>
          <t>Hull, Mechanical, and Electrical</t>
        </is>
      </c>
      <c r="C25" s="49">
        <f>SUMIFS(JB_26BV,JB_B,1,JB_EX,"P-8a",JB_CC,"Hull, Mechanical, and Electrical",JB_H,"DDG",JB_CE,"STC 3 IVCS",JB_RC,"ALT")</f>
        <v/>
      </c>
      <c r="D25" s="37">
        <f>IFERROR(C25/C$80,0)</f>
        <v/>
      </c>
    </row>
    <row r="26" ht="10" customHeight="1">
      <c r="A26" s="30" t="inlineStr">
        <is>
          <t>Machinery Control System</t>
        </is>
      </c>
      <c r="B26" s="26" t="inlineStr">
        <is>
          <t>Hull, Mechanical, and Electrical</t>
        </is>
      </c>
      <c r="C26" s="49">
        <f>SUMIFS(JB_26BV,JB_B,1,JB_EX,"P-8a",JB_CC,"Hull, Mechanical, and Electrical",JB_H,"DDG",JB_CE,"Machinery Control System",JB_RC,"ALT")</f>
        <v/>
      </c>
      <c r="D26" s="37">
        <f>IFERROR(C26/C$80,0)</f>
        <v/>
      </c>
    </row>
    <row r="27" ht="10" customHeight="1">
      <c r="A27" s="30" t="inlineStr">
        <is>
          <t>CYBER BDC</t>
        </is>
      </c>
      <c r="B27" s="26" t="inlineStr">
        <is>
          <t>Hull, Mechanical, and Electrical</t>
        </is>
      </c>
      <c r="C27" s="49">
        <f>SUMIFS(JB_26BV,JB_B,1,JB_EX,"P-8a",JB_CC,"Hull, Mechanical, and Electrical",JB_H,"DDG",JB_CE,"CYBER BDC",JB_RC,"ALT")</f>
        <v/>
      </c>
      <c r="D27" s="37">
        <f>IFERROR(C27/C$80,0)</f>
        <v/>
      </c>
    </row>
    <row r="28" ht="10" customHeight="1">
      <c r="A28" s="30" t="inlineStr">
        <is>
          <t>WSN 12</t>
        </is>
      </c>
      <c r="B28" s="26" t="inlineStr">
        <is>
          <t>Hull, Mechanical, and Electrical</t>
        </is>
      </c>
      <c r="C28" s="49">
        <f>SUMIFS(JB_26BV,JB_B,1,JB_EX,"P-8a",JB_CC,"Hull, Mechanical, and Electrical",JB_H,"DDG",JB_CE,"WSN 12",JB_RC,"ALT")</f>
        <v/>
      </c>
      <c r="D28" s="37">
        <f>IFERROR(C28/C$80,0)</f>
        <v/>
      </c>
    </row>
    <row r="29" ht="10" customHeight="1">
      <c r="A29" s="30" t="inlineStr">
        <is>
          <t>HM&amp;E (NGVLA, Moriah Wind Measurement System (WMS), Aviation Integration)</t>
        </is>
      </c>
      <c r="B29" s="26" t="inlineStr">
        <is>
          <t>Hull, Mechanical, and Electrical</t>
        </is>
      </c>
      <c r="C29" s="49">
        <f>SUMIFS(JB_26BV,JB_B,1,JB_EX,"P-8a",JB_CC,"Hull, Mechanical, and Electrical",JB_H,"DDG",JB_CE,"HM&amp;E (NGVLA, Moriah Wind Measurement System (WMS), Aviation Integration)",JB_RC,"ALT")</f>
        <v/>
      </c>
      <c r="D29" s="37">
        <f>IFERROR(C29/C$80,0)</f>
        <v/>
      </c>
    </row>
    <row r="30" ht="10" customHeight="1">
      <c r="A30" s="30" t="inlineStr">
        <is>
          <t>INTERIM SPARES</t>
        </is>
      </c>
      <c r="B30" s="26" t="inlineStr">
        <is>
          <t>Hull, Mechanical, and Electrical</t>
        </is>
      </c>
      <c r="C30" s="49">
        <f>SUMIFS(JB_26BV,JB_B,1,JB_EX,"P-8a",JB_CC,"Hull, Mechanical, and Electrical",JB_H,"DDG",JB_CE,"INTERIM SPARES",JB_RC,"ALT")</f>
        <v/>
      </c>
      <c r="D30" s="37">
        <f>IFERROR(C30/C$80,0)</f>
        <v/>
      </c>
    </row>
    <row r="31" ht="10" customHeight="1">
      <c r="A31" s="30" t="inlineStr">
        <is>
          <t>RIGID HULL INFLATABLE BOAT (RHIB)</t>
        </is>
      </c>
      <c r="B31" s="26" t="inlineStr">
        <is>
          <t>Hull, Mechanical, and Electrical</t>
        </is>
      </c>
      <c r="C31" s="49">
        <f>SUMIFS(JB_26BV,JB_B,1,JB_EX,"P-8a",JB_CC,"Hull, Mechanical, and Electrical",JB_H,"DDG",JB_CE,"RIGID HULL INFLATABLE BOAT (RHIB)",JB_RC,"ALT")</f>
        <v/>
      </c>
      <c r="D31" s="37">
        <f>IFERROR(C31/C$80,0)</f>
        <v/>
      </c>
    </row>
    <row r="32" ht="10" customHeight="1">
      <c r="A32" s="30" t="inlineStr">
        <is>
          <t>VERTICAL LAUNCHING SYSTEM (VLS) MK 57 4-CELL MODULES</t>
        </is>
      </c>
      <c r="B32" s="26" t="inlineStr">
        <is>
          <t>Electronics</t>
        </is>
      </c>
      <c r="C32" s="49">
        <f>SUMIFS(JB_26BV,JB_B,1,JB_EX,"P-8a",JB_CC,"Electronics",JB_H,"DDG",JB_CE,"VERTICAL LAUNCHING SYSTEM (VLS) MK 57 4-CELL MODULES",JB_RC,"ALT")</f>
        <v/>
      </c>
      <c r="D32" s="37">
        <f>IFERROR(C32/C$80,0)</f>
        <v/>
      </c>
    </row>
    <row r="33" ht="10" customHeight="1">
      <c r="A33" s="30" t="inlineStr">
        <is>
          <t>MULTI FUNCTION RADAR (MFR)</t>
        </is>
      </c>
      <c r="B33" s="26" t="inlineStr">
        <is>
          <t>Electronics</t>
        </is>
      </c>
      <c r="C33" s="49">
        <f>SUMIFS(JB_26BV,JB_B,1,JB_EX,"P-8a",JB_CC,"Electronics",JB_H,"DDG",JB_CE,"MULTI FUNCTION RADAR (MFR)",JB_RC,"ALT")</f>
        <v/>
      </c>
      <c r="D33" s="37">
        <f>IFERROR(C33/C$80,0)</f>
        <v/>
      </c>
    </row>
    <row r="34" ht="10" customHeight="1">
      <c r="A34" s="30" t="inlineStr">
        <is>
          <t>TOTAL SHIP COMPUTING ENVIRONMENT (TSCE)</t>
        </is>
      </c>
      <c r="B34" s="26" t="inlineStr">
        <is>
          <t>Electronics</t>
        </is>
      </c>
      <c r="C34" s="49">
        <f>SUMIFS(JB_26BV,JB_B,1,JB_EX,"P-8a",JB_CC,"Electronics",JB_H,"DDG",JB_CE,"TOTAL SHIP COMPUTING ENVIRONMENT (TSCE)",JB_RC,"ALT")</f>
        <v/>
      </c>
      <c r="D34" s="37">
        <f>IFERROR(C34/C$80,0)</f>
        <v/>
      </c>
    </row>
    <row r="35" ht="10" customHeight="1">
      <c r="A35" s="30" t="inlineStr">
        <is>
          <t>AN/SLQ-32 SEWIP V(7)</t>
        </is>
      </c>
      <c r="B35" s="26" t="inlineStr">
        <is>
          <t>Electronics</t>
        </is>
      </c>
      <c r="C35" s="49">
        <f>SUMIFS(JB_26BV,JB_B,1,JB_EX,"P-8a",JB_CC,"Electronics",JB_H,"DDG",JB_CE,"AN/SLQ-32 SEWIP V(7)",JB_RC,"ALT")</f>
        <v/>
      </c>
      <c r="D35" s="37">
        <f>IFERROR(C35/C$80,0)</f>
        <v/>
      </c>
    </row>
    <row r="36" ht="10" customHeight="1">
      <c r="A36" s="30" t="inlineStr">
        <is>
          <t>EXCOMM</t>
        </is>
      </c>
      <c r="B36" s="26" t="inlineStr">
        <is>
          <t>Electronics</t>
        </is>
      </c>
      <c r="C36" s="49">
        <f>SUMIFS(JB_26BV,JB_B,1,JB_EX,"P-8a",JB_CC,"Electronics",JB_H,"DDG",JB_CE,"EXCOMM",JB_RC,"ALT")</f>
        <v/>
      </c>
      <c r="D36" s="37">
        <f>IFERROR(C36/C$80,0)</f>
        <v/>
      </c>
    </row>
    <row r="37" ht="10" customHeight="1">
      <c r="A37" s="30" t="inlineStr">
        <is>
          <t>SQQ 89 ASW</t>
        </is>
      </c>
      <c r="B37" s="26" t="inlineStr">
        <is>
          <t>Electronics</t>
        </is>
      </c>
      <c r="C37" s="49">
        <f>SUMIFS(JB_26BV,JB_B,1,JB_EX,"P-8a",JB_CC,"Electronics",JB_H,"DDG",JB_CE,"SQQ 89 ASW",JB_RC,"ALT")</f>
        <v/>
      </c>
      <c r="D37" s="37">
        <f>IFERROR(C37/C$80,0)</f>
        <v/>
      </c>
    </row>
    <row r="38" ht="10" customHeight="1">
      <c r="A38" s="30" t="inlineStr">
        <is>
          <t>MISSION SYSTEM ENGR INTEGR &amp; TEST (MSEIT)</t>
        </is>
      </c>
      <c r="B38" s="26" t="inlineStr">
        <is>
          <t>Electronics</t>
        </is>
      </c>
      <c r="C38" s="49">
        <f>SUMIFS(JB_26BV,JB_B,1,JB_EX,"P-8a",JB_CC,"Electronics",JB_H,"DDG",JB_CE,"MISSION SYSTEM ENGR INTEGR &amp; TEST (MSEIT)",JB_RC,"ALT")</f>
        <v/>
      </c>
      <c r="D38" s="37">
        <f>IFERROR(C38/C$80,0)</f>
        <v/>
      </c>
    </row>
    <row r="39" ht="10" customHeight="1">
      <c r="A39" s="30" t="inlineStr">
        <is>
          <t>MISSION SYSTEM ACTIVATION</t>
        </is>
      </c>
      <c r="B39" s="26" t="inlineStr">
        <is>
          <t>Electronics</t>
        </is>
      </c>
      <c r="C39" s="49">
        <f>SUMIFS(JB_26BV,JB_B,1,JB_EX,"P-8a",JB_CC,"Electronics",JB_H,"DDG",JB_CE,"MISSION SYSTEM ACTIVATION",JB_RC,"ALT")</f>
        <v/>
      </c>
      <c r="D39" s="37">
        <f>IFERROR(C39/C$80,0)</f>
        <v/>
      </c>
    </row>
    <row r="40" ht="10" customHeight="1">
      <c r="A40" s="30" t="inlineStr">
        <is>
          <t>SHIP CONTROL SYSTEM (SCS)</t>
        </is>
      </c>
      <c r="B40" s="26" t="inlineStr">
        <is>
          <t>Electronics</t>
        </is>
      </c>
      <c r="C40" s="49">
        <f>SUMIFS(JB_26BV,JB_B,1,JB_EX,"P-8a",JB_CC,"Electronics",JB_H,"DDG",JB_CE,"SHIP CONTROL SYSTEM (SCS)",JB_RC,"ALT")</f>
        <v/>
      </c>
      <c r="D40" s="37">
        <f>IFERROR(C40/C$80,0)</f>
        <v/>
      </c>
    </row>
    <row r="41" ht="10" customHeight="1">
      <c r="A41" s="30" t="inlineStr">
        <is>
          <t>INTEGRATED UNDERSEA WARFARE (IUSW) SYSTEM</t>
        </is>
      </c>
      <c r="B41" s="26" t="inlineStr">
        <is>
          <t>Electronics</t>
        </is>
      </c>
      <c r="C41" s="49">
        <f>SUMIFS(JB_26BV,JB_B,1,JB_EX,"P-8a",JB_CC,"Electronics",JB_H,"DDG",JB_CE,"INTEGRATED UNDERSEA WARFARE (IUSW) SYSTEM",JB_RC,"ALT")</f>
        <v/>
      </c>
      <c r="D41" s="37">
        <f>IFERROR(C41/C$80,0)</f>
        <v/>
      </c>
    </row>
    <row r="42" ht="10" customHeight="1">
      <c r="A42" s="30" t="inlineStr">
        <is>
          <t>MISC. ELECTRONICS</t>
        </is>
      </c>
      <c r="B42" s="26" t="inlineStr">
        <is>
          <t>Electronics</t>
        </is>
      </c>
      <c r="C42" s="49">
        <f>SUMIFS(JB_26BV,JB_B,1,JB_EX,"P-8a",JB_CC,"Electronics",JB_H,"DDG",JB_CE,"MISC. ELECTRONICS",JB_RC,"ALT")</f>
        <v/>
      </c>
      <c r="D42" s="37">
        <f>IFERROR(C42/C$80,0)</f>
        <v/>
      </c>
    </row>
    <row r="43" ht="10" customHeight="1">
      <c r="A43" s="30" t="inlineStr">
        <is>
          <t>EXTERIOR COMMUNICATIONS (EXCOMMS)</t>
        </is>
      </c>
      <c r="B43" s="26" t="inlineStr">
        <is>
          <t>Electronics</t>
        </is>
      </c>
      <c r="C43" s="49">
        <f>SUMIFS(JB_26BV,JB_B,1,JB_EX,"P-8a",JB_CC,"Electronics",JB_H,"DDG",JB_CE,"EXTERIOR COMMUNICATIONS (EXCOMMS)",JB_RC,"ALT")</f>
        <v/>
      </c>
      <c r="D43" s="37">
        <f>IFERROR(C43/C$80,0)</f>
        <v/>
      </c>
    </row>
    <row r="44" ht="10" customHeight="1">
      <c r="A44" s="30" t="inlineStr">
        <is>
          <t>SPECTRAL</t>
        </is>
      </c>
      <c r="B44" s="26" t="inlineStr">
        <is>
          <t>Electronics</t>
        </is>
      </c>
      <c r="C44" s="49">
        <f>SUMIFS(JB_26BV,JB_B,1,JB_EX,"P-8a",JB_CC,"Electronics",JB_H,"DDG",JB_CE,"SPECTRAL",JB_RC,"ALT")</f>
        <v/>
      </c>
      <c r="D44" s="37">
        <f>IFERROR(C44/C$80,0)</f>
        <v/>
      </c>
    </row>
    <row r="45" ht="10" customHeight="1">
      <c r="A45" s="30" t="inlineStr">
        <is>
          <t>DDG 1002 TSCE MODERNIZATION</t>
        </is>
      </c>
      <c r="B45" s="26" t="inlineStr">
        <is>
          <t>Electronics</t>
        </is>
      </c>
      <c r="C45" s="49">
        <f>SUMIFS(JB_26BV,JB_B,1,JB_EX,"P-8a",JB_CC,"Electronics",JB_H,"DDG",JB_CE,"DDG 1002 TSCE MODERNIZATION",JB_RC,"ALT")</f>
        <v/>
      </c>
      <c r="D45" s="37">
        <f>IFERROR(C45/C$80,0)</f>
        <v/>
      </c>
    </row>
    <row r="46" ht="10" customHeight="1">
      <c r="A46" s="30" t="inlineStr">
        <is>
          <t>USQ 82(V) GEDMS</t>
        </is>
      </c>
      <c r="B46" s="26" t="inlineStr">
        <is>
          <t>Electronics</t>
        </is>
      </c>
      <c r="C46" s="49">
        <f>SUMIFS(JB_26BV,JB_B,1,JB_EX,"P-8a",JB_CC,"Electronics",JB_H,"DDG",JB_CE,"USQ 82(V) GEDMS",JB_RC,"ALT")</f>
        <v/>
      </c>
      <c r="D46" s="37">
        <f>IFERROR(C46/C$80,0)</f>
        <v/>
      </c>
    </row>
    <row r="47" ht="10" customHeight="1">
      <c r="A47" s="30" t="inlineStr">
        <is>
          <t>ELECTRO-OPTICAL / INFRARED (EO/IR)</t>
        </is>
      </c>
      <c r="B47" s="26" t="inlineStr">
        <is>
          <t>Electronics</t>
        </is>
      </c>
      <c r="C47" s="49">
        <f>SUMIFS(JB_26BV,JB_B,1,JB_EX,"P-8a",JB_CC,"Electronics",JB_H,"DDG",JB_CE,"ELECTRO-OPTICAL / INFRARED (EO/IR)",JB_RC,"ALT")</f>
        <v/>
      </c>
      <c r="D47" s="37">
        <f>IFERROR(C47/C$80,0)</f>
        <v/>
      </c>
    </row>
    <row r="48" ht="10" customHeight="1">
      <c r="A48" s="30" t="inlineStr">
        <is>
          <t>IDENTIFICATION FRIEND OR FOE (IFF)</t>
        </is>
      </c>
      <c r="B48" s="26" t="inlineStr">
        <is>
          <t>Electronics</t>
        </is>
      </c>
      <c r="C48" s="49">
        <f>SUMIFS(JB_26BV,JB_B,1,JB_EX,"P-8a",JB_CC,"Electronics",JB_H,"DDG",JB_CE,"IDENTIFICATION FRIEND OR FOE (IFF)",JB_RC,"ALT")</f>
        <v/>
      </c>
      <c r="D48" s="37">
        <f>IFERROR(C48/C$80,0)</f>
        <v/>
      </c>
    </row>
    <row r="49" ht="10" customHeight="1">
      <c r="A49" s="30" t="inlineStr">
        <is>
          <t>DDG 1002 UNIVERSAL CANISTER ELECTRICAL UNITS (UCEU)</t>
        </is>
      </c>
      <c r="B49" s="26" t="inlineStr">
        <is>
          <t>Electronics</t>
        </is>
      </c>
      <c r="C49" s="49">
        <f>SUMIFS(JB_26BV,JB_B,1,JB_EX,"P-8a",JB_CC,"Electronics",JB_H,"DDG",JB_CE,"DDG 1002 UNIVERSAL CANISTER ELECTRICAL UNITS (UCEU)",JB_RC,"ALT")</f>
        <v/>
      </c>
      <c r="D49" s="37">
        <f>IFERROR(C49/C$80,0)</f>
        <v/>
      </c>
    </row>
    <row r="50" ht="10" customHeight="1">
      <c r="A50" s="30" t="inlineStr">
        <is>
          <t>AN/UPX 29(V) IFF and TACAN</t>
        </is>
      </c>
      <c r="B50" s="26" t="inlineStr">
        <is>
          <t>Electronics</t>
        </is>
      </c>
      <c r="C50" s="49">
        <f>SUMIFS(JB_26BV,JB_B,1,JB_EX,"P-8a",JB_CC,"Electronics",JB_H,"DDG",JB_CE,"AN/UPX 29(V) IFF and TACAN",JB_RC,"ALT")</f>
        <v/>
      </c>
      <c r="D50" s="37">
        <f>IFERROR(C50/C$80,0)</f>
        <v/>
      </c>
    </row>
    <row r="51" ht="10" customHeight="1">
      <c r="A51" s="30" t="inlineStr">
        <is>
          <t>SRQ 4 LAMPS III</t>
        </is>
      </c>
      <c r="B51" s="26" t="inlineStr">
        <is>
          <t>Electronics</t>
        </is>
      </c>
      <c r="C51" s="49">
        <f>SUMIFS(JB_26BV,JB_B,1,JB_EX,"P-8a",JB_CC,"Electronics",JB_H,"DDG",JB_CE,"SRQ 4 LAMPS III",JB_RC,"ALT")</f>
        <v/>
      </c>
      <c r="D51" s="37">
        <f>IFERROR(C51/C$80,0)</f>
        <v/>
      </c>
    </row>
    <row r="52" ht="10" customHeight="1">
      <c r="A52" s="30" t="inlineStr">
        <is>
          <t>CEC</t>
        </is>
      </c>
      <c r="B52" s="26" t="inlineStr">
        <is>
          <t>Electronics</t>
        </is>
      </c>
      <c r="C52" s="49">
        <f>SUMIFS(JB_26BV,JB_B,1,JB_EX,"P-8a",JB_CC,"Electronics",JB_H,"DDG",JB_CE,"CEC",JB_RC,"ALT")</f>
        <v/>
      </c>
      <c r="D52" s="37">
        <f>IFERROR(C52/C$80,0)</f>
        <v/>
      </c>
    </row>
    <row r="53" ht="10" customHeight="1">
      <c r="A53" s="30" t="inlineStr">
        <is>
          <t>SURFACE ELECTRONIC WARFARE IMPROVEMENT PROGRAM (SEWIP)</t>
        </is>
      </c>
      <c r="B53" s="26" t="inlineStr">
        <is>
          <t>Electronics</t>
        </is>
      </c>
      <c r="C53" s="49">
        <f>SUMIFS(JB_26BV,JB_B,1,JB_EX,"P-8a",JB_CC,"Electronics",JB_H,"DDG",JB_CE,"SURFACE ELECTRONIC WARFARE IMPROVEMENT PROGRAM (SEWIP)",JB_RC,"ALT")</f>
        <v/>
      </c>
      <c r="D53" s="37">
        <f>IFERROR(C53/C$80,0)</f>
        <v/>
      </c>
    </row>
    <row r="54" ht="10" customHeight="1">
      <c r="A54" s="30" t="inlineStr">
        <is>
          <t>COMMON ARRAY POWER SYSTEM (CAPS)</t>
        </is>
      </c>
      <c r="B54" s="26" t="inlineStr">
        <is>
          <t>Electronics</t>
        </is>
      </c>
      <c r="C54" s="49">
        <f>SUMIFS(JB_26BV,JB_B,1,JB_EX,"P-8a",JB_CC,"Electronics",JB_H,"DDG",JB_CE,"COMMON ARRAY POWER SYSTEM (CAPS)",JB_RC,"ALT")</f>
        <v/>
      </c>
      <c r="D54" s="37">
        <f>IFERROR(C54/C$80,0)</f>
        <v/>
      </c>
    </row>
    <row r="55" ht="10" customHeight="1">
      <c r="A55" s="30" t="inlineStr">
        <is>
          <t>NAVIGATION SYSTEM</t>
        </is>
      </c>
      <c r="B55" s="26" t="inlineStr">
        <is>
          <t>Electronics</t>
        </is>
      </c>
      <c r="C55" s="49">
        <f>SUMIFS(JB_26BV,JB_B,1,JB_EX,"P-8a",JB_CC,"Electronics",JB_H,"DDG",JB_CE,"NAVIGATION SYSTEM",JB_RC,"ALT")</f>
        <v/>
      </c>
      <c r="D55" s="37">
        <f>IFERROR(C55/C$80,0)</f>
        <v/>
      </c>
    </row>
    <row r="56" ht="10" customHeight="1">
      <c r="A56" s="30" t="inlineStr">
        <is>
          <t>MIDS</t>
        </is>
      </c>
      <c r="B56" s="26" t="inlineStr">
        <is>
          <t>Electronics</t>
        </is>
      </c>
      <c r="C56" s="49">
        <f>SUMIFS(JB_26BV,JB_B,1,JB_EX,"P-8a",JB_CC,"Electronics",JB_H,"DDG",JB_CE,"MIDS",JB_RC,"ALT")</f>
        <v/>
      </c>
      <c r="D56" s="37">
        <f>IFERROR(C56/C$80,0)</f>
        <v/>
      </c>
    </row>
    <row r="57" ht="10" customHeight="1">
      <c r="A57" s="30" t="inlineStr">
        <is>
          <t>SLQ 25 NIXIE</t>
        </is>
      </c>
      <c r="B57" s="26" t="inlineStr">
        <is>
          <t>Electronics</t>
        </is>
      </c>
      <c r="C57" s="49">
        <f>SUMIFS(JB_26BV,JB_B,1,JB_EX,"P-8a",JB_CC,"Electronics",JB_H,"DDG",JB_CE,"SLQ 25 NIXIE",JB_RC,"ALT")</f>
        <v/>
      </c>
      <c r="D57" s="37">
        <f>IFERROR(C57/C$80,0)</f>
        <v/>
      </c>
    </row>
    <row r="58" ht="10" customHeight="1">
      <c r="A58" s="30" t="inlineStr">
        <is>
          <t>NGSSR</t>
        </is>
      </c>
      <c r="B58" s="26" t="inlineStr">
        <is>
          <t>Electronics</t>
        </is>
      </c>
      <c r="C58" s="49">
        <f>SUMIFS(JB_26BV,JB_B,1,JB_EX,"P-8a",JB_CC,"Electronics",JB_H,"DDG",JB_CE,"NGSSR",JB_RC,"ALT")</f>
        <v/>
      </c>
      <c r="D58" s="37">
        <f>IFERROR(C58/C$80,0)</f>
        <v/>
      </c>
    </row>
    <row r="59" ht="10" customHeight="1">
      <c r="A59" s="30" t="inlineStr">
        <is>
          <t>COOPERATIVE ENGAGEMENT CAPABILITY (CEC)</t>
        </is>
      </c>
      <c r="B59" s="26" t="inlineStr">
        <is>
          <t>Electronics</t>
        </is>
      </c>
      <c r="C59" s="49">
        <f>SUMIFS(JB_26BV,JB_B,1,JB_EX,"P-8a",JB_CC,"Electronics",JB_H,"DDG",JB_CE,"COOPERATIVE ENGAGEMENT CAPABILITY (CEC)",JB_RC,"ALT")</f>
        <v/>
      </c>
      <c r="D59" s="37">
        <f>IFERROR(C59/C$80,0)</f>
        <v/>
      </c>
    </row>
    <row r="60" ht="10" customHeight="1">
      <c r="A60" s="30" t="inlineStr">
        <is>
          <t>MK 53 NULKA</t>
        </is>
      </c>
      <c r="B60" s="26" t="inlineStr">
        <is>
          <t>Electronics</t>
        </is>
      </c>
      <c r="C60" s="49">
        <f>SUMIFS(JB_26BV,JB_B,1,JB_EX,"P-8a",JB_CC,"Electronics",JB_H,"DDG",JB_CE,"MK 53 NULKA",JB_RC,"ALT")</f>
        <v/>
      </c>
      <c r="D60" s="37">
        <f>IFERROR(C60/C$80,0)</f>
        <v/>
      </c>
    </row>
    <row r="61" ht="10" customHeight="1">
      <c r="A61" s="30" t="inlineStr">
        <is>
          <t>TSA ANTENNA</t>
        </is>
      </c>
      <c r="B61" s="26" t="inlineStr">
        <is>
          <t>Electronics</t>
        </is>
      </c>
      <c r="C61" s="49">
        <f>SUMIFS(JB_26BV,JB_B,1,JB_EX,"P-8a",JB_CC,"Electronics",JB_H,"DDG",JB_CE,"TSA ANTENNA",JB_RC,"ALT")</f>
        <v/>
      </c>
      <c r="D61" s="37">
        <f>IFERROR(C61/C$80,0)</f>
        <v/>
      </c>
    </row>
    <row r="62" ht="10" customHeight="1">
      <c r="A62" s="30" t="inlineStr">
        <is>
          <t>SPARES</t>
        </is>
      </c>
      <c r="B62" s="26" t="inlineStr">
        <is>
          <t>Electronics</t>
        </is>
      </c>
      <c r="C62" s="49">
        <f>SUMIFS(JB_26BV,JB_B,1,JB_EX,"P-8a",JB_CC,"Electronics",JB_H,"DDG",JB_CE,"SPARES",JB_RC,"ALT")</f>
        <v/>
      </c>
      <c r="D62" s="37">
        <f>IFERROR(C62/C$80,0)</f>
        <v/>
      </c>
    </row>
    <row r="63" ht="10" customHeight="1">
      <c r="A63" s="30" t="inlineStr">
        <is>
          <t>COMMON ARRAY COOLING SYSTEM (CACS)</t>
        </is>
      </c>
      <c r="B63" s="26" t="inlineStr">
        <is>
          <t>Electronics</t>
        </is>
      </c>
      <c r="C63" s="49">
        <f>SUMIFS(JB_26BV,JB_B,1,JB_EX,"P-8a",JB_CC,"Electronics",JB_H,"DDG",JB_CE,"COMMON ARRAY COOLING SYSTEM (CACS)",JB_RC,"ALT")</f>
        <v/>
      </c>
      <c r="D63" s="37">
        <f>IFERROR(C63/C$80,0)</f>
        <v/>
      </c>
    </row>
    <row r="64" ht="10" customHeight="1">
      <c r="A64" s="30" t="inlineStr">
        <is>
          <t>AN/SPY-6(V)1 (AMDR)</t>
        </is>
      </c>
      <c r="B64" s="26" t="inlineStr">
        <is>
          <t>Ordnance</t>
        </is>
      </c>
      <c r="C64" s="49">
        <f>SUMIFS(JB_26BV,JB_B,1,JB_EX,"P-8a",JB_CC,"Ordnance",JB_H,"DDG",JB_CE,"AN/SPY-6(V)1 (AMDR)",JB_RC,"ALT")</f>
        <v/>
      </c>
      <c r="D64" s="37">
        <f>IFERROR(C64/C$80,0)</f>
        <v/>
      </c>
    </row>
    <row r="65" ht="10" customHeight="1">
      <c r="A65" s="30" t="inlineStr">
        <is>
          <t>AEGIS WEAPON SYSTEM (MK-7)</t>
        </is>
      </c>
      <c r="B65" s="26" t="inlineStr">
        <is>
          <t>Ordnance</t>
        </is>
      </c>
      <c r="C65" s="49">
        <f>SUMIFS(JB_26BV,JB_B,1,JB_EX,"P-8a",JB_CC,"Ordnance",JB_H,"DDG",JB_CE,"AEGIS WEAPON SYSTEM (MK-7)",JB_RC,"ALT")</f>
        <v/>
      </c>
      <c r="D65" s="37">
        <f>IFERROR(C65/C$80,0)</f>
        <v/>
      </c>
    </row>
    <row r="66" ht="10" customHeight="1">
      <c r="A66" s="30" t="inlineStr">
        <is>
          <t>ADVANCED GUN SYSTEM (AGS)</t>
        </is>
      </c>
      <c r="B66" s="26" t="inlineStr">
        <is>
          <t>Ordnance</t>
        </is>
      </c>
      <c r="C66" s="49">
        <f>SUMIFS(JB_26BV,JB_B,1,JB_EX,"P-8a",JB_CC,"Ordnance",JB_H,"DDG",JB_CE,"ADVANCED GUN SYSTEM (AGS)",JB_RC,"ALT")</f>
        <v/>
      </c>
      <c r="D66" s="37">
        <f>IFERROR(C66/C$80,0)</f>
        <v/>
      </c>
    </row>
    <row r="67" ht="10" customHeight="1">
      <c r="A67" s="30" t="inlineStr">
        <is>
          <t>VLS MK 41</t>
        </is>
      </c>
      <c r="B67" s="26" t="inlineStr">
        <is>
          <t>Ordnance</t>
        </is>
      </c>
      <c r="C67" s="49">
        <f>SUMIFS(JB_26BV,JB_B,1,JB_EX,"P-8a",JB_CC,"Ordnance",JB_H,"DDG",JB_CE,"VLS MK 41",JB_RC,"ALT")</f>
        <v/>
      </c>
      <c r="D67" s="37">
        <f>IFERROR(C67/C$80,0)</f>
        <v/>
      </c>
    </row>
    <row r="68" ht="10" customHeight="1">
      <c r="A68" s="30" t="inlineStr">
        <is>
          <t>MISC. ORDNANCE</t>
        </is>
      </c>
      <c r="B68" s="26" t="inlineStr">
        <is>
          <t>Ordnance</t>
        </is>
      </c>
      <c r="C68" s="49">
        <f>SUMIFS(JB_26BV,JB_B,1,JB_EX,"P-8a",JB_CC,"Ordnance",JB_H,"DDG",JB_CE,"MISC. ORDNANCE",JB_RC,"ALT")</f>
        <v/>
      </c>
      <c r="D68" s="37">
        <f>IFERROR(C68/C$80,0)</f>
        <v/>
      </c>
    </row>
    <row r="69" ht="10" customHeight="1">
      <c r="A69" s="30" t="inlineStr">
        <is>
          <t>MK 45 Light Weight Gun (LWG)</t>
        </is>
      </c>
      <c r="B69" s="26" t="inlineStr">
        <is>
          <t>Ordnance</t>
        </is>
      </c>
      <c r="C69" s="49">
        <f>SUMIFS(JB_26BV,JB_B,1,JB_EX,"P-8a",JB_CC,"Ordnance",JB_H,"DDG",JB_CE,"MK 45 Light Weight Gun (LWG)",JB_RC,"ALT")</f>
        <v/>
      </c>
      <c r="D69" s="37">
        <f>IFERROR(C69/C$80,0)</f>
        <v/>
      </c>
    </row>
    <row r="70" ht="10" customHeight="1">
      <c r="A70" s="30" t="inlineStr">
        <is>
          <t>MK 37 TOMAHAWK</t>
        </is>
      </c>
      <c r="B70" s="26" t="inlineStr">
        <is>
          <t>Ordnance</t>
        </is>
      </c>
      <c r="C70" s="49">
        <f>SUMIFS(JB_26BV,JB_B,1,JB_EX,"P-8a",JB_CC,"Ordnance",JB_H,"DDG",JB_CE,"MK 37 TOMAHAWK",JB_RC,"ALT")</f>
        <v/>
      </c>
      <c r="D70" s="37">
        <f>IFERROR(C70/C$80,0)</f>
        <v/>
      </c>
    </row>
    <row r="71" ht="10" customHeight="1">
      <c r="A71" s="30" t="inlineStr">
        <is>
          <t>SPQ-9B Radar</t>
        </is>
      </c>
      <c r="B71" s="26" t="inlineStr">
        <is>
          <t>Ordnance</t>
        </is>
      </c>
      <c r="C71" s="49">
        <f>SUMIFS(JB_26BV,JB_B,1,JB_EX,"P-8a",JB_CC,"Ordnance",JB_H,"DDG",JB_CE,"SPQ-9B Radar",JB_RC,"ALT")</f>
        <v/>
      </c>
      <c r="D71" s="37">
        <f>IFERROR(C71/C$80,0)</f>
        <v/>
      </c>
    </row>
    <row r="72" ht="10" customHeight="1">
      <c r="A72" s="30" t="inlineStr">
        <is>
          <t>PHALANX (CIWS)</t>
        </is>
      </c>
      <c r="B72" s="26" t="inlineStr">
        <is>
          <t>Ordnance</t>
        </is>
      </c>
      <c r="C72" s="49">
        <f>SUMIFS(JB_26BV,JB_B,1,JB_EX,"P-8a",JB_CC,"Ordnance",JB_H,"DDG",JB_CE,"PHALANX (CIWS)",JB_RC,"ALT")</f>
        <v/>
      </c>
      <c r="D72" s="37">
        <f>IFERROR(C72/C$80,0)</f>
        <v/>
      </c>
    </row>
    <row r="73" ht="10" customHeight="1">
      <c r="A73" s="30" t="inlineStr">
        <is>
          <t>DDG 1002 Missile Tubes (CPS)</t>
        </is>
      </c>
      <c r="B73" s="26" t="inlineStr">
        <is>
          <t>Ordnance</t>
        </is>
      </c>
      <c r="C73" s="49">
        <f>SUMIFS(JB_26BV,JB_B,1,JB_EX,"P-8a",JB_CC,"Ordnance",JB_H,"DDG",JB_CE,"DDG 1002 Missile Tubes (CPS)",JB_RC,"ALT")</f>
        <v/>
      </c>
      <c r="D73" s="37">
        <f>IFERROR(C73/C$80,0)</f>
        <v/>
      </c>
    </row>
    <row r="74" ht="10" customHeight="1">
      <c r="A74" s="30" t="inlineStr">
        <is>
          <t>MK-38 Gun Weapon System (GWS)</t>
        </is>
      </c>
      <c r="B74" s="26" t="inlineStr">
        <is>
          <t>Ordnance</t>
        </is>
      </c>
      <c r="C74" s="49">
        <f>SUMIFS(JB_26BV,JB_B,1,JB_EX,"P-8a",JB_CC,"Ordnance",JB_H,"DDG",JB_CE,"MK-38 Gun Weapon System (GWS)",JB_RC,"ALT")</f>
        <v/>
      </c>
      <c r="D74" s="37">
        <f>IFERROR(C74/C$80,0)</f>
        <v/>
      </c>
    </row>
    <row r="75" ht="10" customHeight="1">
      <c r="A75" s="30" t="inlineStr">
        <is>
          <t>DDG 1002 Rubber Boots, Hatches, Shock Isolation (CPS)</t>
        </is>
      </c>
      <c r="B75" s="26" t="inlineStr">
        <is>
          <t>Ordnance</t>
        </is>
      </c>
      <c r="C75" s="49">
        <f>SUMIFS(JB_26BV,JB_B,1,JB_EX,"P-8a",JB_CC,"Ordnance",JB_H,"DDG",JB_CE,"DDG 1002 Rubber Boots, Hatches, Shock Isolation (CPS)",JB_RC,"ALT")</f>
        <v/>
      </c>
      <c r="D75" s="37">
        <f>IFERROR(C75/C$80,0)</f>
        <v/>
      </c>
    </row>
    <row r="76" ht="10" customHeight="1">
      <c r="A76" s="30" t="inlineStr">
        <is>
          <t>CLOSE-IN GUN SYSTEM (CIGS)</t>
        </is>
      </c>
      <c r="B76" s="26" t="inlineStr">
        <is>
          <t>Ordnance</t>
        </is>
      </c>
      <c r="C76" s="49">
        <f>SUMIFS(JB_26BV,JB_B,1,JB_EX,"P-8a",JB_CC,"Ordnance",JB_H,"DDG",JB_CE,"CLOSE-IN GUN SYSTEM (CIGS)",JB_RC,"ALT")</f>
        <v/>
      </c>
      <c r="D76" s="37">
        <f>IFERROR(C76/C$80,0)</f>
        <v/>
      </c>
    </row>
    <row r="77" ht="10" customHeight="1">
      <c r="A77" s="30" t="inlineStr">
        <is>
          <t>MK 160 Gun Fire Control System (GFCS)</t>
        </is>
      </c>
      <c r="B77" s="26" t="inlineStr">
        <is>
          <t>Ordnance</t>
        </is>
      </c>
      <c r="C77" s="49">
        <f>SUMIFS(JB_26BV,JB_B,1,JB_EX,"P-8a",JB_CC,"Ordnance",JB_H,"DDG",JB_CE,"MK 160 Gun Fire Control System (GFCS)",JB_RC,"ALT")</f>
        <v/>
      </c>
      <c r="D77" s="37">
        <f>IFERROR(C77/C$80,0)</f>
        <v/>
      </c>
    </row>
    <row r="78" ht="10" customHeight="1">
      <c r="A78" s="30" t="inlineStr">
        <is>
          <t>ELECTRO-OPTICAL SYSTEM</t>
        </is>
      </c>
      <c r="B78" s="26" t="inlineStr">
        <is>
          <t>Ordnance</t>
        </is>
      </c>
      <c r="C78" s="49">
        <f>SUMIFS(JB_26BV,JB_B,1,JB_EX,"P-8a",JB_CC,"Ordnance",JB_H,"DDG",JB_CE,"ELECTRO-OPTICAL SYSTEM",JB_RC,"ALT")</f>
        <v/>
      </c>
      <c r="D78" s="37">
        <f>IFERROR(C78/C$80,0)</f>
        <v/>
      </c>
    </row>
    <row r="79" ht="10" customHeight="1">
      <c r="A79" s="30" t="inlineStr">
        <is>
          <t>MK 32 Surface Vessel Torpedo Tubes (SVTT)</t>
        </is>
      </c>
      <c r="B79" s="26" t="inlineStr">
        <is>
          <t>Ordnance</t>
        </is>
      </c>
      <c r="C79" s="49">
        <f>SUMIFS(JB_26BV,JB_B,1,JB_EX,"P-8a",JB_CC,"Ordnance",JB_H,"DDG",JB_CE,"MK 32 Surface Vessel Torpedo Tubes (SVTT)",JB_RC,"ALT")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Equipment &amp; Engineering</t>
        </is>
      </c>
      <c r="B84" s="26" t="inlineStr">
        <is>
          <t>Hull, Mechanical, and Electrical</t>
        </is>
      </c>
      <c r="C84" s="49">
        <f>SUMIFS(JB_26BV,JB_B,1,JB_EX,"P-8a",JB_CC,"Hull, Mechanical, and Electrical",JB_H,"LHA",JB_CE,"Equipment &amp; Engineering",JB_RC,"ALT")</f>
        <v/>
      </c>
      <c r="D84" s="37">
        <f>IFERROR(C84/C$123,0)</f>
        <v/>
      </c>
    </row>
    <row r="85" ht="10" customHeight="1">
      <c r="A85" s="30" t="inlineStr">
        <is>
          <t>Test &amp; Instrumentation</t>
        </is>
      </c>
      <c r="B85" s="26" t="inlineStr">
        <is>
          <t>Hull, Mechanical, and Electrical</t>
        </is>
      </c>
      <c r="C85" s="49">
        <f>SUMIFS(JB_26BV,JB_B,1,JB_EX,"P-8a",JB_CC,"Hull, Mechanical, and Electrical",JB_H,"LHA",JB_CE,"Test &amp; Instrumentation",JB_RC,"ALT")</f>
        <v/>
      </c>
      <c r="D85" s="37">
        <f>IFERROR(C85/C$123,0)</f>
        <v/>
      </c>
    </row>
    <row r="86" ht="10" customHeight="1">
      <c r="A86" s="30" t="inlineStr">
        <is>
          <t>SUPSHIP Material/Services</t>
        </is>
      </c>
      <c r="B86" s="26" t="inlineStr">
        <is>
          <t>Hull, Mechanical, and Electrical</t>
        </is>
      </c>
      <c r="C86" s="49">
        <f>SUMIFS(JB_26BV,JB_B,1,JB_EX,"P-8a",JB_CC,"Hull, Mechanical, and Electrical",JB_H,"LHA",JB_CE,"SUPSHIP Material/Services",JB_RC,"ALT")</f>
        <v/>
      </c>
      <c r="D86" s="37">
        <f>IFERROR(C86/C$123,0)</f>
        <v/>
      </c>
    </row>
    <row r="87" ht="10" customHeight="1">
      <c r="A87" s="30" t="inlineStr">
        <is>
          <t>Command, Control, Communication, Computer Intelligence Surveillance and Reconnaissance (C4ISR)</t>
        </is>
      </c>
      <c r="B87" s="26" t="inlineStr">
        <is>
          <t>Electronics</t>
        </is>
      </c>
      <c r="C87" s="49">
        <f>SUMIFS(JB_26BV,JB_B,1,JB_EX,"P-8a",JB_CC,"Electronics",JB_H,"LHA",JB_CE,"Command, Control, Communication, Computer Intelligence Surveillance and Reconnaissance (C4ISR)",JB_RC,"ALT")</f>
        <v/>
      </c>
      <c r="D87" s="37">
        <f>IFERROR(C87/C$123,0)</f>
        <v/>
      </c>
    </row>
    <row r="88" ht="10" customHeight="1">
      <c r="A88" s="30" t="inlineStr">
        <is>
          <t>MK 2 MOD 4E Ship Self Defense System (SSDS)</t>
        </is>
      </c>
      <c r="B88" s="26" t="inlineStr">
        <is>
          <t>Electronics</t>
        </is>
      </c>
      <c r="C88" s="49">
        <f>SUMIFS(JB_26BV,JB_B,1,JB_EX,"P-8a",JB_CC,"Electronics",JB_H,"LHA",JB_CE,"MK 2 MOD 4E Ship Self Defense System (SSDS)",JB_RC,"ALT")</f>
        <v/>
      </c>
      <c r="D88" s="37">
        <f>IFERROR(C88/C$123,0)</f>
        <v/>
      </c>
    </row>
    <row r="89" ht="10" customHeight="1">
      <c r="A89" s="30" t="inlineStr">
        <is>
          <t>AN/SPN-50 (V)1</t>
        </is>
      </c>
      <c r="B89" s="26" t="inlineStr">
        <is>
          <t>Electronics</t>
        </is>
      </c>
      <c r="C89" s="49">
        <f>SUMIFS(JB_26BV,JB_B,1,JB_EX,"P-8a",JB_CC,"Electronics",JB_H,"LHA",JB_CE,"AN/SPN-50 (V)1",JB_RC,"ALT")</f>
        <v/>
      </c>
      <c r="D89" s="37">
        <f>IFERROR(C89/C$123,0)</f>
        <v/>
      </c>
    </row>
    <row r="90" ht="10" customHeight="1">
      <c r="A90" s="30" t="inlineStr">
        <is>
          <t>AN/SLQ-32(V), Surface Warfare Improvement Program (SEWIP)</t>
        </is>
      </c>
      <c r="B90" s="26" t="inlineStr">
        <is>
          <t>Electronics</t>
        </is>
      </c>
      <c r="C90" s="49">
        <f>SUMIFS(JB_26BV,JB_B,1,JB_EX,"P-8a",JB_CC,"Electronics",JB_H,"LHA",JB_CE,"AN/SLQ-32(V), Surface Warfare Improvement Program (SEWIP)",JB_RC,"ALT")</f>
        <v/>
      </c>
      <c r="D90" s="37">
        <f>IFERROR(C90/C$123,0)</f>
        <v/>
      </c>
    </row>
    <row r="91" ht="10" customHeight="1">
      <c r="A91" s="30" t="inlineStr">
        <is>
          <t>Miscellaneous Electronics</t>
        </is>
      </c>
      <c r="B91" s="26" t="inlineStr">
        <is>
          <t>Electronics</t>
        </is>
      </c>
      <c r="C91" s="49">
        <f>SUMIFS(JB_26BV,JB_B,1,JB_EX,"P-8a",JB_CC,"Electronics",JB_H,"LHA",JB_CE,"Miscellaneous Electronics",JB_RC,"ALT")</f>
        <v/>
      </c>
      <c r="D91" s="37">
        <f>IFERROR(C91/C$123,0)</f>
        <v/>
      </c>
    </row>
    <row r="92" ht="10" customHeight="1">
      <c r="A92" s="30" t="inlineStr">
        <is>
          <t>Integrated Voice Network (IVN)</t>
        </is>
      </c>
      <c r="B92" s="26" t="inlineStr">
        <is>
          <t>Electronics</t>
        </is>
      </c>
      <c r="C92" s="49">
        <f>SUMIFS(JB_26BV,JB_B,1,JB_EX,"P-8a",JB_CC,"Electronics",JB_H,"LHA",JB_CE,"Integrated Voice Network (IVN)",JB_RC,"ALT")</f>
        <v/>
      </c>
      <c r="D92" s="37">
        <f>IFERROR(C92/C$123,0)</f>
        <v/>
      </c>
    </row>
    <row r="93" ht="10" customHeight="1">
      <c r="A93" s="30" t="inlineStr">
        <is>
          <t>AN/UPX-29(V), Identification Friend or Foe (IFF) MK12</t>
        </is>
      </c>
      <c r="B93" s="26" t="inlineStr">
        <is>
          <t>Electronics</t>
        </is>
      </c>
      <c r="C93" s="49">
        <f>SUMIFS(JB_26BV,JB_B,1,JB_EX,"P-8a",JB_CC,"Electronics",JB_H,"LHA",JB_CE,"AN/UPX-29(V), Identification Friend or Foe (IFF) MK12",JB_RC,"ALT")</f>
        <v/>
      </c>
      <c r="D93" s="37">
        <f>IFERROR(C93/C$123,0)</f>
        <v/>
      </c>
    </row>
    <row r="94" ht="10" customHeight="1">
      <c r="A94" s="30" t="inlineStr">
        <is>
          <t>AN/USG-2, Cooperative Engagement Transmission Processing Set (CETPS)</t>
        </is>
      </c>
      <c r="B94" s="26" t="inlineStr">
        <is>
          <t>Electronics</t>
        </is>
      </c>
      <c r="C94" s="49">
        <f>SUMIFS(JB_26BV,JB_B,1,JB_EX,"P-8a",JB_CC,"Electronics",JB_H,"LHA",JB_CE,"AN/USG-2, Cooperative Engagement Transmission Processing Set (CETPS)",JB_RC,"ALT")</f>
        <v/>
      </c>
      <c r="D94" s="37">
        <f>IFERROR(C94/C$123,0)</f>
        <v/>
      </c>
    </row>
    <row r="95" ht="10" customHeight="1">
      <c r="A95" s="30" t="inlineStr">
        <is>
          <t>Joint Precision Approach and Landing System (JPALS) (AN/USN-3(V)1, SSLS)</t>
        </is>
      </c>
      <c r="B95" s="26" t="inlineStr">
        <is>
          <t>Electronics</t>
        </is>
      </c>
      <c r="C95" s="49">
        <f>SUMIFS(JB_26BV,JB_B,1,JB_EX,"P-8a",JB_CC,"Electronics",JB_H,"LHA",JB_CE,"Joint Precision Approach and Landing System (JPALS) (AN/USN-3(V)1, SSLS)",JB_RC,"ALT")</f>
        <v/>
      </c>
      <c r="D95" s="37">
        <f>IFERROR(C95/C$123,0)</f>
        <v/>
      </c>
    </row>
    <row r="96" ht="10" customHeight="1">
      <c r="A96" s="30" t="inlineStr">
        <is>
          <t>USQ-82, Gigabit Ethernet Data Multiplex System (GEDMS)</t>
        </is>
      </c>
      <c r="B96" s="26" t="inlineStr">
        <is>
          <t>Electronics</t>
        </is>
      </c>
      <c r="C96" s="49">
        <f>SUMIFS(JB_26BV,JB_B,1,JB_EX,"P-8a",JB_CC,"Electronics",JB_H,"LHA",JB_CE,"USQ-82, Gigabit Ethernet Data Multiplex System (GEDMS)",JB_RC,"ALT")</f>
        <v/>
      </c>
      <c r="D96" s="37">
        <f>IFERROR(C96/C$123,0)</f>
        <v/>
      </c>
    </row>
    <row r="97" ht="10" customHeight="1">
      <c r="A97" s="30" t="inlineStr">
        <is>
          <t>Aircraft Control Approach Central AN/SPN-35C</t>
        </is>
      </c>
      <c r="B97" s="26" t="inlineStr">
        <is>
          <t>Electronics</t>
        </is>
      </c>
      <c r="C97" s="49">
        <f>SUMIFS(JB_26BV,JB_B,1,JB_EX,"P-8a",JB_CC,"Electronics",JB_H,"LHA",JB_CE,"Aircraft Control Approach Central AN/SPN-35C",JB_RC,"ALT")</f>
        <v/>
      </c>
      <c r="D97" s="37">
        <f>IFERROR(C97/C$123,0)</f>
        <v/>
      </c>
    </row>
    <row r="98" ht="10" customHeight="1">
      <c r="A98" s="30" t="inlineStr">
        <is>
          <t>Hierarchical Yet Dynamically Reprogrammable Architecture (HYDRA) AN/SRC-55</t>
        </is>
      </c>
      <c r="B98" s="26" t="inlineStr">
        <is>
          <t>Electronics</t>
        </is>
      </c>
      <c r="C98" s="49">
        <f>SUMIFS(JB_26BV,JB_B,1,JB_EX,"P-8a",JB_CC,"Electronics",JB_H,"LHA",JB_CE,"Hierarchical Yet Dynamically Reprogrammable Architecture (HYDRA) AN/SRC-55",JB_RC,"ALT")</f>
        <v/>
      </c>
      <c r="D98" s="37">
        <f>IFERROR(C98/C$123,0)</f>
        <v/>
      </c>
    </row>
    <row r="99" ht="10" customHeight="1">
      <c r="A99" s="30" t="inlineStr">
        <is>
          <t>AN/SLQ-25C, Torpedo Countermeasures Transmitting Set (NIXIE)</t>
        </is>
      </c>
      <c r="B99" s="26" t="inlineStr">
        <is>
          <t>Electronics</t>
        </is>
      </c>
      <c r="C99" s="49">
        <f>SUMIFS(JB_26BV,JB_B,1,JB_EX,"P-8a",JB_CC,"Electronics",JB_H,"LHA",JB_CE,"AN/SLQ-25C, Torpedo Countermeasures Transmitting Set (NIXIE)",JB_RC,"ALT")</f>
        <v/>
      </c>
      <c r="D99" s="37">
        <f>IFERROR(C99/C$123,0)</f>
        <v/>
      </c>
    </row>
    <row r="100" ht="10" customHeight="1">
      <c r="A100" s="30" t="inlineStr">
        <is>
          <t>Ring Laser Gyro Navigator (RLGN) AN/WSN-7</t>
        </is>
      </c>
      <c r="B100" s="26" t="inlineStr">
        <is>
          <t>Electronics</t>
        </is>
      </c>
      <c r="C100" s="49">
        <f>SUMIFS(JB_26BV,JB_B,1,JB_EX,"P-8a",JB_CC,"Electronics",JB_H,"LHA",JB_CE,"Ring Laser Gyro Navigator (RLGN) AN/WSN-7",JB_RC,"ALT")</f>
        <v/>
      </c>
      <c r="D100" s="37">
        <f>IFERROR(C100/C$123,0)</f>
        <v/>
      </c>
    </row>
    <row r="101" ht="10" customHeight="1">
      <c r="A101" s="30" t="inlineStr">
        <is>
          <t>Amphibious Air Traffic Control Direct Altitude and Identity Readout (AATC-DAIR)</t>
        </is>
      </c>
      <c r="B101" s="26" t="inlineStr">
        <is>
          <t>Electronics</t>
        </is>
      </c>
      <c r="C101" s="49">
        <f>SUMIFS(JB_26BV,JB_B,1,JB_EX,"P-8a",JB_CC,"Electronics",JB_H,"LHA",JB_CE,"Amphibious Air Traffic Control Direct Altitude and Identity Readout (AATC-DAIR)",JB_RC,"ALT")</f>
        <v/>
      </c>
      <c r="D101" s="37">
        <f>IFERROR(C101/C$123,0)</f>
        <v/>
      </c>
    </row>
    <row r="102" ht="10" customHeight="1">
      <c r="A102" s="30" t="inlineStr">
        <is>
          <t>Aircraft Approach Control Transmitting Set (AACTS) AN/SPN-41B</t>
        </is>
      </c>
      <c r="B102" s="26" t="inlineStr">
        <is>
          <t>Electronics</t>
        </is>
      </c>
      <c r="C102" s="49">
        <f>SUMIFS(JB_26BV,JB_B,1,JB_EX,"P-8a",JB_CC,"Electronics",JB_H,"LHA",JB_CE,"Aircraft Approach Control Transmitting Set (AACTS) AN/SPN-41B",JB_RC,"ALT")</f>
        <v/>
      </c>
      <c r="D102" s="37">
        <f>IFERROR(C102/C$123,0)</f>
        <v/>
      </c>
    </row>
    <row r="103" ht="10" customHeight="1">
      <c r="A103" s="30" t="inlineStr">
        <is>
          <t>Announcing Systems AN/SIA-127H</t>
        </is>
      </c>
      <c r="B103" s="26" t="inlineStr">
        <is>
          <t>Electronics</t>
        </is>
      </c>
      <c r="C103" s="49">
        <f>SUMIFS(JB_26BV,JB_B,1,JB_EX,"P-8a",JB_CC,"Electronics",JB_H,"LHA",JB_CE,"Announcing Systems AN/SIA-127H",JB_RC,"ALT")</f>
        <v/>
      </c>
      <c r="D103" s="37">
        <f>IFERROR(C103/C$123,0)</f>
        <v/>
      </c>
    </row>
    <row r="104" ht="10" customHeight="1">
      <c r="A104" s="30" t="inlineStr">
        <is>
          <t>SATCC</t>
        </is>
      </c>
      <c r="B104" s="26" t="inlineStr">
        <is>
          <t>Electronics</t>
        </is>
      </c>
      <c r="C104" s="49">
        <f>SUMIFS(JB_26BV,JB_B,1,JB_EX,"P-8a",JB_CC,"Electronics",JB_H,"LHA",JB_CE,"SATCC",JB_RC,"ALT")</f>
        <v/>
      </c>
      <c r="D104" s="37">
        <f>IFERROR(C104/C$123,0)</f>
        <v/>
      </c>
    </row>
    <row r="105" ht="10" customHeight="1">
      <c r="A105" s="30" t="inlineStr">
        <is>
          <t>Amphibious Assault Direction System (AADS)</t>
        </is>
      </c>
      <c r="B105" s="26" t="inlineStr">
        <is>
          <t>Electronics</t>
        </is>
      </c>
      <c r="C105" s="49">
        <f>SUMIFS(JB_26BV,JB_B,1,JB_EX,"P-8a",JB_CC,"Electronics",JB_H,"LHA",JB_CE,"Amphibious Assault Direction System (AADS)",JB_RC,"ALT")</f>
        <v/>
      </c>
      <c r="D105" s="37">
        <f>IFERROR(C105/C$123,0)</f>
        <v/>
      </c>
    </row>
    <row r="106" ht="10" customHeight="1">
      <c r="A106" s="30" t="inlineStr">
        <is>
          <t>30 TV</t>
        </is>
      </c>
      <c r="B106" s="26" t="inlineStr">
        <is>
          <t>Electronics</t>
        </is>
      </c>
      <c r="C106" s="49">
        <f>SUMIFS(JB_26BV,JB_B,1,JB_EX,"P-8a",JB_CC,"Electronics",JB_H,"LHA",JB_CE,"30 TV",JB_RC,"ALT")</f>
        <v/>
      </c>
      <c r="D106" s="37">
        <f>IFERROR(C106/C$123,0)</f>
        <v/>
      </c>
    </row>
    <row r="107" ht="10" customHeight="1">
      <c r="A107" s="30" t="inlineStr">
        <is>
          <t>MK 53 NULKA Decoy Launching System (DLS) Mod 3</t>
        </is>
      </c>
      <c r="B107" s="26" t="inlineStr">
        <is>
          <t>Electronics</t>
        </is>
      </c>
      <c r="C107" s="49">
        <f>SUMIFS(JB_26BV,JB_B,1,JB_EX,"P-8a",JB_CC,"Electronics",JB_H,"LHA",JB_CE,"MK 53 NULKA Decoy Launching System (DLS) Mod 3",JB_RC,"ALT")</f>
        <v/>
      </c>
      <c r="D107" s="37">
        <f>IFERROR(C107/C$123,0)</f>
        <v/>
      </c>
    </row>
    <row r="108" ht="10" customHeight="1">
      <c r="A108" s="30" t="inlineStr">
        <is>
          <t>Next Generation Navigational Radar</t>
        </is>
      </c>
      <c r="B108" s="26" t="inlineStr">
        <is>
          <t>Electronics</t>
        </is>
      </c>
      <c r="C108" s="49">
        <f>SUMIFS(JB_26BV,JB_B,1,JB_EX,"P-8a",JB_CC,"Electronics",JB_H,"LHA",JB_CE,"Next Generation Navigational Radar",JB_RC,"ALT")</f>
        <v/>
      </c>
      <c r="D108" s="37">
        <f>IFERROR(C108/C$123,0)</f>
        <v/>
      </c>
    </row>
    <row r="109" ht="10" customHeight="1">
      <c r="A109" s="30" t="inlineStr">
        <is>
          <t>AN/USQ-T46(V), Battle Force Tactical Training (BFTT)</t>
        </is>
      </c>
      <c r="B109" s="26" t="inlineStr">
        <is>
          <t>Electronics</t>
        </is>
      </c>
      <c r="C109" s="49">
        <f>SUMIFS(JB_26BV,JB_B,1,JB_EX,"P-8a",JB_CC,"Electronics",JB_H,"LHA",JB_CE,"AN/USQ-T46(V), Battle Force Tactical Training (BFTT)",JB_RC,"ALT")</f>
        <v/>
      </c>
      <c r="D109" s="37">
        <f>IFERROR(C109/C$123,0)</f>
        <v/>
      </c>
    </row>
    <row r="110" ht="10" customHeight="1">
      <c r="A110" s="30" t="inlineStr">
        <is>
          <t>Digital Photo Lab</t>
        </is>
      </c>
      <c r="B110" s="26" t="inlineStr">
        <is>
          <t>Electronics</t>
        </is>
      </c>
      <c r="C110" s="49">
        <f>SUMIFS(JB_26BV,JB_B,1,JB_EX,"P-8a",JB_CC,"Electronics",JB_H,"LHA",JB_CE,"Digital Photo Lab",JB_RC,"ALT")</f>
        <v/>
      </c>
      <c r="D110" s="37">
        <f>IFERROR(C110/C$123,0)</f>
        <v/>
      </c>
    </row>
    <row r="111" ht="10" customHeight="1">
      <c r="A111" s="30" t="inlineStr">
        <is>
          <t>Print Shop</t>
        </is>
      </c>
      <c r="B111" s="26" t="inlineStr">
        <is>
          <t>Electronics</t>
        </is>
      </c>
      <c r="C111" s="49">
        <f>SUMIFS(JB_26BV,JB_B,1,JB_EX,"P-8a",JB_CC,"Electronics",JB_H,"LHA",JB_CE,"Print Shop",JB_RC,"ALT")</f>
        <v/>
      </c>
      <c r="D111" s="37">
        <f>IFERROR(C111/C$123,0)</f>
        <v/>
      </c>
    </row>
    <row r="112" ht="10" customHeight="1">
      <c r="A112" s="30" t="inlineStr">
        <is>
          <t>Enterprise Air Surveillance Radar (EASR)</t>
        </is>
      </c>
      <c r="B112" s="26" t="inlineStr">
        <is>
          <t>Ordnance</t>
        </is>
      </c>
      <c r="C112" s="49">
        <f>SUMIFS(JB_26BV,JB_B,1,JB_EX,"P-8a",JB_CC,"Ordnance",JB_H,"LHA",JB_CE,"Enterprise Air Surveillance Radar (EASR)",JB_RC,"ALT")</f>
        <v/>
      </c>
      <c r="D112" s="37">
        <f>IFERROR(C112/C$123,0)</f>
        <v/>
      </c>
    </row>
    <row r="113" ht="10" customHeight="1">
      <c r="A113" s="30" t="inlineStr">
        <is>
          <t>NATO Sea Sparrow Missile System (NSSMS) MK 57 Mod 14</t>
        </is>
      </c>
      <c r="B113" s="26" t="inlineStr">
        <is>
          <t>Ordnance</t>
        </is>
      </c>
      <c r="C113" s="49">
        <f>SUMIFS(JB_26BV,JB_B,1,JB_EX,"P-8a",JB_CC,"Ordnance",JB_H,"LHA",JB_CE,"NATO Sea Sparrow Missile System (NSSMS) MK 57 Mod 14",JB_RC,"ALT")</f>
        <v/>
      </c>
      <c r="D113" s="37">
        <f>IFERROR(C113/C$123,0)</f>
        <v/>
      </c>
    </row>
    <row r="114" ht="10" customHeight="1">
      <c r="A114" s="30" t="inlineStr">
        <is>
          <t>MK31 Mod 3, Rolling Airframe Missile (RAM) (Tech Refresh)</t>
        </is>
      </c>
      <c r="B114" s="26" t="inlineStr">
        <is>
          <t>Ordnance</t>
        </is>
      </c>
      <c r="C114" s="49">
        <f>SUMIFS(JB_26BV,JB_B,1,JB_EX,"P-8a",JB_CC,"Ordnance",JB_H,"LHA",JB_CE,"MK31 Mod 3, Rolling Airframe Missile (RAM) (Tech Refresh)",JB_RC,"ALT")</f>
        <v/>
      </c>
      <c r="D114" s="37">
        <f>IFERROR(C114/C$123,0)</f>
        <v/>
      </c>
    </row>
    <row r="115" ht="10" customHeight="1">
      <c r="A115" s="30" t="inlineStr">
        <is>
          <t>PHALANX Block 1B MK15 Mod 21 &amp; 22, Close-in Weapon System (CIWS)</t>
        </is>
      </c>
      <c r="B115" s="26" t="inlineStr">
        <is>
          <t>Ordnance</t>
        </is>
      </c>
      <c r="C115" s="49">
        <f>SUMIFS(JB_26BV,JB_B,1,JB_EX,"P-8a",JB_CC,"Ordnance",JB_H,"LHA",JB_CE,"PHALANX Block 1B MK15 Mod 21 &amp; 22, Close-in Weapon System (CIWS)",JB_RC,"ALT")</f>
        <v/>
      </c>
      <c r="D115" s="37">
        <f>IFERROR(C115/C$123,0)</f>
        <v/>
      </c>
    </row>
    <row r="116" ht="10" customHeight="1">
      <c r="A116" s="30" t="inlineStr">
        <is>
          <t>Vertical/Stationary Take-Off Landing Optical Landing System (VSTOL OLS)</t>
        </is>
      </c>
      <c r="B116" s="26" t="inlineStr">
        <is>
          <t>Ordnance</t>
        </is>
      </c>
      <c r="C116" s="49">
        <f>SUMIFS(JB_26BV,JB_B,1,JB_EX,"P-8a",JB_CC,"Ordnance",JB_H,"LHA",JB_CE,"Vertical/Stationary Take-Off Landing Optical Landing System (VSTOL OLS)",JB_RC,"ALT")</f>
        <v/>
      </c>
      <c r="D116" s="37">
        <f>IFERROR(C116/C$123,0)</f>
        <v/>
      </c>
    </row>
    <row r="117" ht="10" customHeight="1">
      <c r="A117" s="30" t="inlineStr">
        <is>
          <t>Aviation Support</t>
        </is>
      </c>
      <c r="B117" s="26" t="inlineStr">
        <is>
          <t>Ordnance</t>
        </is>
      </c>
      <c r="C117" s="49">
        <f>SUMIFS(JB_26BV,JB_B,1,JB_EX,"P-8a",JB_CC,"Ordnance",JB_H,"LHA",JB_CE,"Aviation Support",JB_RC,"ALT")</f>
        <v/>
      </c>
      <c r="D117" s="37">
        <f>IFERROR(C117/C$123,0)</f>
        <v/>
      </c>
    </row>
    <row r="118" ht="10" customHeight="1">
      <c r="A118" s="30" t="inlineStr">
        <is>
          <t>AN/SPQ-9B Radar Set</t>
        </is>
      </c>
      <c r="B118" s="26" t="inlineStr">
        <is>
          <t>Ordnance</t>
        </is>
      </c>
      <c r="C118" s="49">
        <f>SUMIFS(JB_26BV,JB_B,1,JB_EX,"P-8a",JB_CC,"Ordnance",JB_H,"LHA",JB_CE,"AN/SPQ-9B Radar Set",JB_RC,"ALT")</f>
        <v/>
      </c>
      <c r="D118" s="37">
        <f>IFERROR(C118/C$123,0)</f>
        <v/>
      </c>
    </row>
    <row r="119" ht="10" customHeight="1">
      <c r="A119" s="30" t="inlineStr">
        <is>
          <t>MK 38 Mod 2 Stabilized Gun Stand Assembly</t>
        </is>
      </c>
      <c r="B119" s="26" t="inlineStr">
        <is>
          <t>Ordnance</t>
        </is>
      </c>
      <c r="C119" s="49">
        <f>SUMIFS(JB_26BV,JB_B,1,JB_EX,"P-8a",JB_CC,"Ordnance",JB_H,"LHA",JB_CE,"MK 38 Mod 2 Stabilized Gun Stand Assembly",JB_RC,"ALT")</f>
        <v/>
      </c>
      <c r="D119" s="37">
        <f>IFERROR(C119/C$123,0)</f>
        <v/>
      </c>
    </row>
    <row r="120" ht="10" customHeight="1">
      <c r="A120" s="30" t="inlineStr">
        <is>
          <t>Miscellaneous Ordnance</t>
        </is>
      </c>
      <c r="B120" s="26" t="inlineStr">
        <is>
          <t>Ordnance</t>
        </is>
      </c>
      <c r="C120" s="49">
        <f>SUMIFS(JB_26BV,JB_B,1,JB_EX,"P-8a",JB_CC,"Ordnance",JB_H,"LHA",JB_CE,"Miscellaneous Ordnance",JB_RC,"ALT")</f>
        <v/>
      </c>
      <c r="D120" s="37">
        <f>IFERROR(C120/C$123,0)</f>
        <v/>
      </c>
    </row>
    <row r="121" ht="10" customHeight="1">
      <c r="A121" s="30" t="inlineStr">
        <is>
          <t>MORIAH</t>
        </is>
      </c>
      <c r="B121" s="26" t="inlineStr">
        <is>
          <t>Ordnance</t>
        </is>
      </c>
      <c r="C121" s="49">
        <f>SUMIFS(JB_26BV,JB_B,1,JB_EX,"P-8a",JB_CC,"Ordnance",JB_H,"LHA",JB_CE,"MORIAH",JB_RC,"ALT")</f>
        <v/>
      </c>
      <c r="D121" s="37">
        <f>IFERROR(C121/C$123,0)</f>
        <v/>
      </c>
    </row>
    <row r="122" ht="10" customHeight="1">
      <c r="A122" s="30" t="inlineStr">
        <is>
          <t>AN/SPQ-14</t>
        </is>
      </c>
      <c r="B122" s="26" t="inlineStr">
        <is>
          <t>Ordnance</t>
        </is>
      </c>
      <c r="C122" s="49">
        <f>SUMIFS(JB_26BV,JB_B,1,JB_EX,"P-8a",JB_CC,"Ordnance",JB_H,"LHA",JB_CE,"AN/SPQ-14",JB_RC,"ALT")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Aircraft Ship Integrated Securing and Traversing System (ASIST)</t>
        </is>
      </c>
      <c r="B127" s="26" t="inlineStr">
        <is>
          <t>Hull, Mechanical, and Electrical</t>
        </is>
      </c>
      <c r="C127" s="49">
        <f>SUMIFS(JB_26BV,JB_B,1,JB_EX,"P-8a",JB_CC,"Hull, Mechanical, and Electrical",JB_H,"FFG",JB_CE,"Aircraft Ship Integrated Securing and Traversing System (ASIST)",JB_RC,"ALT")</f>
        <v/>
      </c>
      <c r="D127" s="37">
        <f>IFERROR(C127/C$145,0)</f>
        <v/>
      </c>
    </row>
    <row r="128" ht="10" customHeight="1">
      <c r="A128" s="30" t="inlineStr">
        <is>
          <t>Other HM&amp;E</t>
        </is>
      </c>
      <c r="B128" s="26" t="inlineStr">
        <is>
          <t>Hull, Mechanical, and Electrical</t>
        </is>
      </c>
      <c r="C128" s="49">
        <f>SUMIFS(JB_26BV,JB_B,1,JB_EX,"P-8a",JB_CC,"Hull, Mechanical, and Electrical",JB_H,"FFG",JB_CE,"Other HM&amp;E",JB_RC,"ALT")</f>
        <v/>
      </c>
      <c r="D128" s="37">
        <f>IFERROR(C128/C$145,0)</f>
        <v/>
      </c>
    </row>
    <row r="129" ht="10" customHeight="1">
      <c r="A129" s="30" t="inlineStr">
        <is>
          <t>Internal Communication (IC) Voice</t>
        </is>
      </c>
      <c r="B129" s="26" t="inlineStr">
        <is>
          <t>Hull, Mechanical, and Electrical</t>
        </is>
      </c>
      <c r="C129" s="49">
        <f>SUMIFS(JB_26BV,JB_B,1,JB_EX,"P-8a",JB_CC,"Hull, Mechanical, and Electrical",JB_H,"FFG",JB_CE,"Internal Communication (IC) Voice",JB_RC,"ALT")</f>
        <v/>
      </c>
      <c r="D129" s="37">
        <f>IFERROR(C129/C$145,0)</f>
        <v/>
      </c>
    </row>
    <row r="130" ht="10" customHeight="1">
      <c r="A130" s="30" t="inlineStr">
        <is>
          <t>Interior Wireless Communication System (IWCS)</t>
        </is>
      </c>
      <c r="B130" s="26" t="inlineStr">
        <is>
          <t>Hull, Mechanical, and Electrical</t>
        </is>
      </c>
      <c r="C130" s="49">
        <f>SUMIFS(JB_26BV,JB_B,1,JB_EX,"P-8a",JB_CC,"Hull, Mechanical, and Electrical",JB_H,"FFG",JB_CE,"Interior Wireless Communication System (IWCS)",JB_RC,"ALT")</f>
        <v/>
      </c>
      <c r="D130" s="37">
        <f>IFERROR(C130/C$145,0)</f>
        <v/>
      </c>
    </row>
    <row r="131" ht="10" customHeight="1">
      <c r="A131" s="30" t="inlineStr">
        <is>
          <t>Unclassified Video System (UVS)</t>
        </is>
      </c>
      <c r="B131" s="26" t="inlineStr">
        <is>
          <t>Hull, Mechanical, and Electrical</t>
        </is>
      </c>
      <c r="C131" s="49">
        <f>SUMIFS(JB_26BV,JB_B,1,JB_EX,"P-8a",JB_CC,"Hull, Mechanical, and Electrical",JB_H,"FFG",JB_CE,"Unclassified Video System (UVS)",JB_RC,"ALT")</f>
        <v/>
      </c>
      <c r="D131" s="37">
        <f>IFERROR(C131/C$145,0)</f>
        <v/>
      </c>
    </row>
    <row r="132" ht="10" customHeight="1">
      <c r="A132" s="30" t="inlineStr">
        <is>
          <t>Ship Control System-Government (SCS GOV)</t>
        </is>
      </c>
      <c r="B132" s="26" t="inlineStr">
        <is>
          <t>Hull, Mechanical, and Electrical</t>
        </is>
      </c>
      <c r="C132" s="49">
        <f>SUMIFS(JB_26BV,JB_B,1,JB_EX,"P-8a",JB_CC,"Hull, Mechanical, and Electrical",JB_H,"FFG",JB_CE,"Ship Control System-Government (SCS GOV)",JB_RC,"ALT")</f>
        <v/>
      </c>
      <c r="D132" s="37">
        <f>IFERROR(C132/C$145,0)</f>
        <v/>
      </c>
    </row>
    <row r="133" ht="10" customHeight="1">
      <c r="A133" s="30" t="inlineStr">
        <is>
          <t>Advanced Flight Deck Lighting System (AFDLS)</t>
        </is>
      </c>
      <c r="B133" s="26" t="inlineStr">
        <is>
          <t>Hull, Mechanical, and Electrical</t>
        </is>
      </c>
      <c r="C133" s="49">
        <f>SUMIFS(JB_26BV,JB_B,1,JB_EX,"P-8a",JB_CC,"Hull, Mechanical, and Electrical",JB_H,"FFG",JB_CE,"Advanced Flight Deck Lighting System (AFDLS)",JB_RC,"ALT")</f>
        <v/>
      </c>
      <c r="D133" s="37">
        <f>IFERROR(C133/C$145,0)</f>
        <v/>
      </c>
    </row>
    <row r="134" ht="10" customHeight="1">
      <c r="A134" s="30" t="inlineStr">
        <is>
          <t>Enterprise Air Surveillance Radar (EASR)</t>
        </is>
      </c>
      <c r="B134" s="26" t="inlineStr">
        <is>
          <t>Electronics</t>
        </is>
      </c>
      <c r="C134" s="49">
        <f>SUMIFS(JB_26BV,JB_B,1,JB_EX,"P-8a",JB_CC,"Electronics",JB_H,"FFG",JB_CE,"Enterprise Air Surveillance Radar (EASR)",JB_RC,"ALT")</f>
        <v/>
      </c>
      <c r="D134" s="37">
        <f>IFERROR(C134/C$145,0)</f>
        <v/>
      </c>
    </row>
    <row r="135" ht="10" customHeight="1">
      <c r="A135" s="30" t="inlineStr">
        <is>
          <t>AEGIS Weapon System (AWS)</t>
        </is>
      </c>
      <c r="B135" s="26" t="inlineStr">
        <is>
          <t>Electronics</t>
        </is>
      </c>
      <c r="C135" s="49">
        <f>SUMIFS(JB_26BV,JB_B,1,JB_EX,"P-8a",JB_CC,"Electronics",JB_H,"FFG",JB_CE,"AEGIS Weapon System (AWS)",JB_RC,"ALT")</f>
        <v/>
      </c>
      <c r="D135" s="37">
        <f>IFERROR(C135/C$145,0)</f>
        <v/>
      </c>
    </row>
    <row r="136" ht="10" customHeight="1">
      <c r="A136" s="30" t="inlineStr">
        <is>
          <t>Anti-Submarine Warfare (ASW) Combat Suite</t>
        </is>
      </c>
      <c r="B136" s="26" t="inlineStr">
        <is>
          <t>Electronics</t>
        </is>
      </c>
      <c r="C136" s="49">
        <f>SUMIFS(JB_26BV,JB_B,1,JB_EX,"P-8a",JB_CC,"Electronics",JB_H,"FFG",JB_CE,"Anti-Submarine Warfare (ASW) Combat Suite",JB_RC,"ALT")</f>
        <v/>
      </c>
      <c r="D136" s="37">
        <f>IFERROR(C136/C$145,0)</f>
        <v/>
      </c>
    </row>
    <row r="137" ht="10" customHeight="1">
      <c r="A137" s="30" t="inlineStr">
        <is>
          <t>Tactical COMINT System- Spectral</t>
        </is>
      </c>
      <c r="B137" s="26" t="inlineStr">
        <is>
          <t>Electronics</t>
        </is>
      </c>
      <c r="C137" s="49">
        <f>SUMIFS(JB_26BV,JB_B,1,JB_EX,"P-8a",JB_CC,"Electronics",JB_H,"FFG",JB_CE,"Tactical COMINT System- Spectral",JB_RC,"ALT")</f>
        <v/>
      </c>
      <c r="D137" s="37">
        <f>IFERROR(C137/C$145,0)</f>
        <v/>
      </c>
    </row>
    <row r="138" ht="10" customHeight="1">
      <c r="A138" s="30" t="inlineStr">
        <is>
          <t>External Communication Suite (EXCOMM)</t>
        </is>
      </c>
      <c r="B138" s="26" t="inlineStr">
        <is>
          <t>Electronics</t>
        </is>
      </c>
      <c r="C138" s="49">
        <f>SUMIFS(JB_26BV,JB_B,1,JB_EX,"P-8a",JB_CC,"Electronics",JB_H,"FFG",JB_CE,"External Communication Suite (EXCOMM)",JB_RC,"ALT")</f>
        <v/>
      </c>
      <c r="D138" s="37">
        <f>IFERROR(C138/C$145,0)</f>
        <v/>
      </c>
    </row>
    <row r="139" ht="10" customHeight="1">
      <c r="A139" s="30" t="inlineStr">
        <is>
          <t>Cooperative Engagement Capability (CEC)</t>
        </is>
      </c>
      <c r="B139" s="26" t="inlineStr">
        <is>
          <t>Electronics</t>
        </is>
      </c>
      <c r="C139" s="49">
        <f>SUMIFS(JB_26BV,JB_B,1,JB_EX,"P-8a",JB_CC,"Electronics",JB_H,"FFG",JB_CE,"Cooperative Engagement Capability (CEC)",JB_RC,"ALT")</f>
        <v/>
      </c>
      <c r="D139" s="37">
        <f>IFERROR(C139/C$145,0)</f>
        <v/>
      </c>
    </row>
    <row r="140" ht="10" customHeight="1">
      <c r="A140" s="30" t="inlineStr">
        <is>
          <t>Identification Friend or Foe (IFF) UPX-29</t>
        </is>
      </c>
      <c r="B140" s="26" t="inlineStr">
        <is>
          <t>Electronics</t>
        </is>
      </c>
      <c r="C140" s="49">
        <f>SUMIFS(JB_26BV,JB_B,1,JB_EX,"P-8a",JB_CC,"Electronics",JB_H,"FFG",JB_CE,"Identification Friend or Foe (IFF) UPX-29",JB_RC,"ALT")</f>
        <v/>
      </c>
      <c r="D140" s="37">
        <f>IFERROR(C140/C$145,0)</f>
        <v/>
      </c>
    </row>
    <row r="141" ht="10" customHeight="1">
      <c r="A141" s="30" t="inlineStr">
        <is>
          <t>MK 41 Vertical Launch System (VLS)- 32 Cell</t>
        </is>
      </c>
      <c r="B141" s="26" t="inlineStr">
        <is>
          <t>Ordnance</t>
        </is>
      </c>
      <c r="C141" s="49">
        <f>SUMIFS(JB_26BV,JB_B,1,JB_EX,"P-8a",JB_CC,"Ordnance",JB_H,"FFG",JB_CE,"MK 41 Vertical Launch System (VLS)- 32 Cell",JB_RC,"ALT")</f>
        <v/>
      </c>
      <c r="D141" s="37">
        <f>IFERROR(C141/C$145,0)</f>
        <v/>
      </c>
    </row>
    <row r="142" ht="10" customHeight="1">
      <c r="A142" s="30" t="inlineStr">
        <is>
          <t>MK 48 Gun Weapon System (GWS)</t>
        </is>
      </c>
      <c r="B142" s="26" t="inlineStr">
        <is>
          <t>Ordnance</t>
        </is>
      </c>
      <c r="C142" s="49">
        <f>SUMIFS(JB_26BV,JB_B,1,JB_EX,"P-8a",JB_CC,"Ordnance",JB_H,"FFG",JB_CE,"MK 48 Gun Weapon System (GWS)",JB_RC,"ALT")</f>
        <v/>
      </c>
      <c r="D142" s="37">
        <f>IFERROR(C142/C$145,0)</f>
        <v/>
      </c>
    </row>
    <row r="143" ht="10" customHeight="1">
      <c r="A143" s="30" t="inlineStr">
        <is>
          <t>Other Ordnance</t>
        </is>
      </c>
      <c r="B143" s="26" t="inlineStr">
        <is>
          <t>Ordnance</t>
        </is>
      </c>
      <c r="C143" s="49">
        <f>SUMIFS(JB_26BV,JB_B,1,JB_EX,"P-8a",JB_CC,"Ordnance",JB_H,"FFG",JB_CE,"Other Ordnance",JB_RC,"ALT")</f>
        <v/>
      </c>
      <c r="D143" s="37">
        <f>IFERROR(C143/C$145,0)</f>
        <v/>
      </c>
    </row>
    <row r="144" ht="10" customHeight="1">
      <c r="A144" s="30" t="inlineStr">
        <is>
          <t>MK 53 Decoy Launching System (DLS) (Nulka)- 4 Launcher</t>
        </is>
      </c>
      <c r="B144" s="26" t="inlineStr">
        <is>
          <t>Ordnance</t>
        </is>
      </c>
      <c r="C144" s="49">
        <f>SUMIFS(JB_26BV,JB_B,1,JB_EX,"P-8a",JB_CC,"Ordnance",JB_H,"FFG",JB_CE,"MK 53 Decoy Launching System (DLS) (Nulka)- 4 Launcher",JB_RC,"ALT")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Unclassified Video System (UVS)</t>
        </is>
      </c>
      <c r="B149" s="26" t="inlineStr">
        <is>
          <t>Hull, Mechanical, and Electrical</t>
        </is>
      </c>
      <c r="C149" s="49">
        <f>SUMIFS(JB_26BV,JB_B,1,JB_EX,"P-8a",JB_CC,"Hull, Mechanical, and Electrical",JB_H,"LPD",JB_CE,"Unclassified Video System (UVS)",JB_RC,"ALT")</f>
        <v/>
      </c>
      <c r="D149" s="37">
        <f>IFERROR(C149/C$182,0)</f>
        <v/>
      </c>
    </row>
    <row r="150" ht="10" customHeight="1">
      <c r="A150" s="30" t="inlineStr">
        <is>
          <t>Forklift Trucks</t>
        </is>
      </c>
      <c r="B150" s="26" t="inlineStr">
        <is>
          <t>Hull, Mechanical, and Electrical</t>
        </is>
      </c>
      <c r="C150" s="49">
        <f>SUMIFS(JB_26BV,JB_B,1,JB_EX,"P-8a",JB_CC,"Hull, Mechanical, and Electrical",JB_H,"LPD",JB_CE,"Forklift Trucks",JB_RC,"ALT")</f>
        <v/>
      </c>
      <c r="D150" s="37">
        <f>IFERROR(C150/C$182,0)</f>
        <v/>
      </c>
    </row>
    <row r="151" ht="10" customHeight="1">
      <c r="A151" s="30" t="inlineStr">
        <is>
          <t>Chemical Warfare Detectors</t>
        </is>
      </c>
      <c r="B151" s="26" t="inlineStr">
        <is>
          <t>Hull, Mechanical, and Electrical</t>
        </is>
      </c>
      <c r="C151" s="49">
        <f>SUMIFS(JB_26BV,JB_B,1,JB_EX,"P-8a",JB_CC,"Hull, Mechanical, and Electrical",JB_H,"LPD",JB_CE,"Chemical Warfare Detectors",JB_RC,"ALT")</f>
        <v/>
      </c>
      <c r="D151" s="37">
        <f>IFERROR(C151/C$182,0)</f>
        <v/>
      </c>
    </row>
    <row r="152" ht="10" customHeight="1">
      <c r="A152" s="30" t="inlineStr">
        <is>
          <t>Motor Operated Pilot Valve (MOPV)</t>
        </is>
      </c>
      <c r="B152" s="26" t="inlineStr">
        <is>
          <t>Hull, Mechanical, and Electrical</t>
        </is>
      </c>
      <c r="C152" s="49">
        <f>SUMIFS(JB_26BV,JB_B,1,JB_EX,"P-8a",JB_CC,"Hull, Mechanical, and Electrical",JB_H,"LPD",JB_CE,"Motor Operated Pilot Valve (MOPV)",JB_RC,"ALT")</f>
        <v/>
      </c>
      <c r="D152" s="37">
        <f>IFERROR(C152/C$182,0)</f>
        <v/>
      </c>
    </row>
    <row r="153" ht="10" customHeight="1">
      <c r="A153" s="30" t="inlineStr">
        <is>
          <t>Plastic Waste Processing EQP</t>
        </is>
      </c>
      <c r="B153" s="26" t="inlineStr">
        <is>
          <t>Hull, Mechanical, and Electrical</t>
        </is>
      </c>
      <c r="C153" s="49">
        <f>SUMIFS(JB_26BV,JB_B,1,JB_EX,"P-8a",JB_CC,"Hull, Mechanical, and Electrical",JB_H,"LPD",JB_CE,"Plastic Waste Processing EQP",JB_RC,"ALT")</f>
        <v/>
      </c>
      <c r="D153" s="37">
        <f>IFERROR(C153/C$182,0)</f>
        <v/>
      </c>
    </row>
    <row r="154" ht="10" customHeight="1">
      <c r="A154" s="30" t="inlineStr">
        <is>
          <t>Boats (Rigid Inflatable Boat, 7 meter)</t>
        </is>
      </c>
      <c r="B154" s="26" t="inlineStr">
        <is>
          <t>Hull, Mechanical, and Electrical</t>
        </is>
      </c>
      <c r="C154" s="49">
        <f>SUMIFS(JB_26BV,JB_B,1,JB_EX,"P-8a",JB_CC,"Hull, Mechanical, and Electrical",JB_H,"LPD",JB_CE,"Boats (Rigid Inflatable Boat, 7 meter)",JB_RC,"ALT")</f>
        <v/>
      </c>
      <c r="D154" s="37">
        <f>IFERROR(C154/C$182,0)</f>
        <v/>
      </c>
    </row>
    <row r="155" ht="10" customHeight="1">
      <c r="A155" s="30" t="inlineStr">
        <is>
          <t>Military Payroll System</t>
        </is>
      </c>
      <c r="B155" s="26" t="inlineStr">
        <is>
          <t>Hull, Mechanical, and Electrical</t>
        </is>
      </c>
      <c r="C155" s="49">
        <f>SUMIFS(JB_26BV,JB_B,1,JB_EX,"P-8a",JB_CC,"Hull, Mechanical, and Electrical",JB_H,"LPD",JB_CE,"Military Payroll System",JB_RC,"ALT")</f>
        <v/>
      </c>
      <c r="D155" s="37">
        <f>IFERROR(C155/C$182,0)</f>
        <v/>
      </c>
    </row>
    <row r="156" ht="10" customHeight="1">
      <c r="A156" s="30" t="inlineStr">
        <is>
          <t>Oily Water Separator</t>
        </is>
      </c>
      <c r="B156" s="26" t="inlineStr">
        <is>
          <t>Hull, Mechanical, and Electrical</t>
        </is>
      </c>
      <c r="C156" s="49">
        <f>SUMIFS(JB_26BV,JB_B,1,JB_EX,"P-8a",JB_CC,"Hull, Mechanical, and Electrical",JB_H,"LPD",JB_CE,"Oily Water Separator",JB_RC,"ALT")</f>
        <v/>
      </c>
      <c r="D156" s="37">
        <f>IFERROR(C156/C$182,0)</f>
        <v/>
      </c>
    </row>
    <row r="157" ht="10" customHeight="1">
      <c r="A157" s="30" t="inlineStr">
        <is>
          <t>C4ISR</t>
        </is>
      </c>
      <c r="B157" s="26" t="inlineStr">
        <is>
          <t>Electronics</t>
        </is>
      </c>
      <c r="C157" s="49">
        <f>SUMIFS(JB_26BV,JB_B,1,JB_EX,"P-8a",JB_CC,"Electronics",JB_H,"LPD",JB_CE,"C4ISR",JB_RC,"ALT")</f>
        <v/>
      </c>
      <c r="D157" s="37">
        <f>IFERROR(C157/C$182,0)</f>
        <v/>
      </c>
    </row>
    <row r="158" ht="10" customHeight="1">
      <c r="A158" s="30" t="inlineStr">
        <is>
          <t>Mission Systems</t>
        </is>
      </c>
      <c r="B158" s="26" t="inlineStr">
        <is>
          <t>Electronics</t>
        </is>
      </c>
      <c r="C158" s="49">
        <f>SUMIFS(JB_26BV,JB_B,1,JB_EX,"P-8a",JB_CC,"Electronics",JB_H,"LPD",JB_CE,"Mission Systems",JB_RC,"ALT")</f>
        <v/>
      </c>
      <c r="D158" s="37">
        <f>IFERROR(C158/C$182,0)</f>
        <v/>
      </c>
    </row>
    <row r="159" ht="10" customHeight="1">
      <c r="A159" s="30" t="inlineStr">
        <is>
          <t>Miscellaneous Electronics</t>
        </is>
      </c>
      <c r="B159" s="26" t="inlineStr">
        <is>
          <t>Electronics</t>
        </is>
      </c>
      <c r="C159" s="49">
        <f>SUMIFS(JB_26BV,JB_B,1,JB_EX,"P-8a",JB_CC,"Electronics",JB_H,"LPD",JB_CE,"Miscellaneous Electronics",JB_RC,"ALT")</f>
        <v/>
      </c>
      <c r="D159" s="37">
        <f>IFERROR(C159/C$182,0)</f>
        <v/>
      </c>
    </row>
    <row r="160" ht="10" customHeight="1">
      <c r="A160" s="30" t="inlineStr">
        <is>
          <t>Ship Self Defense System (SSDS)</t>
        </is>
      </c>
      <c r="B160" s="26" t="inlineStr">
        <is>
          <t>Electronics</t>
        </is>
      </c>
      <c r="C160" s="49">
        <f>SUMIFS(JB_26BV,JB_B,1,JB_EX,"P-8a",JB_CC,"Electronics",JB_H,"LPD",JB_CE,"Ship Self Defense System (SSDS)",JB_RC,"ALT")</f>
        <v/>
      </c>
      <c r="D160" s="37">
        <f>IFERROR(C160/C$182,0)</f>
        <v/>
      </c>
    </row>
    <row r="161" ht="10" customHeight="1">
      <c r="A161" s="30" t="inlineStr">
        <is>
          <t>AN/SLQ-32(V)6 Surface Electronic Warfare Improvement Program (SEWIP)</t>
        </is>
      </c>
      <c r="B161" s="26" t="inlineStr">
        <is>
          <t>Electronics</t>
        </is>
      </c>
      <c r="C161" s="49">
        <f>SUMIFS(JB_26BV,JB_B,1,JB_EX,"P-8a",JB_CC,"Electronics",JB_H,"LPD",JB_CE,"AN/SLQ-32(V)6 Surface Electronic Warfare Improvement Program (SEWIP)",JB_RC,"ALT")</f>
        <v/>
      </c>
      <c r="D161" s="37">
        <f>IFERROR(C161/C$182,0)</f>
        <v/>
      </c>
    </row>
    <row r="162" ht="10" customHeight="1">
      <c r="A162" s="30" t="inlineStr">
        <is>
          <t>Cooperative Engagement Capability (CEC)</t>
        </is>
      </c>
      <c r="B162" s="26" t="inlineStr">
        <is>
          <t>Electronics</t>
        </is>
      </c>
      <c r="C162" s="49">
        <f>SUMIFS(JB_26BV,JB_B,1,JB_EX,"P-8a",JB_CC,"Electronics",JB_H,"LPD",JB_CE,"Cooperative Engagement Capability (CEC)",JB_RC,"ALT")</f>
        <v/>
      </c>
      <c r="D162" s="37">
        <f>IFERROR(C162/C$182,0)</f>
        <v/>
      </c>
    </row>
    <row r="163" ht="10" customHeight="1">
      <c r="A163" s="30" t="inlineStr">
        <is>
          <t>Interrogator System IFF (Identification Friend or Foe)</t>
        </is>
      </c>
      <c r="B163" s="26" t="inlineStr">
        <is>
          <t>Electronics</t>
        </is>
      </c>
      <c r="C163" s="49">
        <f>SUMIFS(JB_26BV,JB_B,1,JB_EX,"P-8a",JB_CC,"Electronics",JB_H,"LPD",JB_CE,"Interrogator System IFF (Identification Friend or Foe)",JB_RC,"ALT")</f>
        <v/>
      </c>
      <c r="D163" s="37">
        <f>IFERROR(C163/C$182,0)</f>
        <v/>
      </c>
    </row>
    <row r="164" ht="10" customHeight="1">
      <c r="A164" s="30" t="inlineStr">
        <is>
          <t>IWS CSI</t>
        </is>
      </c>
      <c r="B164" s="26" t="inlineStr">
        <is>
          <t>Electronics</t>
        </is>
      </c>
      <c r="C164" s="49">
        <f>SUMIFS(JB_26BV,JB_B,1,JB_EX,"P-8a",JB_CC,"Electronics",JB_H,"LPD",JB_CE,"IWS CSI",JB_RC,"ALT")</f>
        <v/>
      </c>
      <c r="D164" s="37">
        <f>IFERROR(C164/C$182,0)</f>
        <v/>
      </c>
    </row>
    <row r="165" ht="10" customHeight="1">
      <c r="A165" s="30" t="inlineStr">
        <is>
          <t>AN/WSN-7(RLGN)</t>
        </is>
      </c>
      <c r="B165" s="26" t="inlineStr">
        <is>
          <t>Electronics</t>
        </is>
      </c>
      <c r="C165" s="49">
        <f>SUMIFS(JB_26BV,JB_B,1,JB_EX,"P-8a",JB_CC,"Electronics",JB_H,"LPD",JB_CE,"AN/WSN-7(RLGN)",JB_RC,"ALT")</f>
        <v/>
      </c>
      <c r="D165" s="37">
        <f>IFERROR(C165/C$182,0)</f>
        <v/>
      </c>
    </row>
    <row r="166" ht="10" customHeight="1">
      <c r="A166" s="30" t="inlineStr">
        <is>
          <t>HM&amp;E Condition System (HMECS)</t>
        </is>
      </c>
      <c r="B166" s="26" t="inlineStr">
        <is>
          <t>Electronics</t>
        </is>
      </c>
      <c r="C166" s="49">
        <f>SUMIFS(JB_26BV,JB_B,1,JB_EX,"P-8a",JB_CC,"Electronics",JB_H,"LPD",JB_CE,"HM&amp;E Condition System (HMECS)",JB_RC,"ALT")</f>
        <v/>
      </c>
      <c r="D166" s="37">
        <f>IFERROR(C166/C$182,0)</f>
        <v/>
      </c>
    </row>
    <row r="167" ht="10" customHeight="1">
      <c r="A167" s="30" t="inlineStr">
        <is>
          <t>Electronic Charting Display and Information Systems-Navy (ECDIS-N)</t>
        </is>
      </c>
      <c r="B167" s="26" t="inlineStr">
        <is>
          <t>Electronics</t>
        </is>
      </c>
      <c r="C167" s="49">
        <f>SUMIFS(JB_26BV,JB_B,1,JB_EX,"P-8a",JB_CC,"Electronics",JB_H,"LPD",JB_CE,"Electronic Charting Display and Information Systems-Navy (ECDIS-N)",JB_RC,"ALT")</f>
        <v/>
      </c>
      <c r="D167" s="37">
        <f>IFERROR(C167/C$182,0)</f>
        <v/>
      </c>
    </row>
    <row r="168" ht="10" customHeight="1">
      <c r="A168" s="30" t="inlineStr">
        <is>
          <t>Nulka Decoy Launching System (DLS)</t>
        </is>
      </c>
      <c r="B168" s="26" t="inlineStr">
        <is>
          <t>Electronics</t>
        </is>
      </c>
      <c r="C168" s="49">
        <f>SUMIFS(JB_26BV,JB_B,1,JB_EX,"P-8a",JB_CC,"Electronics",JB_H,"LPD",JB_CE,"Nulka Decoy Launching System (DLS)",JB_RC,"ALT")</f>
        <v/>
      </c>
      <c r="D168" s="37">
        <f>IFERROR(C168/C$182,0)</f>
        <v/>
      </c>
    </row>
    <row r="169" ht="10" customHeight="1">
      <c r="A169" s="30" t="inlineStr">
        <is>
          <t>Advanced Training Domain (ATD)</t>
        </is>
      </c>
      <c r="B169" s="26" t="inlineStr">
        <is>
          <t>Electronics</t>
        </is>
      </c>
      <c r="C169" s="49">
        <f>SUMIFS(JB_26BV,JB_B,1,JB_EX,"P-8a",JB_CC,"Electronics",JB_H,"LPD",JB_CE,"Advanced Training Domain (ATD)",JB_RC,"ALT")</f>
        <v/>
      </c>
      <c r="D169" s="37">
        <f>IFERROR(C169/C$182,0)</f>
        <v/>
      </c>
    </row>
    <row r="170" ht="10" customHeight="1">
      <c r="A170" s="30" t="inlineStr">
        <is>
          <t>Amphibious Assault Direction System (AADS)</t>
        </is>
      </c>
      <c r="B170" s="26" t="inlineStr">
        <is>
          <t>Electronics</t>
        </is>
      </c>
      <c r="C170" s="49">
        <f>SUMIFS(JB_26BV,JB_B,1,JB_EX,"P-8a",JB_CC,"Electronics",JB_H,"LPD",JB_CE,"Amphibious Assault Direction System (AADS)",JB_RC,"ALT")</f>
        <v/>
      </c>
      <c r="D170" s="37">
        <f>IFERROR(C170/C$182,0)</f>
        <v/>
      </c>
    </row>
    <row r="171" ht="10" customHeight="1">
      <c r="A171" s="30" t="inlineStr">
        <is>
          <t>DHYSL</t>
        </is>
      </c>
      <c r="B171" s="26" t="inlineStr">
        <is>
          <t>Electronics</t>
        </is>
      </c>
      <c r="C171" s="49">
        <f>SUMIFS(JB_26BV,JB_B,1,JB_EX,"P-8a",JB_CC,"Electronics",JB_H,"LPD",JB_CE,"DHYSL",JB_RC,"ALT")</f>
        <v/>
      </c>
      <c r="D171" s="37">
        <f>IFERROR(C171/C$182,0)</f>
        <v/>
      </c>
    </row>
    <row r="172" ht="10" customHeight="1">
      <c r="A172" s="30" t="inlineStr">
        <is>
          <t>AN/UQN-10</t>
        </is>
      </c>
      <c r="B172" s="26" t="inlineStr">
        <is>
          <t>Electronics</t>
        </is>
      </c>
      <c r="C172" s="49">
        <f>SUMIFS(JB_26BV,JB_B,1,JB_EX,"P-8a",JB_CC,"Electronics",JB_H,"LPD",JB_CE,"AN/UQN-10",JB_RC,"ALT")</f>
        <v/>
      </c>
      <c r="D172" s="37">
        <f>IFERROR(C172/C$182,0)</f>
        <v/>
      </c>
    </row>
    <row r="173" ht="10" customHeight="1">
      <c r="A173" s="30" t="inlineStr">
        <is>
          <t>RADIAC</t>
        </is>
      </c>
      <c r="B173" s="26" t="inlineStr">
        <is>
          <t>Electronics</t>
        </is>
      </c>
      <c r="C173" s="49">
        <f>SUMIFS(JB_26BV,JB_B,1,JB_EX,"P-8a",JB_CC,"Electronics",JB_H,"LPD",JB_CE,"RADIAC",JB_RC,"ALT")</f>
        <v/>
      </c>
      <c r="D173" s="37">
        <f>IFERROR(C173/C$182,0)</f>
        <v/>
      </c>
    </row>
    <row r="174" ht="10" customHeight="1">
      <c r="A174" s="30" t="inlineStr">
        <is>
          <t>EASR</t>
        </is>
      </c>
      <c r="B174" s="26" t="inlineStr">
        <is>
          <t>Ordnance</t>
        </is>
      </c>
      <c r="C174" s="49">
        <f>SUMIFS(JB_26BV,JB_B,1,JB_EX,"P-8a",JB_CC,"Ordnance",JB_H,"LPD",JB_CE,"EASR",JB_RC,"ALT")</f>
        <v/>
      </c>
      <c r="D174" s="37">
        <f>IFERROR(C174/C$182,0)</f>
        <v/>
      </c>
    </row>
    <row r="175" ht="10" customHeight="1">
      <c r="A175" s="30" t="inlineStr">
        <is>
          <t>RAM BLOCK II</t>
        </is>
      </c>
      <c r="B175" s="26" t="inlineStr">
        <is>
          <t>Ordnance</t>
        </is>
      </c>
      <c r="C175" s="49">
        <f>SUMIFS(JB_26BV,JB_B,1,JB_EX,"P-8a",JB_CC,"Ordnance",JB_H,"LPD",JB_CE,"RAM BLOCK II",JB_RC,"ALT")</f>
        <v/>
      </c>
      <c r="D175" s="37">
        <f>IFERROR(C175/C$182,0)</f>
        <v/>
      </c>
    </row>
    <row r="176" ht="10" customHeight="1">
      <c r="A176" s="30" t="inlineStr">
        <is>
          <t>MISCELLANEOUS ORDNANCE</t>
        </is>
      </c>
      <c r="B176" s="26" t="inlineStr">
        <is>
          <t>Ordnance</t>
        </is>
      </c>
      <c r="C176" s="49">
        <f>SUMIFS(JB_26BV,JB_B,1,JB_EX,"P-8a",JB_CC,"Ordnance",JB_H,"LPD",JB_CE,"MISCELLANEOUS ORDNANCE",JB_RC,"ALT")</f>
        <v/>
      </c>
      <c r="D176" s="37">
        <f>IFERROR(C176/C$182,0)</f>
        <v/>
      </c>
    </row>
    <row r="177" ht="10" customHeight="1">
      <c r="A177" s="30" t="inlineStr">
        <is>
          <t>MK 46 GUN</t>
        </is>
      </c>
      <c r="B177" s="26" t="inlineStr">
        <is>
          <t>Ordnance</t>
        </is>
      </c>
      <c r="C177" s="49">
        <f>SUMIFS(JB_26BV,JB_B,1,JB_EX,"P-8a",JB_CC,"Ordnance",JB_H,"LPD",JB_CE,"MK 46 GUN",JB_RC,"ALT")</f>
        <v/>
      </c>
      <c r="D177" s="37">
        <f>IFERROR(C177/C$182,0)</f>
        <v/>
      </c>
    </row>
    <row r="178" ht="10" customHeight="1">
      <c r="A178" s="30" t="inlineStr">
        <is>
          <t>AN/SPQ-9B Radar Set</t>
        </is>
      </c>
      <c r="B178" s="26" t="inlineStr">
        <is>
          <t>Ordnance</t>
        </is>
      </c>
      <c r="C178" s="49">
        <f>SUMIFS(JB_26BV,JB_B,1,JB_EX,"P-8a",JB_CC,"Ordnance",JB_H,"LPD",JB_CE,"AN/SPQ-9B Radar Set",JB_RC,"ALT")</f>
        <v/>
      </c>
      <c r="D178" s="37">
        <f>IFERROR(C178/C$182,0)</f>
        <v/>
      </c>
    </row>
    <row r="179" ht="10" customHeight="1">
      <c r="A179" s="30" t="inlineStr">
        <is>
          <t>ASGSI/HOSS/MWS Fit Control &amp; Inst Land Sys</t>
        </is>
      </c>
      <c r="B179" s="26" t="inlineStr">
        <is>
          <t>Ordnance</t>
        </is>
      </c>
      <c r="C179" s="49">
        <f>SUMIFS(JB_26BV,JB_B,1,JB_EX,"P-8a",JB_CC,"Ordnance",JB_H,"LPD",JB_CE,"ASGSI/HOSS/MWS Fit Control &amp; Inst Land Sys",JB_RC,"ALT")</f>
        <v/>
      </c>
      <c r="D179" s="37">
        <f>IFERROR(C179/C$182,0)</f>
        <v/>
      </c>
    </row>
    <row r="180" ht="10" customHeight="1">
      <c r="A180" s="30" t="inlineStr">
        <is>
          <t>Next Generation Surface Search Radar (NGSSR)</t>
        </is>
      </c>
      <c r="B180" s="26" t="inlineStr">
        <is>
          <t>Ordnance</t>
        </is>
      </c>
      <c r="C180" s="49">
        <f>SUMIFS(JB_26BV,JB_B,1,JB_EX,"P-8a",JB_CC,"Ordnance",JB_H,"LPD",JB_CE,"Next Generation Surface Search Radar (NGSSR)",JB_RC,"ALT")</f>
        <v/>
      </c>
      <c r="D180" s="37">
        <f>IFERROR(C180/C$182,0)</f>
        <v/>
      </c>
    </row>
    <row r="181" ht="10" customHeight="1">
      <c r="A181" s="30" t="inlineStr">
        <is>
          <t>ORDNANCE HANDLING EQUIPMENT</t>
        </is>
      </c>
      <c r="B181" s="26" t="inlineStr">
        <is>
          <t>Ordnance</t>
        </is>
      </c>
      <c r="C181" s="49">
        <f>SUMIFS(JB_26BV,JB_B,1,JB_EX,"P-8a",JB_CC,"Ordnance",JB_H,"LPD",JB_CE,"ORDNANCE HANDLING EQUIPMENT",JB_RC,"ALT")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Unmanned Surface Vehicles</t>
        </is>
      </c>
      <c r="B33" s="30" t="inlineStr">
        <is>
          <t>USN</t>
        </is>
      </c>
      <c r="C33"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3" s="37">
        <f>IFERROR(C33/C$53,0)</f>
        <v/>
      </c>
    </row>
    <row r="34" ht="10" customHeight="1">
      <c r="A34" s="30" t="inlineStr">
        <is>
          <t>Crane Ship</t>
        </is>
      </c>
      <c r="B34" s="30" t="inlineStr">
        <is>
          <t>USN</t>
        </is>
      </c>
      <c r="C34" s="31">
        <f>SUMIFS(JB_26BV,JB_B,2,JB_W,"Crane Ship",JB_RC,"ADD")+SUMIFS(JB_26BV,JB_B,3,JB_W,"Crane Ship",JB_RC,"ADD")+SUMIFS(JB_26BV,JB_B,4,JB_W,"Crane Ship",JB_RC,"ADD")+SUMIFS(JB_26BV,JB_B,5,JB_W,"Crane Ship",JB_RC,"ADD")+SUMIFS(JB_26BV,JB_B,6,JB_W,"Crane Ship",JB_RC,"ADD")+SUMIFS(JB_26BV,JB_B,7,JB_W,"Crane Ship",JB_RC,"ADD")</f>
        <v/>
      </c>
      <c r="D34" s="37">
        <f>IFERROR(C34/C$53,0)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IFERROR(C35/C$53,0)</f>
        <v/>
      </c>
    </row>
    <row r="36" ht="10" customHeight="1">
      <c r="A36" s="30" t="inlineStr">
        <is>
          <t>Research, Survey &amp; Instrumentation Ships</t>
        </is>
      </c>
      <c r="B36" s="30" t="inlineStr">
        <is>
          <t>MSC</t>
        </is>
      </c>
      <c r="C36"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6" s="37">
        <f>IFERROR(C36/C$53,0)</f>
        <v/>
      </c>
    </row>
    <row r="37" ht="10" customHeight="1">
      <c r="A37" s="30" t="inlineStr">
        <is>
          <t>Cargo &amp; Vehicle Cargo Ships</t>
        </is>
      </c>
      <c r="B37" s="30" t="inlineStr">
        <is>
          <t>USN</t>
        </is>
      </c>
      <c r="C37"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7" s="37">
        <f>IFERROR(C37/C$53,0)</f>
        <v/>
      </c>
    </row>
    <row r="38" ht="10" customHeight="1">
      <c r="A38" s="30" t="inlineStr">
        <is>
          <t>Unmanned Undersea Vehicles</t>
        </is>
      </c>
      <c r="B38" s="30" t="inlineStr">
        <is>
          <t>USN</t>
        </is>
      </c>
      <c r="C3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8" s="37">
        <f>IFERROR(C38/C$53,0)</f>
        <v/>
      </c>
    </row>
    <row r="39" ht="10" customHeight="1">
      <c r="A39" s="30" t="inlineStr">
        <is>
          <t>Salvage Ships &amp; Fleet Ocean Tugs</t>
        </is>
      </c>
      <c r="B39" s="30" t="inlineStr">
        <is>
          <t>MSC</t>
        </is>
      </c>
      <c r="C39"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9" s="37">
        <f>IFERROR(C39/C$53,0)</f>
        <v/>
      </c>
    </row>
    <row r="40" ht="10" customHeight="1">
      <c r="A40" s="30" t="inlineStr">
        <is>
          <t>Material Support Ships</t>
        </is>
      </c>
      <c r="B40" s="30" t="inlineStr">
        <is>
          <t>USN</t>
        </is>
      </c>
      <c r="C40"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0" s="37">
        <f>IFERROR(C40/C$53,0)</f>
        <v/>
      </c>
    </row>
    <row r="41" ht="10" customHeight="1">
      <c r="A41" s="30" t="inlineStr">
        <is>
          <t>Aviation Logistics Support Ship</t>
        </is>
      </c>
      <c r="B41" s="30" t="inlineStr">
        <is>
          <t>USN</t>
        </is>
      </c>
      <c r="C41"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1" s="37">
        <f>IFERROR(C41/C$53,0)</f>
        <v/>
      </c>
    </row>
    <row r="42" ht="10" customHeight="1">
      <c r="A42" s="30" t="inlineStr">
        <is>
          <t>Hospital Ship</t>
        </is>
      </c>
      <c r="B42" s="30" t="inlineStr">
        <is>
          <t>MSC</t>
        </is>
      </c>
      <c r="C42" s="31">
        <f>SUMIFS(JB_26BV,JB_B,2,JB_W,"Hospital Ship",JB_RC,"ADD")+SUMIFS(JB_26BV,JB_B,3,JB_W,"Hospital Ship",JB_RC,"ADD")+SUMIFS(JB_26BV,JB_B,4,JB_W,"Hospital Ship",JB_RC,"ADD")+SUMIFS(JB_26BV,JB_B,5,JB_W,"Hospital Ship",JB_RC,"ADD")+SUMIFS(JB_26BV,JB_B,6,JB_W,"Hospital Ship",JB_RC,"ADD")+SUMIFS(JB_26BV,JB_B,7,JB_W,"Hospital Ship",JB_RC,"ADD")</f>
        <v/>
      </c>
      <c r="D42" s="37">
        <f>IFERROR(C42/C$53,0)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IFERROR(C43/C$53,0)</f>
        <v/>
      </c>
    </row>
    <row r="44" ht="10" customHeight="1">
      <c r="A44" s="30" t="inlineStr">
        <is>
          <t>High Speed Transport</t>
        </is>
      </c>
      <c r="B44" s="30" t="inlineStr">
        <is>
          <t>USN</t>
        </is>
      </c>
      <c r="C44"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4" s="37">
        <f>IFERROR(C44/C$53,0)</f>
        <v/>
      </c>
    </row>
    <row r="45" ht="10" customHeight="1">
      <c r="A45" s="30" t="inlineStr">
        <is>
          <t>Submarine Escort Ship</t>
        </is>
      </c>
      <c r="B45" s="30" t="inlineStr">
        <is>
          <t>USN</t>
        </is>
      </c>
      <c r="C45"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Icebreakers, Oceangoing</t>
        </is>
      </c>
      <c r="B47" s="30" t="inlineStr">
        <is>
          <t>USCG</t>
        </is>
      </c>
      <c r="C47"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7" s="37">
        <f>IFERROR(C47/C$53,0)</f>
        <v/>
      </c>
    </row>
    <row r="48" ht="10" customHeight="1">
      <c r="A48" s="30" t="inlineStr">
        <is>
          <t>Icebreakers, Great Lakes</t>
        </is>
      </c>
      <c r="B48" s="30" t="inlineStr">
        <is>
          <t>USCG</t>
        </is>
      </c>
      <c r="C48"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8" s="37">
        <f>IFERROR(C48/C$53,0)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IFERROR(C49/C$53,0)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IFERROR(C50/C$53,0)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IFERROR(C51/C$53,0)</f>
        <v/>
      </c>
    </row>
    <row r="52" ht="10" customHeight="1">
      <c r="A52" s="30" t="inlineStr">
        <is>
          <t>Fast Response Cutters</t>
        </is>
      </c>
      <c r="B52" s="30" t="inlineStr">
        <is>
          <t>USCG</t>
        </is>
      </c>
      <c r="C52"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Material Support Ships</t>
        </is>
      </c>
      <c r="B21" s="30" t="inlineStr">
        <is>
          <t>USN</t>
        </is>
      </c>
      <c r="C21" s="31">
        <f>SUMIFS(JB_26BV,JB_B,2,JB_W,"Material Support Ships",JB_RC,"ADD")</f>
        <v/>
      </c>
      <c r="D21" s="31">
        <f>SUMIFS(JB_26BV,JB_B,4,JB_W,"Material Support Ships",JB_RC,"ADD")</f>
        <v/>
      </c>
      <c r="E21" s="31">
        <f>C21+D21</f>
        <v/>
      </c>
      <c r="F21" s="37">
        <f>IFERROR(E21/E$40,0)</f>
        <v/>
      </c>
    </row>
    <row r="22" ht="10" customHeight="1">
      <c r="A22" s="30" t="inlineStr">
        <is>
          <t>Aviation Logistics Support Ship</t>
        </is>
      </c>
      <c r="B22" s="30" t="inlineStr">
        <is>
          <t>USN</t>
        </is>
      </c>
      <c r="C22" s="31">
        <f>SUMIFS(JB_26BV,JB_B,2,JB_W,"Aviation Logistics Support Ship",JB_RC,"ADD")</f>
        <v/>
      </c>
      <c r="D22" s="31">
        <f>SUMIFS(JB_26BV,JB_B,4,JB_W,"Aviation Logistics Support Ship",JB_RC,"ADD")</f>
        <v/>
      </c>
      <c r="E22" s="31">
        <f>C22+D22</f>
        <v/>
      </c>
      <c r="F22" s="37">
        <f>IFERROR(E22/E$40,0)</f>
        <v/>
      </c>
    </row>
    <row r="23" ht="10" customHeight="1">
      <c r="A23" s="30" t="inlineStr">
        <is>
          <t>Hospital Ship</t>
        </is>
      </c>
      <c r="B23" s="30" t="inlineStr">
        <is>
          <t>MSC</t>
        </is>
      </c>
      <c r="C23" s="31">
        <f>SUMIFS(JB_26BV,JB_B,2,JB_W,"Hospital Ship",JB_RC,"ADD")</f>
        <v/>
      </c>
      <c r="D23" s="31">
        <f>SUMIFS(JB_26BV,JB_B,4,JB_W,"Hospital Ship",JB_RC,"ADD")</f>
        <v/>
      </c>
      <c r="E23" s="31">
        <f>C23+D23</f>
        <v/>
      </c>
      <c r="F23" s="37">
        <f>IFERROR(E23/E$40,0)</f>
        <v/>
      </c>
    </row>
    <row r="24" ht="10" customHeight="1">
      <c r="A24" s="30" t="inlineStr">
        <is>
          <t>Unmanned Surface Vehicles</t>
        </is>
      </c>
      <c r="B24" s="30" t="inlineStr">
        <is>
          <t>USN</t>
        </is>
      </c>
      <c r="C24" s="31">
        <f>SUMIFS(JB_26BV,JB_B,2,JB_W,"Unmanned Surface Vehicles",JB_RC,"ADD")</f>
        <v/>
      </c>
      <c r="D24" s="31">
        <f>SUMIFS(JB_26BV,JB_B,4,JB_W,"Unmanned Surface Vehicles",JB_RC,"ADD")</f>
        <v/>
      </c>
      <c r="E24" s="31">
        <f>C24+D24</f>
        <v/>
      </c>
      <c r="F24" s="37">
        <f>IFERROR(E24/E$40,0)</f>
        <v/>
      </c>
    </row>
    <row r="25" ht="10" customHeight="1">
      <c r="A25" s="30" t="inlineStr">
        <is>
          <t>Crane Ship</t>
        </is>
      </c>
      <c r="B25" s="30" t="inlineStr">
        <is>
          <t>USN</t>
        </is>
      </c>
      <c r="C25" s="31">
        <f>SUMIFS(JB_26BV,JB_B,2,JB_W,"Crane Ship",JB_RC,"ADD")</f>
        <v/>
      </c>
      <c r="D25" s="31">
        <f>SUMIFS(JB_26BV,JB_B,4,JB_W,"Crane Ship",JB_RC,"ADD")</f>
        <v/>
      </c>
      <c r="E25" s="31">
        <f>C25+D25</f>
        <v/>
      </c>
      <c r="F25" s="37">
        <f>IFERROR(E25/E$40,0)</f>
        <v/>
      </c>
    </row>
    <row r="26" ht="10" customHeight="1">
      <c r="A26" s="30" t="inlineStr">
        <is>
          <t>Combat Logistics Ships</t>
        </is>
      </c>
      <c r="B26" s="30" t="inlineStr">
        <is>
          <t>MSC</t>
        </is>
      </c>
      <c r="C26" s="31">
        <f>SUMIFS(JB_26BV,JB_B,2,JB_W,"Combat Logistics Ships",JB_RC,"ADD")</f>
        <v/>
      </c>
      <c r="D26" s="31">
        <f>SUMIFS(JB_26BV,JB_B,4,JB_W,"Combat Logistics Ships",JB_RC,"ADD")</f>
        <v/>
      </c>
      <c r="E26" s="31">
        <f>C26+D26</f>
        <v/>
      </c>
      <c r="F26" s="37">
        <f>IFERROR(E26/E$40,0)</f>
        <v/>
      </c>
    </row>
    <row r="27" ht="10" customHeight="1">
      <c r="A27" s="30" t="inlineStr">
        <is>
          <t>Research, Survey &amp; Instrumentation Ships</t>
        </is>
      </c>
      <c r="B27" s="30" t="inlineStr">
        <is>
          <t>MSC</t>
        </is>
      </c>
      <c r="C27" s="31">
        <f>SUMIFS(JB_26BV,JB_B,2,JB_W,"Research, Survey &amp; Instrumentation Ships",JB_RC,"ADD")</f>
        <v/>
      </c>
      <c r="D27" s="31">
        <f>SUMIFS(JB_26BV,JB_B,4,JB_W,"Research, Survey &amp; Instrumentation Ships",JB_RC,"ADD")</f>
        <v/>
      </c>
      <c r="E27" s="31">
        <f>C27+D27</f>
        <v/>
      </c>
      <c r="F27" s="37">
        <f>IFERROR(E27/E$40,0)</f>
        <v/>
      </c>
    </row>
    <row r="28" ht="10" customHeight="1">
      <c r="A28" s="30" t="inlineStr">
        <is>
          <t>General Auxiliary</t>
        </is>
      </c>
      <c r="B28" s="30" t="inlineStr">
        <is>
          <t>USN</t>
        </is>
      </c>
      <c r="C28" s="31">
        <f>SUMIFS(JB_26BV,JB_B,2,JB_W,"General Auxiliary",JB_RC,"ADD")</f>
        <v/>
      </c>
      <c r="D28" s="31">
        <f>SUMIFS(JB_26BV,JB_B,4,JB_W,"General Auxiliary",JB_RC,"ADD")</f>
        <v/>
      </c>
      <c r="E28" s="31">
        <f>C28+D28</f>
        <v/>
      </c>
      <c r="F28" s="37">
        <f>IFERROR(E28/E$40,0)</f>
        <v/>
      </c>
    </row>
    <row r="29" ht="10" customHeight="1">
      <c r="A29" s="30" t="inlineStr">
        <is>
          <t>Cargo &amp; Vehicle Cargo Ships</t>
        </is>
      </c>
      <c r="B29" s="30" t="inlineStr">
        <is>
          <t>USN</t>
        </is>
      </c>
      <c r="C29" s="31">
        <f>SUMIFS(JB_26BV,JB_B,2,JB_W,"Cargo &amp; Vehicle Cargo Ships",JB_RC,"ADD")</f>
        <v/>
      </c>
      <c r="D29" s="31">
        <f>SUMIFS(JB_26BV,JB_B,4,JB_W,"Cargo &amp; Vehicle Cargo Ships",JB_RC,"ADD")</f>
        <v/>
      </c>
      <c r="E29" s="31">
        <f>C29+D29</f>
        <v/>
      </c>
      <c r="F29" s="37">
        <f>IFERROR(E29/E$40,0)</f>
        <v/>
      </c>
    </row>
    <row r="30" ht="10" customHeight="1">
      <c r="A30" s="30" t="inlineStr">
        <is>
          <t>High Speed Transport</t>
        </is>
      </c>
      <c r="B30" s="30" t="inlineStr">
        <is>
          <t>USN</t>
        </is>
      </c>
      <c r="C30" s="31">
        <f>SUMIFS(JB_26BV,JB_B,2,JB_W,"High Speed Transport",JB_RC,"ADD")</f>
        <v/>
      </c>
      <c r="D30" s="31">
        <f>SUMIFS(JB_26BV,JB_B,4,JB_W,"High Speed Transport",JB_RC,"ADD")</f>
        <v/>
      </c>
      <c r="E30" s="31">
        <f>C30+D30</f>
        <v/>
      </c>
      <c r="F30" s="37">
        <f>IFERROR(E30/E$40,0)</f>
        <v/>
      </c>
    </row>
    <row r="31" ht="10" customHeight="1">
      <c r="A31" s="30" t="inlineStr">
        <is>
          <t>Submarine Escort Ship</t>
        </is>
      </c>
      <c r="B31" s="30" t="inlineStr">
        <is>
          <t>USN</t>
        </is>
      </c>
      <c r="C31" s="31">
        <f>SUMIFS(JB_26BV,JB_B,2,JB_W,"Submarine Escort Ship",JB_RC,"ADD")</f>
        <v/>
      </c>
      <c r="D31" s="31">
        <f>SUMIFS(JB_26BV,JB_B,4,JB_W,"Submarine Escort Ship",JB_RC,"ADD")</f>
        <v/>
      </c>
      <c r="E31" s="31">
        <f>C31+D31</f>
        <v/>
      </c>
      <c r="F31" s="37">
        <f>IFERROR(E31/E$40,0)</f>
        <v/>
      </c>
    </row>
    <row r="32" ht="10" customHeight="1">
      <c r="A32" s="30" t="inlineStr">
        <is>
          <t>Salvage Ships &amp; Fleet Ocean Tugs</t>
        </is>
      </c>
      <c r="B32" s="30" t="inlineStr">
        <is>
          <t>MSC</t>
        </is>
      </c>
      <c r="C32" s="31">
        <f>SUMIFS(JB_26BV,JB_B,2,JB_W,"Salvage Ships &amp; Fleet Ocean Tugs",JB_RC,"ADD")</f>
        <v/>
      </c>
      <c r="D32" s="31">
        <f>SUMIFS(JB_26BV,JB_B,4,JB_W,"Salvage Ships &amp; Fleet Ocean Tugs",JB_RC,"ADD")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Coastal Buoy Tenders</t>
        </is>
      </c>
      <c r="B34" s="30" t="inlineStr">
        <is>
          <t>USCG</t>
        </is>
      </c>
      <c r="C34" s="31">
        <f>SUMIFS(JB_26BV,JB_B,2,JB_W,"Coastal Buoy Tenders",JB_RC,"ADD")</f>
        <v/>
      </c>
      <c r="D34" s="31">
        <f>SUMIFS(JB_26BV,JB_B,4,JB_W,"Coastal Buoy Tenders",JB_RC,"ADD")</f>
        <v/>
      </c>
      <c r="E34" s="31">
        <f>C34+D34</f>
        <v/>
      </c>
      <c r="F34" s="37">
        <f>IFERROR(E34/E$40,0)</f>
        <v/>
      </c>
    </row>
    <row r="35" ht="10" customHeight="1">
      <c r="A35" s="30" t="inlineStr">
        <is>
          <t>Icebreakers, Oceangoing</t>
        </is>
      </c>
      <c r="B35" s="30" t="inlineStr">
        <is>
          <t>USCG</t>
        </is>
      </c>
      <c r="C35" s="31">
        <f>SUMIFS(JB_26BV,JB_B,2,JB_W,"Icebreakers, Oceangoing",JB_RC,"ADD")</f>
        <v/>
      </c>
      <c r="D35" s="31">
        <f>SUMIFS(JB_26BV,JB_B,4,JB_W,"Icebreakers, Oceangoing",JB_RC,"ADD")</f>
        <v/>
      </c>
      <c r="E35" s="31">
        <f>C35+D35</f>
        <v/>
      </c>
      <c r="F35" s="37">
        <f>IFERROR(E35/E$40,0)</f>
        <v/>
      </c>
    </row>
    <row r="36" ht="10" customHeight="1">
      <c r="A36" s="30" t="inlineStr">
        <is>
          <t>Icebreakers, Great Lakes</t>
        </is>
      </c>
      <c r="B36" s="30" t="inlineStr">
        <is>
          <t>USCG</t>
        </is>
      </c>
      <c r="C36" s="31">
        <f>SUMIFS(JB_26BV,JB_B,2,JB_W,"Icebreakers, Great Lakes",JB_RC,"ADD")</f>
        <v/>
      </c>
      <c r="D36" s="31">
        <f>SUMIFS(JB_26BV,JB_B,4,JB_W,"Icebreakers, Great Lakes",JB_RC,"ADD")</f>
        <v/>
      </c>
      <c r="E36" s="31">
        <f>C36+D36</f>
        <v/>
      </c>
      <c r="F36" s="37">
        <f>IFERROR(E36/E$40,0)</f>
        <v/>
      </c>
    </row>
    <row r="37" ht="10" customHeight="1">
      <c r="A37" s="30" t="inlineStr">
        <is>
          <t>Offshore Patrol Cutter</t>
        </is>
      </c>
      <c r="B37" s="30" t="inlineStr">
        <is>
          <t>USCG</t>
        </is>
      </c>
      <c r="C37" s="31">
        <f>SUMIFS(JB_26BV,JB_B,2,JB_W,"Offshore Patrol Cutter",JB_RC,"ADD")</f>
        <v/>
      </c>
      <c r="D37" s="31">
        <f>SUMIFS(JB_26BV,JB_B,4,JB_W,"Offshore Patrol Cutter",JB_RC,"ADD")</f>
        <v/>
      </c>
      <c r="E37" s="31">
        <f>C37+D37</f>
        <v/>
      </c>
      <c r="F37" s="37">
        <f>IFERROR(E37/E$40,0)</f>
        <v/>
      </c>
    </row>
    <row r="38" ht="10" customHeight="1">
      <c r="A38" s="30" t="inlineStr">
        <is>
          <t>Waterways Commerce Cutters</t>
        </is>
      </c>
      <c r="B38" s="30" t="inlineStr">
        <is>
          <t>USCG</t>
        </is>
      </c>
      <c r="C38" s="31">
        <f>SUMIFS(JB_26BV,JB_B,2,JB_W,"Waterways Commerce Cutters",JB_RC,"ADD")</f>
        <v/>
      </c>
      <c r="D38" s="31">
        <f>SUMIFS(JB_26BV,JB_B,4,JB_W,"Waterways Commerce Cutters",JB_RC,"ADD")</f>
        <v/>
      </c>
      <c r="E38" s="31">
        <f>C38+D38</f>
        <v/>
      </c>
      <c r="F38" s="37">
        <f>IFERROR(E38/E$40,0)</f>
        <v/>
      </c>
    </row>
    <row r="39" ht="10" customHeight="1">
      <c r="A39" s="30" t="inlineStr">
        <is>
          <t>Fast Response Cutters</t>
        </is>
      </c>
      <c r="B39" s="30" t="inlineStr">
        <is>
          <t>USCG</t>
        </is>
      </c>
      <c r="C39" s="31">
        <f>SUMIFS(JB_26BV,JB_B,2,JB_W,"Fast Response Cutters",JB_RC,"ADD")</f>
        <v/>
      </c>
      <c r="D39" s="31">
        <f>SUMIFS(JB_26BV,JB_B,4,JB_W,"Fast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Mine Warfare</t>
        </is>
      </c>
      <c r="B26" s="30" t="inlineStr">
        <is>
          <t>USN</t>
        </is>
      </c>
      <c r="C26" s="31">
        <f>SUMIFS(JB_27BV,JB_B,1,JB_W,"Mine Warfare",JB_RC,"ADD")</f>
        <v/>
      </c>
      <c r="D26" s="37">
        <f>IFERROR(C26/C$42,0)</f>
        <v/>
      </c>
    </row>
    <row r="27" ht="10" customHeight="1">
      <c r="A27" s="30" t="inlineStr">
        <is>
          <t>Crane Ship</t>
        </is>
      </c>
      <c r="B27" s="30" t="inlineStr">
        <is>
          <t>USN</t>
        </is>
      </c>
      <c r="C27" s="31">
        <f>SUMIFS(JB_27BV,JB_B,1,JB_W,"Crane Ship",JB_RC,"ADD")</f>
        <v/>
      </c>
      <c r="D27" s="37">
        <f>IFERROR(C27/C$42,0)</f>
        <v/>
      </c>
    </row>
    <row r="28" ht="10" customHeight="1">
      <c r="A28" s="30" t="inlineStr">
        <is>
          <t>Research, Survey &amp; Instrumentation Ships</t>
        </is>
      </c>
      <c r="B28" s="30" t="inlineStr">
        <is>
          <t>MSC</t>
        </is>
      </c>
      <c r="C28" s="31">
        <f>SUMIFS(JB_27BV,JB_B,1,JB_W,"Research, Survey &amp; Instrumentation Ships",JB_RC,"ADD")</f>
        <v/>
      </c>
      <c r="D28" s="37">
        <f>IFERROR(C28/C$42,0)</f>
        <v/>
      </c>
    </row>
    <row r="29" ht="10" customHeight="1">
      <c r="A29" s="30" t="inlineStr">
        <is>
          <t>Salvage Ships &amp; Fleet Ocean Tugs</t>
        </is>
      </c>
      <c r="B29" s="30" t="inlineStr">
        <is>
          <t>MSC</t>
        </is>
      </c>
      <c r="C29" s="31">
        <f>SUMIFS(JB_27BV,JB_B,1,JB_W,"Salvage Ships &amp; Fleet Ocean Tugs",JB_RC,"ADD")</f>
        <v/>
      </c>
      <c r="D29" s="37">
        <f>IFERROR(C29/C$42,0)</f>
        <v/>
      </c>
    </row>
    <row r="30" ht="10" customHeight="1">
      <c r="A30" s="30" t="inlineStr">
        <is>
          <t>Aviation Logistics Support Ship</t>
        </is>
      </c>
      <c r="B30" s="30" t="inlineStr">
        <is>
          <t>USN</t>
        </is>
      </c>
      <c r="C30" s="31">
        <f>SUMIFS(JB_27BV,JB_B,1,JB_W,"Aviation Logistics Support Ship",JB_RC,"ADD")</f>
        <v/>
      </c>
      <c r="D30" s="37">
        <f>IFERROR(C30/C$42,0)</f>
        <v/>
      </c>
    </row>
    <row r="31" ht="10" customHeight="1">
      <c r="A31" s="30" t="inlineStr">
        <is>
          <t>General Auxiliary</t>
        </is>
      </c>
      <c r="B31" s="30" t="inlineStr">
        <is>
          <t>USN</t>
        </is>
      </c>
      <c r="C31" s="31">
        <f>SUMIFS(JB_27BV,JB_B,1,JB_W,"General Auxiliary",JB_RC,"ADD")</f>
        <v/>
      </c>
      <c r="D31" s="37">
        <f>IFERROR(C31/C$42,0)</f>
        <v/>
      </c>
    </row>
    <row r="32" ht="10" customHeight="1">
      <c r="A32" s="30" t="inlineStr">
        <is>
          <t>High Speed Transport</t>
        </is>
      </c>
      <c r="B32" s="30" t="inlineStr">
        <is>
          <t>USN</t>
        </is>
      </c>
      <c r="C32" s="31">
        <f>SUMIFS(JB_27BV,JB_B,1,JB_W,"High Speed Transport",JB_RC,"ADD")</f>
        <v/>
      </c>
      <c r="D32" s="37">
        <f>IFERROR(C32/C$42,0)</f>
        <v/>
      </c>
    </row>
    <row r="33" ht="10" customHeight="1">
      <c r="A33" s="30" t="inlineStr">
        <is>
          <t>Submarine Escort Ship</t>
        </is>
      </c>
      <c r="B33" s="30" t="inlineStr">
        <is>
          <t>USN</t>
        </is>
      </c>
      <c r="C33" s="31">
        <f>SUMIFS(JB_27BV,JB_B,1,JB_W,"Submarine Escort Ship",JB_RC,"ADD")</f>
        <v/>
      </c>
      <c r="D33" s="37">
        <f>IFERROR(C33/C$42,0)</f>
        <v/>
      </c>
    </row>
    <row r="34" ht="10" customHeight="1">
      <c r="A34" s="30" t="inlineStr">
        <is>
          <t>Command Ships</t>
        </is>
      </c>
      <c r="B34" s="30" t="inlineStr">
        <is>
          <t>USN</t>
        </is>
      </c>
      <c r="C34" s="31">
        <f>SUMIFS(JB_27BV,JB_B,1,JB_W,"Command Ships",JB_RC,"ADD")</f>
        <v/>
      </c>
      <c r="D34" s="37">
        <f>IFERROR(C34/C$42,0)</f>
        <v/>
      </c>
    </row>
    <row r="35" ht="10" customHeight="1">
      <c r="A35" s="30" t="inlineStr">
        <is>
          <t>Icebreakers, Oceangoing</t>
        </is>
      </c>
      <c r="B35" s="30" t="inlineStr">
        <is>
          <t>USCG</t>
        </is>
      </c>
      <c r="C35" s="31">
        <f>SUMIFS(JB_27BV,JB_B,1,JB_W,"Icebreakers, Oceangoing",JB_RC,"ADD")</f>
        <v/>
      </c>
      <c r="D35" s="37">
        <f>IFERROR(C35/C$42,0)</f>
        <v/>
      </c>
    </row>
    <row r="36" ht="10" customHeight="1">
      <c r="A36" s="30" t="inlineStr">
        <is>
          <t>Icebreakers, Great Lakes</t>
        </is>
      </c>
      <c r="B36" s="30" t="inlineStr">
        <is>
          <t>USCG</t>
        </is>
      </c>
      <c r="C36" s="31">
        <f>SUMIFS(JB_27BV,JB_B,1,JB_W,"Icebreakers, Great Lakes",JB_RC,"ADD")</f>
        <v/>
      </c>
      <c r="D36" s="37">
        <f>IFERROR(C36/C$42,0)</f>
        <v/>
      </c>
    </row>
    <row r="37" ht="10" customHeight="1">
      <c r="A37" s="30" t="inlineStr">
        <is>
          <t>Offshore Patrol Cutter</t>
        </is>
      </c>
      <c r="B37" s="30" t="inlineStr">
        <is>
          <t>USCG</t>
        </is>
      </c>
      <c r="C37" s="31">
        <f>SUMIFS(JB_27BV,JB_B,1,JB_W,"Offshore Patrol Cutter",JB_RC,"ADD")</f>
        <v/>
      </c>
      <c r="D37" s="37">
        <f>IFERROR(C37/C$42,0)</f>
        <v/>
      </c>
    </row>
    <row r="38" ht="10" customHeight="1">
      <c r="A38" s="30" t="inlineStr">
        <is>
          <t>National Security Cutters</t>
        </is>
      </c>
      <c r="B38" s="30" t="inlineStr">
        <is>
          <t>USCG</t>
        </is>
      </c>
      <c r="C38" s="31">
        <f>SUMIFS(JB_27BV,JB_B,1,JB_W,"National Security Cutters",JB_RC,"ADD")</f>
        <v/>
      </c>
      <c r="D38" s="37">
        <f>IFERROR(C38/C$42,0)</f>
        <v/>
      </c>
    </row>
    <row r="39" ht="10" customHeight="1">
      <c r="A39" s="30" t="inlineStr">
        <is>
          <t>Coastal Buoy Tenders</t>
        </is>
      </c>
      <c r="B39" s="30" t="inlineStr">
        <is>
          <t>USCG</t>
        </is>
      </c>
      <c r="C39" s="31">
        <f>SUMIFS(JB_27BV,JB_B,1,JB_W,"Coastal Buoy Tenders",JB_RC,"ADD")</f>
        <v/>
      </c>
      <c r="D39" s="37">
        <f>IFERROR(C39/C$42,0)</f>
        <v/>
      </c>
    </row>
    <row r="40" ht="10" customHeight="1">
      <c r="A40" s="30" t="inlineStr">
        <is>
          <t>Waterways Commerce Cutters</t>
        </is>
      </c>
      <c r="B40" s="30" t="inlineStr">
        <is>
          <t>USCG</t>
        </is>
      </c>
      <c r="C40" s="31">
        <f>SUMIFS(JB_27BV,JB_B,1,JB_W,"Waterways Commerce Cutters",JB_RC,"ADD")</f>
        <v/>
      </c>
      <c r="D40" s="37">
        <f>IFERROR(C40/C$42,0)</f>
        <v/>
      </c>
    </row>
    <row r="41" ht="10" customHeight="1">
      <c r="A41" s="30" t="inlineStr">
        <is>
          <t>Fast Response Cutters</t>
        </is>
      </c>
      <c r="B41" s="30" t="inlineStr">
        <is>
          <t>USCG</t>
        </is>
      </c>
      <c r="C41" s="31">
        <f>SUMIFS(JB_27BV,JB_B,1,JB_W,"Fast Response Cutters",JB_RC,"ADD")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Aviation Logistics Support Ship</t>
        </is>
      </c>
      <c r="B23" s="30" t="inlineStr">
        <is>
          <t>USN</t>
        </is>
      </c>
      <c r="C23" s="31">
        <f>SUMIFS(JB_27BV,JB_B,1,JB_W,"Aviation Logistics Support Ship",JB_RC,"ADD")</f>
        <v/>
      </c>
      <c r="D23" s="37">
        <f>IFERROR(C23/C$39,0)</f>
        <v/>
      </c>
    </row>
    <row r="24" ht="10" customHeight="1">
      <c r="A24" s="30" t="inlineStr">
        <is>
          <t>Mine Warfare</t>
        </is>
      </c>
      <c r="B24" s="30" t="inlineStr">
        <is>
          <t>USN</t>
        </is>
      </c>
      <c r="C24" s="31">
        <f>SUMIFS(JB_27BV,JB_B,1,JB_W,"Mine Warfare",JB_RC,"ADD")</f>
        <v/>
      </c>
      <c r="D24" s="37">
        <f>IFERROR(C24/C$39,0)</f>
        <v/>
      </c>
    </row>
    <row r="25" ht="10" customHeight="1">
      <c r="A25" s="30" t="inlineStr">
        <is>
          <t>Crane Ship</t>
        </is>
      </c>
      <c r="B25" s="30" t="inlineStr">
        <is>
          <t>USN</t>
        </is>
      </c>
      <c r="C25" s="31">
        <f>SUMIFS(JB_27BV,JB_B,1,JB_W,"Crane Ship",JB_RC,"ADD")</f>
        <v/>
      </c>
      <c r="D25" s="37">
        <f>IFERROR(C25/C$39,0)</f>
        <v/>
      </c>
    </row>
    <row r="26" ht="10" customHeight="1">
      <c r="A26" s="30" t="inlineStr">
        <is>
          <t>Research, Survey &amp; Instrumentation Ships</t>
        </is>
      </c>
      <c r="B26" s="30" t="inlineStr">
        <is>
          <t>MSC</t>
        </is>
      </c>
      <c r="C26" s="31">
        <f>SUMIFS(JB_27BV,JB_B,1,JB_W,"Research, Survey &amp; Instrumentation Ships",JB_RC,"ADD")</f>
        <v/>
      </c>
      <c r="D26" s="37">
        <f>IFERROR(C26/C$39,0)</f>
        <v/>
      </c>
    </row>
    <row r="27" ht="10" customHeight="1">
      <c r="A27" s="30" t="inlineStr">
        <is>
          <t>General Auxiliary</t>
        </is>
      </c>
      <c r="B27" s="30" t="inlineStr">
        <is>
          <t>USN</t>
        </is>
      </c>
      <c r="C27" s="31">
        <f>SUMIFS(JB_27BV,JB_B,1,JB_W,"General Auxiliary",JB_RC,"ADD")</f>
        <v/>
      </c>
      <c r="D27" s="37">
        <f>IFERROR(C27/C$39,0)</f>
        <v/>
      </c>
    </row>
    <row r="28" ht="10" customHeight="1">
      <c r="A28" s="30" t="inlineStr">
        <is>
          <t>High Speed Transport</t>
        </is>
      </c>
      <c r="B28" s="30" t="inlineStr">
        <is>
          <t>USN</t>
        </is>
      </c>
      <c r="C28" s="31">
        <f>SUMIFS(JB_27BV,JB_B,1,JB_W,"High Speed Transport",JB_RC,"ADD")</f>
        <v/>
      </c>
      <c r="D28" s="37">
        <f>IFERROR(C28/C$39,0)</f>
        <v/>
      </c>
    </row>
    <row r="29" ht="10" customHeight="1">
      <c r="A29" s="30" t="inlineStr">
        <is>
          <t>Submarine Escort Ship</t>
        </is>
      </c>
      <c r="B29" s="30" t="inlineStr">
        <is>
          <t>USN</t>
        </is>
      </c>
      <c r="C29" s="31">
        <f>SUMIFS(JB_27BV,JB_B,1,JB_W,"Submarine Escort Ship",JB_RC,"ADD")</f>
        <v/>
      </c>
      <c r="D29" s="37">
        <f>IFERROR(C29/C$39,0)</f>
        <v/>
      </c>
    </row>
    <row r="30" ht="10" customHeight="1">
      <c r="A30" s="30" t="inlineStr">
        <is>
          <t>Command Ships</t>
        </is>
      </c>
      <c r="B30" s="30" t="inlineStr">
        <is>
          <t>USN</t>
        </is>
      </c>
      <c r="C30" s="31">
        <f>SUMIFS(JB_27BV,JB_B,1,JB_W,"Command Ships",JB_RC,"ADD")</f>
        <v/>
      </c>
      <c r="D30" s="37">
        <f>IFERROR(C30/C$39,0)</f>
        <v/>
      </c>
    </row>
    <row r="31" ht="10" customHeight="1">
      <c r="A31" s="30" t="inlineStr">
        <is>
          <t>Salvage Ships &amp; Fleet Ocean Tugs</t>
        </is>
      </c>
      <c r="B31" s="30" t="inlineStr">
        <is>
          <t>MSC</t>
        </is>
      </c>
      <c r="C31" s="31">
        <f>SUMIFS(JB_27BV,JB_B,1,JB_W,"Salvage Ships &amp; Fleet Ocean Tugs",JB_RC,"ADD")</f>
        <v/>
      </c>
      <c r="D31" s="37">
        <f>IFERROR(C31/C$39,0)</f>
        <v/>
      </c>
    </row>
    <row r="32" ht="10" customHeight="1">
      <c r="A32" s="30" t="inlineStr">
        <is>
          <t>Coastal Buoy Tenders</t>
        </is>
      </c>
      <c r="B32" s="30" t="inlineStr">
        <is>
          <t>USCG</t>
        </is>
      </c>
      <c r="C32" s="31">
        <f>SUMIFS(JB_27BV,JB_B,1,JB_W,"Coastal Buoy Tenders",JB_RC,"ADD")</f>
        <v/>
      </c>
      <c r="D32" s="37">
        <f>IFERROR(C32/C$39,0)</f>
        <v/>
      </c>
    </row>
    <row r="33" ht="10" customHeight="1">
      <c r="A33" s="30" t="inlineStr">
        <is>
          <t>Icebreakers, Oceangoing</t>
        </is>
      </c>
      <c r="B33" s="30" t="inlineStr">
        <is>
          <t>USCG</t>
        </is>
      </c>
      <c r="C33" s="31">
        <f>SUMIFS(JB_27BV,JB_B,1,JB_W,"Icebreakers, Oceangoing",JB_RC,"ADD")</f>
        <v/>
      </c>
      <c r="D33" s="37">
        <f>IFERROR(C33/C$39,0)</f>
        <v/>
      </c>
    </row>
    <row r="34" ht="10" customHeight="1">
      <c r="A34" s="30" t="inlineStr">
        <is>
          <t>Icebreakers, Great Lakes</t>
        </is>
      </c>
      <c r="B34" s="30" t="inlineStr">
        <is>
          <t>USCG</t>
        </is>
      </c>
      <c r="C34" s="31">
        <f>SUMIFS(JB_27BV,JB_B,1,JB_W,"Icebreakers, Great Lakes",JB_RC,"ADD")</f>
        <v/>
      </c>
      <c r="D34" s="37">
        <f>IFERROR(C34/C$39,0)</f>
        <v/>
      </c>
    </row>
    <row r="35" ht="10" customHeight="1">
      <c r="A35" s="30" t="inlineStr">
        <is>
          <t>Offshore Patrol Cutter</t>
        </is>
      </c>
      <c r="B35" s="30" t="inlineStr">
        <is>
          <t>USCG</t>
        </is>
      </c>
      <c r="C35" s="31">
        <f>SUMIFS(JB_27BV,JB_B,1,JB_W,"Offshore Patrol Cutter",JB_RC,"ADD")</f>
        <v/>
      </c>
      <c r="D35" s="37">
        <f>IFERROR(C35/C$39,0)</f>
        <v/>
      </c>
    </row>
    <row r="36" ht="10" customHeight="1">
      <c r="A36" s="30" t="inlineStr">
        <is>
          <t>National Security Cutters</t>
        </is>
      </c>
      <c r="B36" s="30" t="inlineStr">
        <is>
          <t>USCG</t>
        </is>
      </c>
      <c r="C36" s="31">
        <f>SUMIFS(JB_27BV,JB_B,1,JB_W,"National Security Cutters",JB_RC,"ADD")</f>
        <v/>
      </c>
      <c r="D36" s="37">
        <f>IFERROR(C36/C$39,0)</f>
        <v/>
      </c>
    </row>
    <row r="37" ht="10" customHeight="1">
      <c r="A37" s="30" t="inlineStr">
        <is>
          <t>Waterways Commerce Cutters</t>
        </is>
      </c>
      <c r="B37" s="30" t="inlineStr">
        <is>
          <t>USCG</t>
        </is>
      </c>
      <c r="C37" s="31">
        <f>SUMIFS(JB_27BV,JB_B,1,JB_W,"Waterways Commerce Cutters",JB_RC,"ADD")</f>
        <v/>
      </c>
      <c r="D37" s="37">
        <f>IFERROR(C37/C$39,0)</f>
        <v/>
      </c>
    </row>
    <row r="38" ht="10" customHeight="1">
      <c r="A38" s="30" t="inlineStr">
        <is>
          <t>Fast Response Cutters</t>
        </is>
      </c>
      <c r="B38" s="30" t="inlineStr">
        <is>
          <t>USCG</t>
        </is>
      </c>
      <c r="C38" s="31">
        <f>SUMIFS(JB_27BV,JB_B,1,JB_W,"Fast Response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Unmanned Surface Vehicles</t>
        </is>
      </c>
      <c r="B30" s="30" t="inlineStr">
        <is>
          <t>USN</t>
        </is>
      </c>
      <c r="C30"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0" s="37">
        <f>IFERROR(C30/C$51,0)</f>
        <v/>
      </c>
    </row>
    <row r="31" ht="10" customHeight="1">
      <c r="A31" s="30" t="inlineStr">
        <is>
          <t>Mine Warfare</t>
        </is>
      </c>
      <c r="B31" s="30" t="inlineStr">
        <is>
          <t>USN</t>
        </is>
      </c>
      <c r="C31" s="31">
        <f>SUMIFS(JB_27BV,JB_B,2,JB_W,"Mine Warfare",JB_RC,"ADD")+SUMIFS(JB_27BV,JB_B,3,JB_W,"Mine Warfare",JB_RC,"ADD")+SUMIFS(JB_27BV,JB_B,4,JB_W,"Mine Warfare",JB_RC,"ADD")+SUMIFS(JB_27BV,JB_B,5,JB_W,"Mine Warfare",JB_RC,"ADD")+SUMIFS(JB_27BV,JB_B,6,JB_W,"Mine Warfare",JB_RC,"ADD")+SUMIFS(JB_27BV,JB_B,7,JB_W,"Mine Warfare",JB_RC,"ADD")</f>
        <v/>
      </c>
      <c r="D31" s="37">
        <f>IFERROR(C31/C$51,0)</f>
        <v/>
      </c>
    </row>
    <row r="32" ht="10" customHeight="1">
      <c r="A32" s="30" t="inlineStr">
        <is>
          <t>Crane Ship</t>
        </is>
      </c>
      <c r="B32" s="30" t="inlineStr">
        <is>
          <t>USN</t>
        </is>
      </c>
      <c r="C32" s="31">
        <f>SUMIFS(JB_27BV,JB_B,2,JB_W,"Crane Ship",JB_RC,"ADD")+SUMIFS(JB_27BV,JB_B,3,JB_W,"Crane Ship",JB_RC,"ADD")+SUMIFS(JB_27BV,JB_B,4,JB_W,"Crane Ship",JB_RC,"ADD")+SUMIFS(JB_27BV,JB_B,5,JB_W,"Crane Ship",JB_RC,"ADD")+SUMIFS(JB_27BV,JB_B,6,JB_W,"Crane Ship",JB_RC,"ADD")+SUMIFS(JB_27BV,JB_B,7,JB_W,"Crane Ship",JB_RC,"ADD")</f>
        <v/>
      </c>
      <c r="D32" s="37">
        <f>IFERROR(C32/C$51,0)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IFERROR(C33/C$51,0)</f>
        <v/>
      </c>
    </row>
    <row r="34" ht="10" customHeight="1">
      <c r="A34" s="30" t="inlineStr">
        <is>
          <t>Research, Survey &amp; Instrumentation Ships</t>
        </is>
      </c>
      <c r="B34" s="30" t="inlineStr">
        <is>
          <t>MSC</t>
        </is>
      </c>
      <c r="C34"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4" s="37">
        <f>IFERROR(C34/C$51,0)</f>
        <v/>
      </c>
    </row>
    <row r="35" ht="10" customHeight="1">
      <c r="A35" s="30" t="inlineStr">
        <is>
          <t>Cargo &amp; Vehicle Cargo Ships</t>
        </is>
      </c>
      <c r="B35" s="30" t="inlineStr">
        <is>
          <t>USN</t>
        </is>
      </c>
      <c r="C35"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5" s="37">
        <f>IFERROR(C35/C$51,0)</f>
        <v/>
      </c>
    </row>
    <row r="36" ht="10" customHeight="1">
      <c r="A36" s="30" t="inlineStr">
        <is>
          <t>Unmanned Undersea Vehicles</t>
        </is>
      </c>
      <c r="B36" s="30" t="inlineStr">
        <is>
          <t>USN</t>
        </is>
      </c>
      <c r="C36"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6" s="37">
        <f>IFERROR(C36/C$51,0)</f>
        <v/>
      </c>
    </row>
    <row r="37" ht="10" customHeight="1">
      <c r="A37" s="30" t="inlineStr">
        <is>
          <t>Salvage Ships &amp; Fleet Ocean Tugs</t>
        </is>
      </c>
      <c r="B37" s="30" t="inlineStr">
        <is>
          <t>MSC</t>
        </is>
      </c>
      <c r="C37"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7" s="37">
        <f>IFERROR(C37/C$51,0)</f>
        <v/>
      </c>
    </row>
    <row r="38" ht="10" customHeight="1">
      <c r="A38" s="30" t="inlineStr">
        <is>
          <t>Material Support Ships</t>
        </is>
      </c>
      <c r="B38" s="30" t="inlineStr">
        <is>
          <t>USN</t>
        </is>
      </c>
      <c r="C38"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8" s="37">
        <f>IFERROR(C38/C$51,0)</f>
        <v/>
      </c>
    </row>
    <row r="39" ht="10" customHeight="1">
      <c r="A39" s="30" t="inlineStr">
        <is>
          <t>Aviation Logistics Support Ship</t>
        </is>
      </c>
      <c r="B39" s="30" t="inlineStr">
        <is>
          <t>USN</t>
        </is>
      </c>
      <c r="C39"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9" s="37">
        <f>IFERROR(C39/C$51,0)</f>
        <v/>
      </c>
    </row>
    <row r="40" ht="10" customHeight="1">
      <c r="A40" s="30" t="inlineStr">
        <is>
          <t>Hospital Ship</t>
        </is>
      </c>
      <c r="B40" s="30" t="inlineStr">
        <is>
          <t>MSC</t>
        </is>
      </c>
      <c r="C40" s="31">
        <f>SUMIFS(JB_27BV,JB_B,2,JB_W,"Hospital Ship",JB_RC,"ADD")+SUMIFS(JB_27BV,JB_B,3,JB_W,"Hospital Ship",JB_RC,"ADD")+SUMIFS(JB_27BV,JB_B,4,JB_W,"Hospital Ship",JB_RC,"ADD")+SUMIFS(JB_27BV,JB_B,5,JB_W,"Hospital Ship",JB_RC,"ADD")+SUMIFS(JB_27BV,JB_B,6,JB_W,"Hospital Ship",JB_RC,"ADD")+SUMIFS(JB_27BV,JB_B,7,JB_W,"Hospital Ship",JB_RC,"ADD")</f>
        <v/>
      </c>
      <c r="D40" s="37">
        <f>IFERROR(C40/C$51,0)</f>
        <v/>
      </c>
    </row>
    <row r="41" ht="10" customHeight="1">
      <c r="A41" s="30" t="inlineStr">
        <is>
          <t>General Auxiliary</t>
        </is>
      </c>
      <c r="B41" s="30" t="inlineStr">
        <is>
          <t>USN</t>
        </is>
      </c>
      <c r="C4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1" s="37">
        <f>IFERROR(C41/C$51,0)</f>
        <v/>
      </c>
    </row>
    <row r="42" ht="10" customHeight="1">
      <c r="A42" s="30" t="inlineStr">
        <is>
          <t>High Speed Transport</t>
        </is>
      </c>
      <c r="B42" s="30" t="inlineStr">
        <is>
          <t>USN</t>
        </is>
      </c>
      <c r="C42"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2" s="37">
        <f>IFERROR(C42/C$51,0)</f>
        <v/>
      </c>
    </row>
    <row r="43" ht="10" customHeight="1">
      <c r="A43" s="30" t="inlineStr">
        <is>
          <t>Submarine Escort Ship</t>
        </is>
      </c>
      <c r="B43" s="30" t="inlineStr">
        <is>
          <t>USN</t>
        </is>
      </c>
      <c r="C4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3" s="37">
        <f>IFERROR(C43/C$51,0)</f>
        <v/>
      </c>
    </row>
    <row r="44" ht="10" customHeight="1">
      <c r="A44" s="30" t="inlineStr">
        <is>
          <t>Icebreakers, Oceangoing</t>
        </is>
      </c>
      <c r="B44" s="30" t="inlineStr">
        <is>
          <t>USCG</t>
        </is>
      </c>
      <c r="C44"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4" s="37">
        <f>IFERROR(C44/C$51,0)</f>
        <v/>
      </c>
    </row>
    <row r="45" ht="10" customHeight="1">
      <c r="A45" s="30" t="inlineStr">
        <is>
          <t>Icebreakers, Great Lakes</t>
        </is>
      </c>
      <c r="B45" s="30" t="inlineStr">
        <is>
          <t>USCG</t>
        </is>
      </c>
      <c r="C45"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5" s="37">
        <f>IFERROR(C45/C$51,0)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IFERROR(C46/C$51,0)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IFERROR(C47/C$51,0)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IFERROR(C48/C$51,0)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IFERROR(C49/C$51,0)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Material Support Ships</t>
        </is>
      </c>
      <c r="B18" s="30" t="inlineStr">
        <is>
          <t>USN</t>
        </is>
      </c>
      <c r="C18" s="31">
        <f>SUMIFS(JB_27BV,JB_B,2,JB_W,"Material Support Ships",JB_RC,"ADD")</f>
        <v/>
      </c>
      <c r="D18" s="31">
        <f>SUMIFS(JB_27BV,JB_B,4,JB_W,"Material Support Ships",JB_RC,"ADD")</f>
        <v/>
      </c>
      <c r="E18" s="31">
        <f>C18+D18</f>
        <v/>
      </c>
      <c r="F18" s="37">
        <f>IFERROR(E18/E$40,0)</f>
        <v/>
      </c>
    </row>
    <row r="19" ht="10" customHeight="1">
      <c r="A19" s="30" t="inlineStr">
        <is>
          <t>Aviation Logistics Support Ship</t>
        </is>
      </c>
      <c r="B19" s="30" t="inlineStr">
        <is>
          <t>USN</t>
        </is>
      </c>
      <c r="C19" s="31">
        <f>SUMIFS(JB_27BV,JB_B,2,JB_W,"Aviation Logistics Support Ship",JB_RC,"ADD")</f>
        <v/>
      </c>
      <c r="D19" s="31">
        <f>SUMIFS(JB_27BV,JB_B,4,JB_W,"Aviation Logistics Support Ship",JB_RC,"ADD")</f>
        <v/>
      </c>
      <c r="E19" s="31">
        <f>C19+D19</f>
        <v/>
      </c>
      <c r="F19" s="37">
        <f>IFERROR(E19/E$40,0)</f>
        <v/>
      </c>
    </row>
    <row r="20" ht="10" customHeight="1">
      <c r="A20" s="30" t="inlineStr">
        <is>
          <t>Hospital Ship</t>
        </is>
      </c>
      <c r="B20" s="30" t="inlineStr">
        <is>
          <t>MSC</t>
        </is>
      </c>
      <c r="C20" s="31">
        <f>SUMIFS(JB_27BV,JB_B,2,JB_W,"Hospital Ship",JB_RC,"ADD")</f>
        <v/>
      </c>
      <c r="D20" s="31">
        <f>SUMIFS(JB_27BV,JB_B,4,JB_W,"Hospital Ship",JB_RC,"ADD")</f>
        <v/>
      </c>
      <c r="E20" s="31">
        <f>C20+D20</f>
        <v/>
      </c>
      <c r="F20" s="37">
        <f>IFERROR(E20/E$40,0)</f>
        <v/>
      </c>
    </row>
    <row r="21" ht="10" customHeight="1">
      <c r="A21" s="30" t="inlineStr">
        <is>
          <t>Unmanned Surface Vehicles</t>
        </is>
      </c>
      <c r="B21" s="30" t="inlineStr">
        <is>
          <t>USN</t>
        </is>
      </c>
      <c r="C21" s="31">
        <f>SUMIFS(JB_27BV,JB_B,2,JB_W,"Unmanned Surface Vehicles",JB_RC,"ADD")</f>
        <v/>
      </c>
      <c r="D21" s="31">
        <f>SUMIFS(JB_27BV,JB_B,4,JB_W,"Unmanned Surface Vehicles",JB_RC,"ADD")</f>
        <v/>
      </c>
      <c r="E21" s="31">
        <f>C21+D21</f>
        <v/>
      </c>
      <c r="F21" s="37">
        <f>IFERROR(E21/E$40,0)</f>
        <v/>
      </c>
    </row>
    <row r="22" ht="10" customHeight="1">
      <c r="A22" s="30" t="inlineStr">
        <is>
          <t>Mine Warfare</t>
        </is>
      </c>
      <c r="B22" s="30" t="inlineStr">
        <is>
          <t>USN</t>
        </is>
      </c>
      <c r="C22" s="31">
        <f>SUMIFS(JB_27BV,JB_B,2,JB_W,"Mine Warfare",JB_RC,"ADD")</f>
        <v/>
      </c>
      <c r="D22" s="31">
        <f>SUMIFS(JB_27BV,JB_B,4,JB_W,"Mine Warfare",JB_RC,"ADD")</f>
        <v/>
      </c>
      <c r="E22" s="31">
        <f>C22+D22</f>
        <v/>
      </c>
      <c r="F22" s="37">
        <f>IFERROR(E22/E$40,0)</f>
        <v/>
      </c>
    </row>
    <row r="23" ht="10" customHeight="1">
      <c r="A23" s="30" t="inlineStr">
        <is>
          <t>Crane Ship</t>
        </is>
      </c>
      <c r="B23" s="30" t="inlineStr">
        <is>
          <t>USN</t>
        </is>
      </c>
      <c r="C23" s="31">
        <f>SUMIFS(JB_27BV,JB_B,2,JB_W,"Crane Ship",JB_RC,"ADD")</f>
        <v/>
      </c>
      <c r="D23" s="31">
        <f>SUMIFS(JB_27BV,JB_B,4,JB_W,"Crane Ship",JB_RC,"ADD")</f>
        <v/>
      </c>
      <c r="E23" s="31">
        <f>C23+D23</f>
        <v/>
      </c>
      <c r="F23" s="37">
        <f>IFERROR(E23/E$40,0)</f>
        <v/>
      </c>
    </row>
    <row r="24" ht="10" customHeight="1">
      <c r="A24" s="30" t="inlineStr">
        <is>
          <t>Combat Logistics Ships</t>
        </is>
      </c>
      <c r="B24" s="30" t="inlineStr">
        <is>
          <t>MSC</t>
        </is>
      </c>
      <c r="C24" s="31">
        <f>SUMIFS(JB_27BV,JB_B,2,JB_W,"Combat Logistics Ships",JB_RC,"ADD")</f>
        <v/>
      </c>
      <c r="D24" s="31">
        <f>SUMIFS(JB_27BV,JB_B,4,JB_W,"Combat Logistics Ships",JB_RC,"ADD")</f>
        <v/>
      </c>
      <c r="E24" s="31">
        <f>C24+D24</f>
        <v/>
      </c>
      <c r="F24" s="37">
        <f>IFERROR(E24/E$40,0)</f>
        <v/>
      </c>
    </row>
    <row r="25" ht="10" customHeight="1">
      <c r="A25" s="30" t="inlineStr">
        <is>
          <t>Research, Survey &amp; Instrumentation Ships</t>
        </is>
      </c>
      <c r="B25" s="30" t="inlineStr">
        <is>
          <t>MSC</t>
        </is>
      </c>
      <c r="C25" s="31">
        <f>SUMIFS(JB_27BV,JB_B,2,JB_W,"Research, Survey &amp; Instrumentation Ships",JB_RC,"ADD")</f>
        <v/>
      </c>
      <c r="D25" s="31">
        <f>SUMIFS(JB_27BV,JB_B,4,JB_W,"Research, Survey &amp; Instrumentation Ships",JB_RC,"ADD")</f>
        <v/>
      </c>
      <c r="E25" s="31">
        <f>C25+D25</f>
        <v/>
      </c>
      <c r="F25" s="37">
        <f>IFERROR(E25/E$40,0)</f>
        <v/>
      </c>
    </row>
    <row r="26" ht="10" customHeight="1">
      <c r="A26" s="30" t="inlineStr">
        <is>
          <t>General Auxiliary</t>
        </is>
      </c>
      <c r="B26" s="30" t="inlineStr">
        <is>
          <t>USN</t>
        </is>
      </c>
      <c r="C26" s="31">
        <f>SUMIFS(JB_27BV,JB_B,2,JB_W,"General Auxiliary",JB_RC,"ADD")</f>
        <v/>
      </c>
      <c r="D26" s="31">
        <f>SUMIFS(JB_27BV,JB_B,4,JB_W,"General Auxiliary",JB_RC,"ADD")</f>
        <v/>
      </c>
      <c r="E26" s="31">
        <f>C26+D26</f>
        <v/>
      </c>
      <c r="F26" s="37">
        <f>IFERROR(E26/E$40,0)</f>
        <v/>
      </c>
    </row>
    <row r="27" ht="10" customHeight="1">
      <c r="A27" s="30" t="inlineStr">
        <is>
          <t>Expeditionary &amp; Seabasing Ships</t>
        </is>
      </c>
      <c r="B27" s="30" t="inlineStr">
        <is>
          <t>USN</t>
        </is>
      </c>
      <c r="C27" s="31">
        <f>SUMIFS(JB_27BV,JB_B,2,JB_W,"Expeditionary &amp; Seabasing Ships",JB_RC,"ADD")</f>
        <v/>
      </c>
      <c r="D27" s="31">
        <f>SUMIFS(JB_27BV,JB_B,4,JB_W,"Expeditionary &amp; Seabasing Ships",JB_RC,"ADD")</f>
        <v/>
      </c>
      <c r="E27" s="31">
        <f>C27+D27</f>
        <v/>
      </c>
      <c r="F27" s="37">
        <f>IFERROR(E27/E$40,0)</f>
        <v/>
      </c>
    </row>
    <row r="28" ht="10" customHeight="1">
      <c r="A28" s="30" t="inlineStr">
        <is>
          <t>Cargo &amp; Vehicle Cargo Ships</t>
        </is>
      </c>
      <c r="B28" s="30" t="inlineStr">
        <is>
          <t>USN</t>
        </is>
      </c>
      <c r="C28" s="31">
        <f>SUMIFS(JB_27BV,JB_B,2,JB_W,"Cargo &amp; Vehicle Cargo Ships",JB_RC,"ADD")</f>
        <v/>
      </c>
      <c r="D28" s="31">
        <f>SUMIFS(JB_27BV,JB_B,4,JB_W,"Cargo &amp; Vehicle Cargo Ships",JB_RC,"ADD")</f>
        <v/>
      </c>
      <c r="E28" s="31">
        <f>C28+D28</f>
        <v/>
      </c>
      <c r="F28" s="37">
        <f>IFERROR(E28/E$40,0)</f>
        <v/>
      </c>
    </row>
    <row r="29" ht="10" customHeight="1">
      <c r="A29" s="30" t="inlineStr">
        <is>
          <t>High Speed Transport</t>
        </is>
      </c>
      <c r="B29" s="30" t="inlineStr">
        <is>
          <t>USN</t>
        </is>
      </c>
      <c r="C29" s="31">
        <f>SUMIFS(JB_27BV,JB_B,2,JB_W,"High Speed Transport",JB_RC,"ADD")</f>
        <v/>
      </c>
      <c r="D29" s="31">
        <f>SUMIFS(JB_27BV,JB_B,4,JB_W,"High Speed Transport",JB_RC,"ADD")</f>
        <v/>
      </c>
      <c r="E29" s="31">
        <f>C29+D29</f>
        <v/>
      </c>
      <c r="F29" s="37">
        <f>IFERROR(E29/E$40,0)</f>
        <v/>
      </c>
    </row>
    <row r="30" ht="10" customHeight="1">
      <c r="A30" s="30" t="inlineStr">
        <is>
          <t>Submarine Escort Ship</t>
        </is>
      </c>
      <c r="B30" s="30" t="inlineStr">
        <is>
          <t>USN</t>
        </is>
      </c>
      <c r="C30" s="31">
        <f>SUMIFS(JB_27BV,JB_B,2,JB_W,"Submarine Escort Ship",JB_RC,"ADD")</f>
        <v/>
      </c>
      <c r="D30" s="31">
        <f>SUMIFS(JB_27BV,JB_B,4,JB_W,"Submarine Escort Ship",JB_RC,"ADD")</f>
        <v/>
      </c>
      <c r="E30" s="31">
        <f>C30+D30</f>
        <v/>
      </c>
      <c r="F30" s="37">
        <f>IFERROR(E30/E$40,0)</f>
        <v/>
      </c>
    </row>
    <row r="31" ht="10" customHeight="1">
      <c r="A31" s="30" t="inlineStr">
        <is>
          <t>Command Ships</t>
        </is>
      </c>
      <c r="B31" s="30" t="inlineStr">
        <is>
          <t>USN</t>
        </is>
      </c>
      <c r="C31" s="31">
        <f>SUMIFS(JB_27BV,JB_B,2,JB_W,"Command Ships",JB_RC,"ADD")</f>
        <v/>
      </c>
      <c r="D31" s="31">
        <f>SUMIFS(JB_27BV,JB_B,4,JB_W,"Command Ships",JB_RC,"ADD")</f>
        <v/>
      </c>
      <c r="E31" s="31">
        <f>C31+D31</f>
        <v/>
      </c>
      <c r="F31" s="37">
        <f>IFERROR(E31/E$40,0)</f>
        <v/>
      </c>
    </row>
    <row r="32" ht="10" customHeight="1">
      <c r="A32" s="30" t="inlineStr">
        <is>
          <t>Salvage Ships &amp; Fleet Ocean Tugs</t>
        </is>
      </c>
      <c r="B32" s="30" t="inlineStr">
        <is>
          <t>MSC</t>
        </is>
      </c>
      <c r="C32" s="31">
        <f>SUMIFS(JB_27BV,JB_B,2,JB_W,"Salvage Ships &amp; Fleet Ocean Tugs",JB_RC,"ADD")</f>
        <v/>
      </c>
      <c r="D32" s="31">
        <f>SUMIFS(JB_27BV,JB_B,4,JB_W,"Salvage Ships &amp; Fleet Ocean Tugs",JB_RC,"ADD")</f>
        <v/>
      </c>
      <c r="E32" s="31">
        <f>C32+D32</f>
        <v/>
      </c>
      <c r="F32" s="37">
        <f>IFERROR(E32/E$40,0)</f>
        <v/>
      </c>
    </row>
    <row r="33" ht="10" customHeight="1">
      <c r="A33" s="30" t="inlineStr">
        <is>
          <t>Coastal Buoy Tenders</t>
        </is>
      </c>
      <c r="B33" s="30" t="inlineStr">
        <is>
          <t>USCG</t>
        </is>
      </c>
      <c r="C33" s="31">
        <f>SUMIFS(JB_27BV,JB_B,2,JB_W,"Coastal Buoy Tenders",JB_RC,"ADD")</f>
        <v/>
      </c>
      <c r="D33" s="31">
        <f>SUMIFS(JB_27BV,JB_B,4,JB_W,"Coastal Buoy Tenders",JB_RC,"ADD")</f>
        <v/>
      </c>
      <c r="E33" s="31">
        <f>C33+D33</f>
        <v/>
      </c>
      <c r="F33" s="37">
        <f>IFERROR(E33/E$40,0)</f>
        <v/>
      </c>
    </row>
    <row r="34" ht="10" customHeight="1">
      <c r="A34" s="30" t="inlineStr">
        <is>
          <t>Icebreakers, Oceangoing</t>
        </is>
      </c>
      <c r="B34" s="30" t="inlineStr">
        <is>
          <t>USCG</t>
        </is>
      </c>
      <c r="C34" s="31">
        <f>SUMIFS(JB_27BV,JB_B,2,JB_W,"Icebreakers, Oceangoing",JB_RC,"ADD")</f>
        <v/>
      </c>
      <c r="D34" s="31">
        <f>SUMIFS(JB_27BV,JB_B,4,JB_W,"Icebreakers, Oceangoing",JB_RC,"ADD")</f>
        <v/>
      </c>
      <c r="E34" s="31">
        <f>C34+D34</f>
        <v/>
      </c>
      <c r="F34" s="37">
        <f>IFERROR(E34/E$40,0)</f>
        <v/>
      </c>
    </row>
    <row r="35" ht="10" customHeight="1">
      <c r="A35" s="30" t="inlineStr">
        <is>
          <t>Icebreakers, Great Lakes</t>
        </is>
      </c>
      <c r="B35" s="30" t="inlineStr">
        <is>
          <t>USCG</t>
        </is>
      </c>
      <c r="C35" s="31">
        <f>SUMIFS(JB_27BV,JB_B,2,JB_W,"Icebreakers, Great Lakes",JB_RC,"ADD")</f>
        <v/>
      </c>
      <c r="D35" s="31">
        <f>SUMIFS(JB_27BV,JB_B,4,JB_W,"Icebreakers, Great Lakes",JB_RC,"ADD")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National Security Cutters</t>
        </is>
      </c>
      <c r="B37" s="30" t="inlineStr">
        <is>
          <t>USCG</t>
        </is>
      </c>
      <c r="C37" s="31">
        <f>SUMIFS(JB_27BV,JB_B,2,JB_W,"National Security Cutters",JB_RC,"ADD")</f>
        <v/>
      </c>
      <c r="D37" s="31">
        <f>SUMIFS(JB_27BV,JB_B,4,JB_W,"National Security Cutters",JB_RC,"ADD")</f>
        <v/>
      </c>
      <c r="E37" s="31">
        <f>C37+D37</f>
        <v/>
      </c>
      <c r="F37" s="37">
        <f>IFERROR(E37/E$40,0)</f>
        <v/>
      </c>
    </row>
    <row r="38" ht="10" customHeight="1">
      <c r="A38" s="30" t="inlineStr">
        <is>
          <t>Waterways Commerce Cutters</t>
        </is>
      </c>
      <c r="B38" s="30" t="inlineStr">
        <is>
          <t>USCG</t>
        </is>
      </c>
      <c r="C38" s="31">
        <f>SUMIFS(JB_27BV,JB_B,2,JB_W,"Waterways Commerce Cutters",JB_RC,"ADD")</f>
        <v/>
      </c>
      <c r="D38" s="31">
        <f>SUMIFS(JB_27BV,JB_B,4,JB_W,"Waterways Commerce Cutters",JB_RC,"ADD")</f>
        <v/>
      </c>
      <c r="E38" s="31">
        <f>C38+D38</f>
        <v/>
      </c>
      <c r="F38" s="37">
        <f>IFERROR(E38/E$40,0)</f>
        <v/>
      </c>
    </row>
    <row r="39" ht="10" customHeight="1">
      <c r="A39" s="30" t="inlineStr">
        <is>
          <t>Fast Response Cutters</t>
        </is>
      </c>
      <c r="B39" s="30" t="inlineStr">
        <is>
          <t>USCG</t>
        </is>
      </c>
      <c r="C39" s="31">
        <f>SUMIFS(JB_27BV,JB_B,2,JB_W,"Fast Response Cutters",JB_RC,"ADD")</f>
        <v/>
      </c>
      <c r="D39" s="31">
        <f>SUMIFS(JB_27BV,JB_B,4,JB_W,"Fast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1" t="inlineStr">
        <is>
          <t>Validation</t>
        </is>
      </c>
      <c r="B1" s="51" t="n"/>
      <c r="C1" s="51" t="n"/>
      <c r="D1" s="51" t="n"/>
      <c r="E1" s="51" t="n"/>
    </row>
    <row r="2" ht="10" customHeight="1">
      <c r="A2" s="52" t="inlineStr">
        <is>
          <t>Data dictionary and validation rules for the consolidated line-item dataset</t>
        </is>
      </c>
      <c r="B2" s="53" t="n"/>
      <c r="C2" s="53" t="n"/>
      <c r="D2" s="53" t="n"/>
      <c r="E2" s="53" t="n"/>
    </row>
    <row r="3" ht="10" customHeight="1">
      <c r="A3" s="54" t="n"/>
      <c r="B3" s="54" t="n"/>
      <c r="C3" s="54" t="n"/>
      <c r="D3" s="54" t="n"/>
      <c r="E3" s="54" t="n"/>
    </row>
    <row r="4" ht="10" customHeight="1">
      <c r="A4" s="55" t="inlineStr">
        <is>
          <t>Sheet</t>
        </is>
      </c>
      <c r="B4" s="55" t="inlineStr">
        <is>
          <t>Field</t>
        </is>
      </c>
      <c r="C4" s="55" t="inlineStr">
        <is>
          <t>Value</t>
        </is>
      </c>
      <c r="D4" s="55" t="inlineStr">
        <is>
          <t>Description</t>
        </is>
      </c>
      <c r="E4" s="55" t="inlineStr">
        <is>
          <t>Notes</t>
        </is>
      </c>
    </row>
    <row r="5" ht="10" customHeight="1">
      <c r="A5" s="54" t="n"/>
      <c r="B5" s="54" t="n"/>
      <c r="C5" s="54" t="n"/>
      <c r="D5" s="54" t="n"/>
      <c r="E5" s="54" t="n"/>
    </row>
    <row r="6" ht="10" customHeight="1">
      <c r="A6" s="56" t="inlineStr">
        <is>
          <t>ROW TYPES</t>
        </is>
      </c>
      <c r="B6" s="56" t="n"/>
      <c r="C6" s="56" t="n"/>
      <c r="D6" s="57" t="n"/>
      <c r="E6" s="57" t="n"/>
    </row>
    <row r="7" ht="10" customHeight="1">
      <c r="A7" s="58" t="n"/>
      <c r="B7" s="58" t="n"/>
      <c r="C7" s="58" t="n"/>
      <c r="D7" s="58" t="n"/>
      <c r="E7" s="58" t="n"/>
    </row>
    <row r="8" ht="10" customHeight="1">
      <c r="A8" s="58" t="inlineStr">
        <is>
          <t>Row Types</t>
        </is>
      </c>
      <c r="B8" s="58" t="inlineStr">
        <is>
          <t>Tag</t>
        </is>
      </c>
      <c r="C8" s="58" t="inlineStr">
        <is>
          <t>(no tag)</t>
        </is>
      </c>
      <c r="D8" s="58" t="inlineStr">
        <is>
          <t>Additive — safe to sum for TAM totals. This row represents a standalone budget line item whose funding is not double-counted elsewhere in the file.</t>
        </is>
      </c>
      <c r="E8" s="58" t="inlineStr">
        <is>
          <t>TAM = sum of all (no tag) + [PARENT] rows</t>
        </is>
      </c>
    </row>
    <row r="9" ht="10" customHeight="1">
      <c r="A9" s="58" t="inlineStr">
        <is>
          <t>Row Types</t>
        </is>
      </c>
      <c r="B9" s="58" t="inlineStr">
        <is>
          <t>Tag</t>
        </is>
      </c>
      <c r="C9" s="58" t="inlineStr">
        <is>
          <t>[PARENT]</t>
        </is>
      </c>
      <c r="D9" s="58" t="inlineStr">
        <is>
          <t>Parent row whose children carry the detail. The parent holds the aggregate total; its [SUB] children break that total into components.</t>
        </is>
      </c>
      <c r="E9" s="58" t="inlineStr">
        <is>
          <t>Include in TAM sum alongside (no tag). Do NOT also sum the [SUB] children — that would double-count.</t>
        </is>
      </c>
    </row>
    <row r="10" ht="10" customHeight="1">
      <c r="A10" s="58" t="inlineStr">
        <is>
          <t>Row Types</t>
        </is>
      </c>
      <c r="B10" s="58" t="inlineStr">
        <is>
          <t>Tag</t>
        </is>
      </c>
      <c r="C10" s="58" t="inlineStr">
        <is>
          <t>[SUB]</t>
        </is>
      </c>
      <c r="D10" s="58" t="inlineStr">
        <is>
          <t>Sub-item breakdown of a parent. Provides granular detail but double-counts if summed with the parent row.</t>
        </is>
      </c>
      <c r="E10" s="58" t="inlineStr">
        <is>
          <t>Parent Item column points to the parent row (by Line Number and/or Title). Exclude from TAM sum if you are already summing [PARENT].</t>
        </is>
      </c>
    </row>
    <row r="11" ht="10" customHeight="1">
      <c r="A11" s="58" t="inlineStr">
        <is>
          <t>Row Types</t>
        </is>
      </c>
      <c r="B11" s="58" t="inlineStr">
        <is>
          <t>Tag</t>
        </is>
      </c>
      <c r="C11" s="58" t="inlineStr">
        <is>
          <t>[ALT_VIEW]</t>
        </is>
      </c>
      <c r="D11" s="58" t="inlineStr">
        <is>
          <t>Alternative cut of the same money — e.g., availability types vs. individual hulls, or P-5c cost breakdowns vs. P-40 line items.</t>
        </is>
      </c>
      <c r="E11" s="58" t="inlineStr">
        <is>
          <t>Parent Item column indicates what this is an alternative view of. Always exclude from TAM sums.</t>
        </is>
      </c>
    </row>
    <row r="12" ht="10" customHeight="1">
      <c r="A12" s="58" t="inlineStr">
        <is>
          <t>Row Types</t>
        </is>
      </c>
      <c r="B12" s="58" t="inlineStr">
        <is>
          <t>Tag</t>
        </is>
      </c>
      <c r="C12" s="58" t="inlineStr">
        <is>
          <t>[UNFUNDED]</t>
        </is>
      </c>
      <c r="D12" s="58" t="inlineStr">
        <is>
          <t>Deferred maintenance or unfunded requirements — real need identified in the budget justification but NOT included in the enacted/requested funding.</t>
        </is>
      </c>
      <c r="E12" s="58" t="inlineStr">
        <is>
          <t>Exclude from TAM. Useful for gap analysis (funded vs. required).</t>
        </is>
      </c>
    </row>
    <row r="13" ht="10" customHeight="1">
      <c r="A13" s="58" t="inlineStr">
        <is>
          <t>Row Types</t>
        </is>
      </c>
      <c r="B13" s="58" t="inlineStr">
        <is>
          <t>Tag</t>
        </is>
      </c>
      <c r="C13" s="58" t="inlineStr">
        <is>
          <t>[REFERENCE]</t>
        </is>
      </c>
      <c r="D13" s="58" t="inlineStr">
        <is>
          <t>Context data that is not additive — unit costs, O&amp;S program changes, revolving fund notes, weapon system cost tables.</t>
        </is>
      </c>
      <c r="E13" s="58" t="inlineStr">
        <is>
          <t>Exclude from TAM. Included for analytical context only.</t>
        </is>
      </c>
    </row>
    <row r="14" ht="10" customHeight="1">
      <c r="A14" s="54" t="n"/>
      <c r="B14" s="54" t="n"/>
      <c r="C14" s="54" t="n"/>
      <c r="D14" s="54" t="n"/>
      <c r="E14" s="54" t="n"/>
    </row>
    <row r="15" ht="10" customHeight="1">
      <c r="A15" s="56" t="inlineStr">
        <is>
          <t>TAM FORMULA</t>
        </is>
      </c>
      <c r="B15" s="56" t="n"/>
      <c r="C15" s="56" t="n"/>
      <c r="D15" s="57" t="n"/>
      <c r="E15" s="57" t="n"/>
    </row>
    <row r="16" ht="10" customHeight="1">
      <c r="A16" s="58" t="n"/>
      <c r="B16" s="58" t="n"/>
      <c r="C16" s="58" t="n"/>
      <c r="D16" s="58" t="n"/>
      <c r="E16" s="58" t="n"/>
    </row>
    <row r="17" ht="10" customHeight="1">
      <c r="A17" s="58" t="inlineStr">
        <is>
          <t>TAM Formula</t>
        </is>
      </c>
      <c r="B17" s="58" t="inlineStr">
        <is>
          <t>Formula</t>
        </is>
      </c>
      <c r="C17" s="58" t="inlineStr">
        <is>
          <t>FY2026 TAM = SUM(FY2026_Funding_K) WHERE Row_Type IN ('', '[PARENT]')</t>
        </is>
      </c>
      <c r="D17" s="58"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58"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58" t="inlineStr">
        <is>
          <t>TAM Formula</t>
        </is>
      </c>
      <c r="B18" s="58" t="inlineStr">
        <is>
          <t>Note</t>
        </is>
      </c>
      <c r="C18" s="58" t="inlineStr">
        <is>
          <t>Double-counting guard</t>
        </is>
      </c>
      <c r="D18" s="58" t="inlineStr">
        <is>
          <t>Never sum [PARENT] and its [SUB] children together. Never sum [ALT_VIEW] with either [PARENT] or (no tag) rows.</t>
        </is>
      </c>
      <c r="E18" s="58" t="n"/>
    </row>
    <row r="19" ht="10" customHeight="1">
      <c r="A19" s="58" t="inlineStr">
        <is>
          <t>TAM Formula</t>
        </is>
      </c>
      <c r="B19" s="58" t="inlineStr">
        <is>
          <t>Note</t>
        </is>
      </c>
      <c r="C19" s="58" t="inlineStr">
        <is>
          <t>OPN_BA4 convention</t>
        </is>
      </c>
      <c r="D19" s="58" t="inlineStr">
        <is>
          <t>OPN_BA4 has zero (no tag) rows — all items are [PARENT] or [SUB]. TAM for BA4 = sum of [PARENT] rows only.</t>
        </is>
      </c>
      <c r="E19" s="58" t="n"/>
    </row>
    <row r="20" ht="10" customHeight="1">
      <c r="A20" s="58" t="inlineStr">
        <is>
          <t>TAM Formula</t>
        </is>
      </c>
      <c r="B20" s="58" t="inlineStr">
        <is>
          <t>Note</t>
        </is>
      </c>
      <c r="C20" s="58" t="inlineStr">
        <is>
          <t>Cross-book overlap</t>
        </is>
      </c>
      <c r="D20" s="58" t="inlineStr">
        <is>
          <t>NWCF and OMN fund some of the same activities (NWCF is a revolving fund reimbursed by OMN). Use Source_Book to isolate when needed.</t>
        </is>
      </c>
      <c r="E20" s="58" t="n"/>
    </row>
    <row r="21" ht="10" customHeight="1">
      <c r="A21" s="54" t="n"/>
      <c r="B21" s="54" t="n"/>
      <c r="C21" s="54" t="n"/>
      <c r="D21" s="54" t="n"/>
      <c r="E21" s="54" t="n"/>
    </row>
    <row r="22" ht="10" customHeight="1">
      <c r="A22" s="56" t="inlineStr">
        <is>
          <t>BUCKET DEFINITIONS</t>
        </is>
      </c>
      <c r="B22" s="56" t="n"/>
      <c r="C22" s="56" t="n"/>
      <c r="D22" s="57" t="n"/>
      <c r="E22" s="57" t="n"/>
    </row>
    <row r="23" ht="10" customHeight="1">
      <c r="A23" s="58" t="n"/>
      <c r="B23" s="58" t="n"/>
      <c r="C23" s="58" t="n"/>
      <c r="D23" s="58" t="n"/>
      <c r="E23" s="58" t="n"/>
    </row>
    <row r="24" ht="10" customHeight="1">
      <c r="A24" s="58" t="inlineStr">
        <is>
          <t>Buckets</t>
        </is>
      </c>
      <c r="B24" s="58" t="inlineStr">
        <is>
          <t>Bucket #</t>
        </is>
      </c>
      <c r="C24" s="58" t="inlineStr">
        <is>
          <t>1</t>
        </is>
      </c>
      <c r="D24" s="58" t="inlineStr">
        <is>
          <t>New Construction — Design, construction, and delivery of new vessels from detail design through sea trials.</t>
        </is>
      </c>
      <c r="E24" s="58" t="inlineStr">
        <is>
          <t>Primary budget anchors: SCN (Navy), PC&amp;I (USCG). Keywords: DD&amp;C, LLTM, advance procurement.</t>
        </is>
      </c>
    </row>
    <row r="25" ht="10" customHeight="1">
      <c r="A25" s="58" t="inlineStr">
        <is>
          <t>Buckets</t>
        </is>
      </c>
      <c r="B25" s="58" t="inlineStr">
        <is>
          <t>Bucket #</t>
        </is>
      </c>
      <c r="C25" s="58" t="inlineStr">
        <is>
          <t>2</t>
        </is>
      </c>
      <c r="D25" s="58" t="inlineStr">
        <is>
          <t>Scheduled Depot Maintenance &amp; Repair — Planned depot-level work to restore/sustain material condition during CNO-scheduled availabilities.</t>
        </is>
      </c>
      <c r="E25" s="58" t="inlineStr">
        <is>
          <t>Primary budget anchor: O&amp;M,N SAG 1B4B Ship Depot Maintenance. Keywords: DSRA, SRA, DPMA, PMA, PIA, ROH, overhaul, drydock.</t>
        </is>
      </c>
    </row>
    <row r="26" ht="10" customHeight="1">
      <c r="A26" s="58" t="inlineStr">
        <is>
          <t>Buckets</t>
        </is>
      </c>
      <c r="B26" s="58" t="inlineStr">
        <is>
          <t>Bucket #</t>
        </is>
      </c>
      <c r="C26" s="58" t="inlineStr">
        <is>
          <t>3</t>
        </is>
      </c>
      <c r="D26" s="58" t="inlineStr">
        <is>
          <t>Continuous / Intermediate / Emergent Maintenance — Shorter-duration, intermediate-level, continuous, and emergent/casualty work outside the big depot event.</t>
        </is>
      </c>
      <c r="E26" s="58" t="inlineStr">
        <is>
          <t>Keywords: CMAV, WOO, EM, emergent, casualty repair, voyage repair, dockside. Same mission as Bucket 2 but different rhythm.</t>
        </is>
      </c>
    </row>
    <row r="27" ht="10" customHeight="1">
      <c r="A27" s="58" t="inlineStr">
        <is>
          <t>Buckets</t>
        </is>
      </c>
      <c r="B27" s="58" t="inlineStr">
        <is>
          <t>Bucket #</t>
        </is>
      </c>
      <c r="C27" s="58" t="inlineStr">
        <is>
          <t>4</t>
        </is>
      </c>
      <c r="D27" s="58" t="inlineStr">
        <is>
          <t>Modernization &amp; Alteration Installation — Work that changes configuration or adds capability beyond restore-only repair. Funded primarily through procurement.</t>
        </is>
      </c>
      <c r="E27" s="58" t="inlineStr">
        <is>
          <t>Primary budget anchors: OPN P-40 line items (DDG Mod, CG Mod, LCS Mod, etc.). Keywords: SHIPALT, ORDALT, MACHALT, tech refresh, backfit, retrofit.</t>
        </is>
      </c>
    </row>
    <row r="28" ht="10" customHeight="1">
      <c r="A28" s="58" t="inlineStr">
        <is>
          <t>Buckets</t>
        </is>
      </c>
      <c r="B28" s="58" t="inlineStr">
        <is>
          <t>Bucket #</t>
        </is>
      </c>
      <c r="C28" s="58" t="inlineStr">
        <is>
          <t>5</t>
        </is>
      </c>
      <c r="D28" s="58" t="inlineStr">
        <is>
          <t>Major Life-Cycle Events / SLEP / MMA / RCOH — Multi-year platform- or class-scale recapitalization that gets its own budget line.</t>
        </is>
      </c>
      <c r="E28" s="58" t="inlineStr">
        <is>
          <t>Keywords: RCOH, EOH, SLEP, MMA, midlife. Separate from routine depot maintenance (Bucket 2).</t>
        </is>
      </c>
    </row>
    <row r="29" ht="10" customHeight="1">
      <c r="A29" s="58" t="inlineStr">
        <is>
          <t>Buckets</t>
        </is>
      </c>
      <c r="B29" s="58" t="inlineStr">
        <is>
          <t>Bucket #</t>
        </is>
      </c>
      <c r="C29" s="58" t="inlineStr">
        <is>
          <t>6</t>
        </is>
      </c>
      <c r="D29" s="58" t="inlineStr">
        <is>
          <t>Sustainment Engineering / Planning / Obsolescence Support — Engineering, planning, DMSMS/obsolescence, and program support for in-service vessels.</t>
        </is>
      </c>
      <c r="E29" s="58" t="inlineStr">
        <is>
          <t>Primary budget anchor: O&amp;M,N SAG 1B5B Ship Depot Operations Support. Also includes OPN spares (BA08). Keywords: SETA, DMSMS, survey &amp; design.</t>
        </is>
      </c>
    </row>
    <row r="30" ht="10" customHeight="1">
      <c r="A30" s="58" t="inlineStr">
        <is>
          <t>Buckets</t>
        </is>
      </c>
      <c r="B30" s="58" t="inlineStr">
        <is>
          <t>Bucket #</t>
        </is>
      </c>
      <c r="C30" s="58" t="inlineStr">
        <is>
          <t>7</t>
        </is>
      </c>
      <c r="D30" s="58" t="inlineStr">
        <is>
          <t>Availability Support / Husbanding / Port Services — Services that enable repair/modernization but are not themselves repair or upgrade work.</t>
        </is>
      </c>
      <c r="E30" s="58" t="inlineStr">
        <is>
          <t>Keywords: husbanding, pilot, tug, berthing, crane, shore power, scaffolding, environmental. Adjacent to MRO, not core MRO.</t>
        </is>
      </c>
    </row>
    <row r="31" ht="10" customHeight="1">
      <c r="A31" s="54" t="n"/>
      <c r="B31" s="54" t="n"/>
      <c r="C31" s="54" t="n"/>
      <c r="D31" s="54" t="n"/>
      <c r="E31" s="54" t="n"/>
    </row>
    <row r="32" ht="10" customHeight="1">
      <c r="A32" s="56" t="inlineStr">
        <is>
          <t>BUCKET 1 SUB-CATEGORIES</t>
        </is>
      </c>
      <c r="B32" s="56" t="n"/>
      <c r="C32" s="56" t="n"/>
      <c r="D32" s="57" t="n"/>
      <c r="E32" s="57" t="n"/>
    </row>
    <row r="33" ht="10" customHeight="1">
      <c r="A33" s="58" t="n"/>
      <c r="B33" s="58" t="n"/>
      <c r="C33" s="58" t="n"/>
      <c r="D33" s="58" t="n"/>
      <c r="E33" s="58" t="n"/>
    </row>
    <row r="34" ht="10" customHeight="1">
      <c r="A34" s="58" t="inlineStr">
        <is>
          <t>Bucket 1 Subs</t>
        </is>
      </c>
      <c r="B34" s="58" t="inlineStr">
        <is>
          <t>Sub-Category</t>
        </is>
      </c>
      <c r="C34" s="58" t="inlineStr">
        <is>
          <t>Full ship DD&amp;C</t>
        </is>
      </c>
      <c r="D34" s="58" t="inlineStr">
        <is>
          <t>Detail design and construction of a complete vessel.</t>
        </is>
      </c>
      <c r="E34" s="58" t="inlineStr">
        <is>
          <t>Examples: DDG-51, FFG-62, CVN-79, LPD, LHA, T-AO, OPC, FRC, PSC</t>
        </is>
      </c>
    </row>
    <row r="35" ht="10" customHeight="1">
      <c r="A35" s="58" t="inlineStr">
        <is>
          <t>Bucket 1 Subs</t>
        </is>
      </c>
      <c r="B35" s="58" t="inlineStr">
        <is>
          <t>Sub-Category</t>
        </is>
      </c>
      <c r="C35" s="58" t="inlineStr">
        <is>
          <t>Advance procurement / LLTM</t>
        </is>
      </c>
      <c r="D35" s="58" t="inlineStr">
        <is>
          <t>Long-lead time material and advance procurement funded 1-2 years ahead of DD&amp;C.</t>
        </is>
      </c>
      <c r="E35" s="58" t="inlineStr">
        <is>
          <t>Examples: reactor components, propulsion equipment, combat system long-lead items</t>
        </is>
      </c>
    </row>
    <row r="36" ht="10" customHeight="1">
      <c r="A36" s="58" t="inlineStr">
        <is>
          <t>Bucket 1 Subs</t>
        </is>
      </c>
      <c r="B36" s="58" t="inlineStr">
        <is>
          <t>Sub-Category</t>
        </is>
      </c>
      <c r="C36" s="58" t="inlineStr">
        <is>
          <t>Construction engineering / planning yard</t>
        </is>
      </c>
      <c r="D36" s="58" t="inlineStr">
        <is>
          <t>Lead yard support, planning yard services, and design completion work.</t>
        </is>
      </c>
      <c r="E36" s="58" t="inlineStr">
        <is>
          <t>Examples: EB submarine planning yard, Columbia design completion</t>
        </is>
      </c>
    </row>
    <row r="37" ht="10" customHeight="1">
      <c r="A37" s="58" t="inlineStr">
        <is>
          <t>Bucket 1 Subs</t>
        </is>
      </c>
      <c r="B37" s="58" t="inlineStr">
        <is>
          <t>Sub-Category</t>
        </is>
      </c>
      <c r="C37" s="58" t="inlineStr">
        <is>
          <t>GFE / combat systems for newbuild</t>
        </is>
      </c>
      <c r="D37" s="58" t="inlineStr">
        <is>
          <t>Government-furnished equipment / combat systems procured separately from hull construction (via OPN or RDT&amp;E).</t>
        </is>
      </c>
      <c r="E37" s="58" t="inlineStr">
        <is>
          <t>Funded through OPN, not SCN — but supports new construction.</t>
        </is>
      </c>
    </row>
    <row r="38" ht="10" customHeight="1">
      <c r="A38" s="54" t="n"/>
      <c r="B38" s="54" t="n"/>
      <c r="C38" s="54" t="n"/>
      <c r="D38" s="54" t="n"/>
      <c r="E38" s="54" t="n"/>
    </row>
    <row r="39" ht="10" customHeight="1">
      <c r="A39" s="56" t="inlineStr">
        <is>
          <t>VESSEL SERVICE, CATEGORY, TYPE &amp; HULL TAXONOMY</t>
        </is>
      </c>
      <c r="B39" s="56" t="n"/>
      <c r="C39" s="56" t="n"/>
      <c r="D39" s="57" t="n"/>
      <c r="E39" s="57" t="n"/>
    </row>
    <row r="40" ht="10" customHeight="1">
      <c r="A40" s="58" t="n"/>
      <c r="B40" s="58" t="n"/>
      <c r="C40" s="58" t="n"/>
      <c r="D40" s="58" t="n"/>
      <c r="E40" s="58" t="n"/>
    </row>
    <row r="41" ht="10" customHeight="1">
      <c r="A41" s="58" t="inlineStr">
        <is>
          <t>Vessel Taxonomy</t>
        </is>
      </c>
      <c r="B41" s="58" t="inlineStr">
        <is>
          <t>Service</t>
        </is>
      </c>
      <c r="C41" s="58" t="inlineStr">
        <is>
          <t>USN</t>
        </is>
      </c>
      <c r="D41" s="58" t="inlineStr">
        <is>
          <t>United States Navy — commissioned warships and support craft with Navy crews.</t>
        </is>
      </c>
      <c r="E41" s="58" t="n"/>
    </row>
    <row r="42" ht="10" customHeight="1">
      <c r="A42" s="58" t="n"/>
      <c r="B42" s="58" t="n"/>
      <c r="C42" s="58" t="n"/>
      <c r="D42" s="58" t="n"/>
      <c r="E42" s="58" t="n"/>
    </row>
    <row r="43" ht="10" customHeight="1">
      <c r="A43" s="58" t="inlineStr">
        <is>
          <t>Vessel Taxonomy</t>
        </is>
      </c>
      <c r="B43" s="58" t="inlineStr">
        <is>
          <t>Category</t>
        </is>
      </c>
      <c r="C43" s="58" t="inlineStr">
        <is>
          <t>Combatant Ships</t>
        </is>
      </c>
      <c r="D43" s="58" t="inlineStr">
        <is>
          <t>Warships and other combatant vessels — the core fighting and logistics fleet.</t>
        </is>
      </c>
      <c r="E43" s="58" t="n"/>
    </row>
    <row r="44" ht="10" customHeight="1">
      <c r="A44" s="58" t="inlineStr">
        <is>
          <t>Vessel Taxonomy</t>
        </is>
      </c>
      <c r="B44" s="58" t="inlineStr">
        <is>
          <t>Type</t>
        </is>
      </c>
      <c r="C44" s="58" t="inlineStr">
        <is>
          <t>Aircraft Carriers</t>
        </is>
      </c>
      <c r="D44" s="58" t="inlineStr">
        <is>
          <t>Nuclear-powered aircraft carriers</t>
        </is>
      </c>
      <c r="E44" s="58" t="inlineStr">
        <is>
          <t>Hulls: CVN</t>
        </is>
      </c>
    </row>
    <row r="45" ht="10" customHeight="1">
      <c r="A45" s="58" t="inlineStr">
        <is>
          <t>Vessel Taxonomy</t>
        </is>
      </c>
      <c r="B45" s="58" t="inlineStr">
        <is>
          <t>Type</t>
        </is>
      </c>
      <c r="C45" s="58" t="inlineStr">
        <is>
          <t>Surface Combatants</t>
        </is>
      </c>
      <c r="D45" s="58" t="inlineStr">
        <is>
          <t>Guided-missile cruisers, destroyers, frigates, littoral combat ships</t>
        </is>
      </c>
      <c r="E45" s="58" t="inlineStr">
        <is>
          <t>Hulls: CG, DDG, FFG, LCS</t>
        </is>
      </c>
    </row>
    <row r="46" ht="10" customHeight="1">
      <c r="A46" s="58" t="inlineStr">
        <is>
          <t>Vessel Taxonomy</t>
        </is>
      </c>
      <c r="B46" s="58" t="inlineStr">
        <is>
          <t>Type</t>
        </is>
      </c>
      <c r="C46" s="58" t="inlineStr">
        <is>
          <t>Submarines</t>
        </is>
      </c>
      <c r="D46" s="58" t="inlineStr">
        <is>
          <t>Attack submarines, ballistic missile submarines, guided-missile submarines</t>
        </is>
      </c>
      <c r="E46" s="58" t="inlineStr">
        <is>
          <t>Hulls: SSN, SSBN, SSGN</t>
        </is>
      </c>
    </row>
    <row r="47" ht="10" customHeight="1">
      <c r="A47" s="58" t="inlineStr">
        <is>
          <t>Vessel Taxonomy</t>
        </is>
      </c>
      <c r="B47" s="58" t="inlineStr">
        <is>
          <t>Type</t>
        </is>
      </c>
      <c r="C47" s="58" t="inlineStr">
        <is>
          <t>Amphibious Warfare Ships</t>
        </is>
      </c>
      <c r="D47" s="58" t="inlineStr">
        <is>
          <t>Amphibious assault ships and transport docks</t>
        </is>
      </c>
      <c r="E47" s="58" t="inlineStr">
        <is>
          <t>Hulls: LHA, LHD, LPD, LSD</t>
        </is>
      </c>
    </row>
    <row r="48" ht="10" customHeight="1">
      <c r="A48" s="58" t="inlineStr">
        <is>
          <t>Vessel Taxonomy</t>
        </is>
      </c>
      <c r="B48" s="58" t="inlineStr">
        <is>
          <t>Type</t>
        </is>
      </c>
      <c r="C48" s="58" t="inlineStr">
        <is>
          <t>Mine Warfare</t>
        </is>
      </c>
      <c r="D48" s="58" t="inlineStr">
        <is>
          <t>Mine countermeasure ships</t>
        </is>
      </c>
      <c r="E48" s="58" t="inlineStr">
        <is>
          <t>Hulls: MCM</t>
        </is>
      </c>
    </row>
    <row r="49" ht="10" customHeight="1">
      <c r="A49" s="58" t="inlineStr">
        <is>
          <t>Vessel Taxonomy</t>
        </is>
      </c>
      <c r="B49" s="58" t="inlineStr">
        <is>
          <t>Type</t>
        </is>
      </c>
      <c r="C49" s="58" t="inlineStr">
        <is>
          <t>Combat Logistics Ships</t>
        </is>
      </c>
      <c r="D49" s="58" t="inlineStr">
        <is>
          <t>Oilers, ammunition ships, dry cargo/ammunition ships</t>
        </is>
      </c>
      <c r="E49" s="58" t="inlineStr">
        <is>
          <t>Hulls: AO, AOE, AOL, AKE</t>
        </is>
      </c>
    </row>
    <row r="50" ht="10" customHeight="1">
      <c r="A50" s="58" t="inlineStr">
        <is>
          <t>Vessel Taxonomy</t>
        </is>
      </c>
      <c r="B50" s="58" t="inlineStr">
        <is>
          <t>Type</t>
        </is>
      </c>
      <c r="C50" s="58" t="inlineStr">
        <is>
          <t>Command Ships</t>
        </is>
      </c>
      <c r="D50" s="58" t="inlineStr">
        <is>
          <t>Afloat command and control platforms</t>
        </is>
      </c>
      <c r="E50" s="58" t="inlineStr">
        <is>
          <t>Hulls: LCC</t>
        </is>
      </c>
    </row>
    <row r="51" ht="10" customHeight="1">
      <c r="A51" s="58" t="inlineStr">
        <is>
          <t>Vessel Taxonomy</t>
        </is>
      </c>
      <c r="B51" s="58" t="inlineStr">
        <is>
          <t>Type</t>
        </is>
      </c>
      <c r="C51" s="58" t="inlineStr">
        <is>
          <t>Material Support Ships</t>
        </is>
      </c>
      <c r="D51" s="58" t="inlineStr">
        <is>
          <t>Submarine tenders</t>
        </is>
      </c>
      <c r="E51" s="58" t="inlineStr">
        <is>
          <t>Hulls: AS</t>
        </is>
      </c>
    </row>
    <row r="52" ht="10" customHeight="1">
      <c r="A52" s="58" t="inlineStr">
        <is>
          <t>Vessel Taxonomy</t>
        </is>
      </c>
      <c r="B52" s="58" t="inlineStr">
        <is>
          <t>Type</t>
        </is>
      </c>
      <c r="C52" s="58" t="inlineStr">
        <is>
          <t>Surveillance Ships</t>
        </is>
      </c>
      <c r="D52" s="58" t="inlineStr">
        <is>
          <t>Ocean surveillance ships</t>
        </is>
      </c>
      <c r="E52" s="58" t="inlineStr">
        <is>
          <t>Hulls: AGOS</t>
        </is>
      </c>
    </row>
    <row r="53" ht="10" customHeight="1">
      <c r="A53" s="58" t="inlineStr">
        <is>
          <t>Vessel Taxonomy</t>
        </is>
      </c>
      <c r="B53" s="58" t="inlineStr">
        <is>
          <t>Type</t>
        </is>
      </c>
      <c r="C53" s="58" t="inlineStr">
        <is>
          <t>Salvage Ships &amp; Fleet Ocean Tugs</t>
        </is>
      </c>
      <c r="D53" s="58" t="inlineStr">
        <is>
          <t>Rescue/salvage ships and fleet tugs</t>
        </is>
      </c>
      <c r="E53" s="58" t="inlineStr">
        <is>
          <t>Hulls: ARS, ATF, ATS</t>
        </is>
      </c>
    </row>
    <row r="54" ht="10" customHeight="1">
      <c r="A54" s="58" t="inlineStr">
        <is>
          <t>Vessel Taxonomy</t>
        </is>
      </c>
      <c r="B54" s="58" t="inlineStr">
        <is>
          <t>Type</t>
        </is>
      </c>
      <c r="C54" s="58" t="inlineStr">
        <is>
          <t>Expeditionary &amp; Seabasing Ships</t>
        </is>
      </c>
      <c r="D54" s="58" t="inlineStr">
        <is>
          <t>Expeditionary fast transports, sea bases, medium landing ships</t>
        </is>
      </c>
      <c r="E54" s="58" t="inlineStr">
        <is>
          <t>Hulls: EPF, ESB, ESD, LSM</t>
        </is>
      </c>
    </row>
    <row r="55" ht="10" customHeight="1">
      <c r="A55" s="58" t="n"/>
      <c r="B55" s="58" t="n"/>
      <c r="C55" s="58" t="n"/>
      <c r="D55" s="58" t="n"/>
      <c r="E55" s="58" t="n"/>
    </row>
    <row r="56" ht="10" customHeight="1">
      <c r="A56" s="58" t="inlineStr">
        <is>
          <t>Vessel Taxonomy</t>
        </is>
      </c>
      <c r="B56" s="58" t="inlineStr">
        <is>
          <t>Category</t>
        </is>
      </c>
      <c r="C56" s="58" t="inlineStr">
        <is>
          <t>Auxiliary Ships</t>
        </is>
      </c>
      <c r="D56" s="58" t="inlineStr">
        <is>
          <t>Non-combatant support vessels — research, cargo, hospital, and special-purpose ships.</t>
        </is>
      </c>
      <c r="E56" s="58" t="n"/>
    </row>
    <row r="57" ht="10" customHeight="1">
      <c r="A57" s="58" t="inlineStr">
        <is>
          <t>Vessel Taxonomy</t>
        </is>
      </c>
      <c r="B57" s="58" t="inlineStr">
        <is>
          <t>Type</t>
        </is>
      </c>
      <c r="C57" s="58" t="inlineStr">
        <is>
          <t>Crane Ship</t>
        </is>
      </c>
      <c r="D57" s="58" t="inlineStr">
        <is>
          <t>Floating crane ship</t>
        </is>
      </c>
      <c r="E57" s="58" t="inlineStr">
        <is>
          <t>Hulls: ACS</t>
        </is>
      </c>
    </row>
    <row r="58" ht="10" customHeight="1">
      <c r="A58" s="58" t="inlineStr">
        <is>
          <t>Vessel Taxonomy</t>
        </is>
      </c>
      <c r="B58" s="58" t="inlineStr">
        <is>
          <t>Type</t>
        </is>
      </c>
      <c r="C58" s="58" t="inlineStr">
        <is>
          <t>General Auxiliary</t>
        </is>
      </c>
      <c r="D58" s="58" t="inlineStr">
        <is>
          <t>Multi-purpose auxiliary vessels</t>
        </is>
      </c>
      <c r="E58" s="58" t="inlineStr">
        <is>
          <t>Hulls: AG</t>
        </is>
      </c>
    </row>
    <row r="59" ht="10" customHeight="1">
      <c r="A59" s="58" t="inlineStr">
        <is>
          <t>Vessel Taxonomy</t>
        </is>
      </c>
      <c r="B59" s="58" t="inlineStr">
        <is>
          <t>Type</t>
        </is>
      </c>
      <c r="C59" s="58" t="inlineStr">
        <is>
          <t>Research, Survey &amp; Instrumentation Ships</t>
        </is>
      </c>
      <c r="D59" s="58" t="inlineStr">
        <is>
          <t>Oceanographic and survey ships</t>
        </is>
      </c>
      <c r="E59" s="58" t="inlineStr">
        <is>
          <t>Hulls: AGM, AGOR, AGS</t>
        </is>
      </c>
    </row>
    <row r="60" ht="10" customHeight="1">
      <c r="A60" s="58" t="inlineStr">
        <is>
          <t>Vessel Taxonomy</t>
        </is>
      </c>
      <c r="B60" s="58" t="inlineStr">
        <is>
          <t>Type</t>
        </is>
      </c>
      <c r="C60" s="58" t="inlineStr">
        <is>
          <t>Hospital Ship</t>
        </is>
      </c>
      <c r="D60" s="58" t="inlineStr">
        <is>
          <t>Hospital ships</t>
        </is>
      </c>
      <c r="E60" s="58" t="inlineStr">
        <is>
          <t>Hulls: AH</t>
        </is>
      </c>
    </row>
    <row r="61" ht="10" customHeight="1">
      <c r="A61" s="58" t="inlineStr">
        <is>
          <t>Vessel Taxonomy</t>
        </is>
      </c>
      <c r="B61" s="58" t="inlineStr">
        <is>
          <t>Type</t>
        </is>
      </c>
      <c r="C61" s="58" t="inlineStr">
        <is>
          <t>Cargo &amp; Vehicle Cargo Ships</t>
        </is>
      </c>
      <c r="D61" s="58" t="inlineStr">
        <is>
          <t>Cargo and vehicle transport ships</t>
        </is>
      </c>
      <c r="E61" s="58" t="inlineStr">
        <is>
          <t>Hulls: AK, AKR</t>
        </is>
      </c>
    </row>
    <row r="62" ht="10" customHeight="1">
      <c r="A62" s="58" t="inlineStr">
        <is>
          <t>Vessel Taxonomy</t>
        </is>
      </c>
      <c r="B62" s="58" t="inlineStr">
        <is>
          <t>Type</t>
        </is>
      </c>
      <c r="C62" s="58" t="inlineStr">
        <is>
          <t>Transport Oiler</t>
        </is>
      </c>
      <c r="D62" s="58" t="inlineStr">
        <is>
          <t>Transport oilers</t>
        </is>
      </c>
      <c r="E62" s="58" t="inlineStr">
        <is>
          <t>Hulls: AOT</t>
        </is>
      </c>
    </row>
    <row r="63" ht="10" customHeight="1">
      <c r="A63" s="58" t="inlineStr">
        <is>
          <t>Vessel Taxonomy</t>
        </is>
      </c>
      <c r="B63" s="58" t="inlineStr">
        <is>
          <t>Type</t>
        </is>
      </c>
      <c r="C63" s="58" t="inlineStr">
        <is>
          <t>Cable Repairing Ship</t>
        </is>
      </c>
      <c r="D63" s="58" t="inlineStr">
        <is>
          <t>Submarine cable repair ships</t>
        </is>
      </c>
      <c r="E63" s="58" t="inlineStr">
        <is>
          <t>Hulls: ARC</t>
        </is>
      </c>
    </row>
    <row r="64" ht="10" customHeight="1">
      <c r="A64" s="58" t="inlineStr">
        <is>
          <t>Vessel Taxonomy</t>
        </is>
      </c>
      <c r="B64" s="58" t="inlineStr">
        <is>
          <t>Type</t>
        </is>
      </c>
      <c r="C64" s="58" t="inlineStr">
        <is>
          <t>Aviation Logistics Support Ship</t>
        </is>
      </c>
      <c r="D64" s="58" t="inlineStr">
        <is>
          <t>Aviation support ships</t>
        </is>
      </c>
      <c r="E64" s="58" t="inlineStr">
        <is>
          <t>Hulls: AVB</t>
        </is>
      </c>
    </row>
    <row r="65" ht="10" customHeight="1">
      <c r="A65" s="58" t="inlineStr">
        <is>
          <t>Vessel Taxonomy</t>
        </is>
      </c>
      <c r="B65" s="58" t="inlineStr">
        <is>
          <t>Type</t>
        </is>
      </c>
      <c r="C65" s="58" t="inlineStr">
        <is>
          <t>High Speed Transport</t>
        </is>
      </c>
      <c r="D65" s="58" t="inlineStr">
        <is>
          <t>High speed transports</t>
        </is>
      </c>
      <c r="E65" s="58" t="inlineStr">
        <is>
          <t>Hulls: HST</t>
        </is>
      </c>
    </row>
    <row r="66" ht="10" customHeight="1">
      <c r="A66" s="58" t="inlineStr">
        <is>
          <t>Vessel Taxonomy</t>
        </is>
      </c>
      <c r="B66" s="58" t="inlineStr">
        <is>
          <t>Type</t>
        </is>
      </c>
      <c r="C66" s="58" t="inlineStr">
        <is>
          <t>Submarine Escort Ship</t>
        </is>
      </c>
      <c r="D66" s="58" t="inlineStr">
        <is>
          <t>Submarine escort/support vessels</t>
        </is>
      </c>
      <c r="E66" s="58" t="inlineStr">
        <is>
          <t>Hulls: AGSE</t>
        </is>
      </c>
    </row>
    <row r="67" ht="10" customHeight="1">
      <c r="A67" s="58" t="inlineStr">
        <is>
          <t>Vessel Taxonomy</t>
        </is>
      </c>
      <c r="B67" s="58" t="inlineStr">
        <is>
          <t>Type</t>
        </is>
      </c>
      <c r="C67" s="58" t="inlineStr">
        <is>
          <t>USS Constitution</t>
        </is>
      </c>
      <c r="D67" s="58" t="inlineStr">
        <is>
          <t>Historic warship — not operationally classified</t>
        </is>
      </c>
      <c r="E67" s="58" t="inlineStr">
        <is>
          <t>Hulls: None</t>
        </is>
      </c>
    </row>
    <row r="68" ht="10" customHeight="1">
      <c r="A68" s="58" t="n"/>
      <c r="B68" s="58" t="n"/>
      <c r="C68" s="58" t="n"/>
      <c r="D68" s="58" t="n"/>
      <c r="E68" s="58" t="n"/>
    </row>
    <row r="69" ht="10" customHeight="1">
      <c r="A69" s="58" t="inlineStr">
        <is>
          <t>Vessel Taxonomy</t>
        </is>
      </c>
      <c r="B69" s="58" t="inlineStr">
        <is>
          <t>Category</t>
        </is>
      </c>
      <c r="C69" s="58" t="inlineStr">
        <is>
          <t>Combatant Crafts</t>
        </is>
      </c>
      <c r="D69" s="58" t="inlineStr">
        <is>
          <t>Smaller combatant craft — patrol, landing, and special warfare.</t>
        </is>
      </c>
      <c r="E69" s="58" t="n"/>
    </row>
    <row r="70" ht="10" customHeight="1">
      <c r="A70" s="58" t="inlineStr">
        <is>
          <t>Vessel Taxonomy</t>
        </is>
      </c>
      <c r="B70" s="58" t="inlineStr">
        <is>
          <t>Type</t>
        </is>
      </c>
      <c r="C70" s="58" t="inlineStr">
        <is>
          <t>Patrol Combatant</t>
        </is>
      </c>
      <c r="D70" s="58" t="inlineStr">
        <is>
          <t>Coastal patrol craft</t>
        </is>
      </c>
      <c r="E70" s="58" t="inlineStr">
        <is>
          <t>Hulls: PC</t>
        </is>
      </c>
    </row>
    <row r="71" ht="10" customHeight="1">
      <c r="A71" s="58" t="inlineStr">
        <is>
          <t>Vessel Taxonomy</t>
        </is>
      </c>
      <c r="B71" s="58" t="inlineStr">
        <is>
          <t>Type</t>
        </is>
      </c>
      <c r="C71" s="58" t="inlineStr">
        <is>
          <t>Amphibious Warfare Craft</t>
        </is>
      </c>
      <c r="D71" s="58" t="inlineStr">
        <is>
          <t>Landing craft — air cushion and utility</t>
        </is>
      </c>
      <c r="E71" s="58" t="inlineStr">
        <is>
          <t>Hulls: LCAC, LCU</t>
        </is>
      </c>
    </row>
    <row r="72" ht="10" customHeight="1">
      <c r="A72" s="58" t="inlineStr">
        <is>
          <t>Vessel Taxonomy</t>
        </is>
      </c>
      <c r="B72" s="58" t="inlineStr">
        <is>
          <t>Type</t>
        </is>
      </c>
      <c r="C72" s="58" t="inlineStr">
        <is>
          <t>Patrol Boats</t>
        </is>
      </c>
      <c r="D72" s="58" t="inlineStr">
        <is>
          <t>Various patrol boats by length</t>
        </is>
      </c>
      <c r="E72" s="58" t="inlineStr">
        <is>
          <t>Hulls: 36PB, 64PB, 87PB</t>
        </is>
      </c>
    </row>
    <row r="73" ht="10" customHeight="1">
      <c r="A73" s="58" t="inlineStr">
        <is>
          <t>Vessel Taxonomy</t>
        </is>
      </c>
      <c r="B73" s="58" t="inlineStr">
        <is>
          <t>Type</t>
        </is>
      </c>
      <c r="C73" s="58" t="inlineStr">
        <is>
          <t>Special Warfare Craft</t>
        </is>
      </c>
      <c r="D73" s="58" t="inlineStr">
        <is>
          <t>Naval Special Warfare craft and swimmer delivery vehicles</t>
        </is>
      </c>
      <c r="E73" s="58" t="inlineStr">
        <is>
          <t>Hulls: DSB, CCA, CCM, CCH, NSW RHIB, SDV, SWCS, SSC</t>
        </is>
      </c>
    </row>
    <row r="74" ht="10" customHeight="1">
      <c r="A74" s="58" t="n"/>
      <c r="B74" s="58" t="n"/>
      <c r="C74" s="58" t="n"/>
      <c r="D74" s="58" t="n"/>
      <c r="E74" s="58" t="n"/>
    </row>
    <row r="75" ht="10" customHeight="1">
      <c r="A75" s="58" t="inlineStr">
        <is>
          <t>Vessel Taxonomy</t>
        </is>
      </c>
      <c r="B75" s="58" t="inlineStr">
        <is>
          <t>Category</t>
        </is>
      </c>
      <c r="C75" s="58" t="inlineStr">
        <is>
          <t>Unmanned Maritime Platforms</t>
        </is>
      </c>
      <c r="D75" s="58" t="inlineStr">
        <is>
          <t>Unmanned surface and undersea vehicles.</t>
        </is>
      </c>
      <c r="E75" s="58" t="n"/>
    </row>
    <row r="76" ht="10" customHeight="1">
      <c r="A76" s="58" t="inlineStr">
        <is>
          <t>Vessel Taxonomy</t>
        </is>
      </c>
      <c r="B76" s="58" t="inlineStr">
        <is>
          <t>Type</t>
        </is>
      </c>
      <c r="C76" s="58" t="inlineStr">
        <is>
          <t>Unmanned Surface Vehicles</t>
        </is>
      </c>
      <c r="D76" s="58" t="inlineStr">
        <is>
          <t>Large, medium, small, and very small unmanned surface vehicles</t>
        </is>
      </c>
      <c r="E76" s="58" t="inlineStr">
        <is>
          <t>Hulls: LUSV, MUSV, SUSV, VSUSV</t>
        </is>
      </c>
    </row>
    <row r="77" ht="10" customHeight="1">
      <c r="A77" s="58" t="inlineStr">
        <is>
          <t>Vessel Taxonomy</t>
        </is>
      </c>
      <c r="B77" s="58" t="inlineStr">
        <is>
          <t>Type</t>
        </is>
      </c>
      <c r="C77" s="58" t="inlineStr">
        <is>
          <t>Unmanned Undersea Vehicles</t>
        </is>
      </c>
      <c r="D77" s="58" t="inlineStr">
        <is>
          <t>Extra-large, large, medium, and small unmanned undersea vehicles</t>
        </is>
      </c>
      <c r="E77" s="58" t="inlineStr">
        <is>
          <t>Hulls: XLUUV, LUUV, MUUV, SUUV</t>
        </is>
      </c>
    </row>
    <row r="78" ht="10" customHeight="1">
      <c r="A78" s="58" t="n"/>
      <c r="B78" s="58" t="n"/>
      <c r="C78" s="58" t="n"/>
      <c r="D78" s="58" t="n"/>
      <c r="E78" s="58" t="n"/>
    </row>
    <row r="79" ht="10" customHeight="1">
      <c r="A79" s="58" t="inlineStr">
        <is>
          <t>Vessel Taxonomy</t>
        </is>
      </c>
      <c r="B79" s="58" t="inlineStr">
        <is>
          <t>Category</t>
        </is>
      </c>
      <c r="C79" s="58" t="inlineStr">
        <is>
          <t>Support Crafts</t>
        </is>
      </c>
      <c r="D79" s="58" t="inlineStr">
        <is>
          <t>Yard craft, barges, tugs, and harbor support vessels.</t>
        </is>
      </c>
      <c r="E79" s="58" t="n"/>
    </row>
    <row r="80" ht="10" customHeight="1">
      <c r="A80" s="58" t="inlineStr">
        <is>
          <t>Vessel Taxonomy</t>
        </is>
      </c>
      <c r="B80" s="58" t="inlineStr">
        <is>
          <t>Type</t>
        </is>
      </c>
      <c r="C80" s="58" t="inlineStr">
        <is>
          <t>Dry Docks</t>
        </is>
      </c>
      <c r="D80" s="58" t="inlineStr">
        <is>
          <t>Floating dry docks</t>
        </is>
      </c>
      <c r="E80" s="58" t="inlineStr">
        <is>
          <t>Hulls: AFDL, ARDM, AFDM</t>
        </is>
      </c>
    </row>
    <row r="81" ht="10" customHeight="1">
      <c r="A81" s="58" t="inlineStr">
        <is>
          <t>Vessel Taxonomy</t>
        </is>
      </c>
      <c r="B81" s="58" t="inlineStr">
        <is>
          <t>Type</t>
        </is>
      </c>
      <c r="C81" s="58" t="inlineStr">
        <is>
          <t>Harbor Tugs</t>
        </is>
      </c>
      <c r="D81" s="58" t="inlineStr">
        <is>
          <t>Yard and harbor tugboats</t>
        </is>
      </c>
      <c r="E81" s="58" t="inlineStr">
        <is>
          <t>Hulls: YT, YTB, YTL</t>
        </is>
      </c>
    </row>
    <row r="82" ht="10" customHeight="1">
      <c r="A82" s="58" t="inlineStr">
        <is>
          <t>Vessel Taxonomy</t>
        </is>
      </c>
      <c r="B82" s="58" t="inlineStr">
        <is>
          <t>Type</t>
        </is>
      </c>
      <c r="C82" s="58" t="inlineStr">
        <is>
          <t>Lighters &amp; Barges</t>
        </is>
      </c>
      <c r="D82" s="58" t="inlineStr">
        <is>
          <t>Non-self-propelled barges and lighters</t>
        </is>
      </c>
      <c r="E82" s="58" t="inlineStr">
        <is>
          <t>Hulls: YC, YCV, YFN, YFNX, YFNB, YON, YOS, YWN, YWO</t>
        </is>
      </c>
    </row>
    <row r="83" ht="10" customHeight="1">
      <c r="A83" s="58" t="inlineStr">
        <is>
          <t>Vessel Taxonomy</t>
        </is>
      </c>
      <c r="B83" s="58" t="inlineStr">
        <is>
          <t>Type</t>
        </is>
      </c>
      <c r="C83" s="58" t="inlineStr">
        <is>
          <t>Other Craft, Self-Propelled</t>
        </is>
      </c>
      <c r="D83" s="58" t="inlineStr">
        <is>
          <t>Miscellaneous self-propelled yard and special craft</t>
        </is>
      </c>
      <c r="E83" s="58" t="inlineStr">
        <is>
          <t>Hulls: FSF, SBX, YFB, YP, YSD, YDT, YTT</t>
        </is>
      </c>
    </row>
    <row r="84" ht="10" customHeight="1">
      <c r="A84" s="58" t="inlineStr">
        <is>
          <t>Vessel Taxonomy</t>
        </is>
      </c>
      <c r="B84" s="58" t="inlineStr">
        <is>
          <t>Type</t>
        </is>
      </c>
      <c r="C84" s="58" t="inlineStr">
        <is>
          <t>Other Craft, Non-Self-Propelled</t>
        </is>
      </c>
      <c r="D84" s="58" t="inlineStr">
        <is>
          <t>Berthing barges, floating workshops, miscellaneous non-propelled craft</t>
        </is>
      </c>
      <c r="E84" s="58" t="inlineStr">
        <is>
          <t>Hulls: APL, YD, YFND, YFP, YR, YRB, YRBM, YRDH, YRDM, IX</t>
        </is>
      </c>
    </row>
    <row r="85" ht="10" customHeight="1">
      <c r="A85" s="58" t="inlineStr">
        <is>
          <t>Vessel Taxonomy</t>
        </is>
      </c>
      <c r="B85" s="58" t="inlineStr">
        <is>
          <t>Type</t>
        </is>
      </c>
      <c r="C85" s="58" t="inlineStr">
        <is>
          <t>Sealift Support Craft</t>
        </is>
      </c>
      <c r="D85" s="58" t="inlineStr">
        <is>
          <t>Sealift and marine pre-positioning support craft</t>
        </is>
      </c>
      <c r="E85" s="58" t="inlineStr">
        <is>
          <t>Hulls: INLS, LCM 8, LARC V, MPF UB, OPDS UB</t>
        </is>
      </c>
    </row>
    <row r="86" ht="10" customHeight="1">
      <c r="A86" s="58" t="inlineStr">
        <is>
          <t>Vessel Taxonomy</t>
        </is>
      </c>
      <c r="B86" s="58" t="inlineStr">
        <is>
          <t>Type</t>
        </is>
      </c>
      <c r="C86" s="58" t="inlineStr">
        <is>
          <t>Ships Boats</t>
        </is>
      </c>
      <c r="D86" s="58" t="inlineStr">
        <is>
          <t>Motor rescue boats carried aboard ships</t>
        </is>
      </c>
      <c r="E86" s="58" t="inlineStr">
        <is>
          <t>Hulls: 5MRB, 7MRB, 11MRB</t>
        </is>
      </c>
    </row>
    <row r="87" ht="10" customHeight="1">
      <c r="A87" s="58" t="inlineStr">
        <is>
          <t>Vessel Taxonomy</t>
        </is>
      </c>
      <c r="B87" s="58" t="inlineStr">
        <is>
          <t>Type</t>
        </is>
      </c>
      <c r="C87" s="58" t="inlineStr">
        <is>
          <t>Shore-Based Harbor Security Boats</t>
        </is>
      </c>
      <c r="D87" s="58" t="inlineStr">
        <is>
          <t>Harbor security patrol boats</t>
        </is>
      </c>
      <c r="E87" s="58" t="inlineStr">
        <is>
          <t>Hulls: 27HS, 28HS, 32HS, 33HS, 11MHS, 35HS, 36HS</t>
        </is>
      </c>
    </row>
    <row r="88" ht="10" customHeight="1">
      <c r="A88" s="58" t="n"/>
      <c r="B88" s="58" t="n"/>
      <c r="C88" s="58" t="n"/>
      <c r="D88" s="58" t="n"/>
      <c r="E88" s="58" t="n"/>
    </row>
    <row r="89" ht="10" customHeight="1">
      <c r="A89" s="58" t="inlineStr">
        <is>
          <t>Vessel Taxonomy</t>
        </is>
      </c>
      <c r="B89" s="58" t="inlineStr">
        <is>
          <t>Service</t>
        </is>
      </c>
      <c r="C89" s="58" t="inlineStr">
        <is>
          <t>MSC</t>
        </is>
      </c>
      <c r="D89" s="58" t="inlineStr">
        <is>
          <t>Military Sealift Command — civilian-crewed ships using T- prefix before hull symbol (e.g., T-AO, T-AKE, T-EPF).</t>
        </is>
      </c>
      <c r="E89" s="58" t="n"/>
    </row>
    <row r="90" ht="10" customHeight="1">
      <c r="A90" s="58" t="inlineStr">
        <is>
          <t>Vessel Taxonomy</t>
        </is>
      </c>
      <c r="B90" s="58" t="inlineStr">
        <is>
          <t>Note</t>
        </is>
      </c>
      <c r="C90" s="58" t="inlineStr">
        <is>
          <t>MSC shares USN categories and types</t>
        </is>
      </c>
      <c r="D90" s="58" t="inlineStr">
        <is>
          <t>MSC vessels fall under the same Category and Type as their USN counterparts. The T- prefix on the hull designator distinguishes them. Service column = MSC when hull starts with T-.</t>
        </is>
      </c>
      <c r="E90" s="58" t="inlineStr">
        <is>
          <t>Examples: T-AO (Combat Logistics Ships), T-AGOS (Surveillance Ships), T-EPF (Expeditionary &amp; Seabasing Ships)</t>
        </is>
      </c>
    </row>
    <row r="91" ht="10" customHeight="1">
      <c r="A91" s="58" t="n"/>
      <c r="B91" s="58" t="n"/>
      <c r="C91" s="58" t="n"/>
      <c r="D91" s="58" t="n"/>
      <c r="E91" s="58" t="n"/>
    </row>
    <row r="92" ht="10" customHeight="1">
      <c r="A92" s="58" t="inlineStr">
        <is>
          <t>Vessel Taxonomy</t>
        </is>
      </c>
      <c r="B92" s="58" t="inlineStr">
        <is>
          <t>Service</t>
        </is>
      </c>
      <c r="C92" s="58" t="inlineStr">
        <is>
          <t>USCG</t>
        </is>
      </c>
      <c r="D92" s="58" t="inlineStr">
        <is>
          <t>United States Coast Guard — cutters and boats.</t>
        </is>
      </c>
      <c r="E92" s="58" t="n"/>
    </row>
    <row r="93" ht="10" customHeight="1">
      <c r="A93" s="58" t="n"/>
      <c r="B93" s="58" t="n"/>
      <c r="C93" s="58" t="n"/>
      <c r="D93" s="58" t="n"/>
      <c r="E93" s="58" t="n"/>
    </row>
    <row r="94" ht="10" customHeight="1">
      <c r="A94" s="58" t="inlineStr">
        <is>
          <t>Vessel Taxonomy</t>
        </is>
      </c>
      <c r="B94" s="58" t="inlineStr">
        <is>
          <t>Category</t>
        </is>
      </c>
      <c r="C94" s="58" t="inlineStr">
        <is>
          <t>Cutters</t>
        </is>
      </c>
      <c r="D94" s="58" t="inlineStr">
        <is>
          <t>Coast Guard cutters — 65 feet and larger.</t>
        </is>
      </c>
      <c r="E94" s="58" t="n"/>
    </row>
    <row r="95" ht="10" customHeight="1">
      <c r="A95" s="58" t="inlineStr">
        <is>
          <t>Vessel Taxonomy</t>
        </is>
      </c>
      <c r="B95" s="58" t="inlineStr">
        <is>
          <t>Type</t>
        </is>
      </c>
      <c r="C95" s="58" t="inlineStr">
        <is>
          <t>Icebreakers, Oceangoing</t>
        </is>
      </c>
      <c r="D95" s="58" t="inlineStr">
        <is>
          <t>Heavy polar icebreakers</t>
        </is>
      </c>
      <c r="E95" s="58" t="inlineStr">
        <is>
          <t>Hull: WAGB</t>
        </is>
      </c>
    </row>
    <row r="96" ht="10" customHeight="1">
      <c r="A96" s="58" t="inlineStr">
        <is>
          <t>Vessel Taxonomy</t>
        </is>
      </c>
      <c r="B96" s="58" t="inlineStr">
        <is>
          <t>Type</t>
        </is>
      </c>
      <c r="C96" s="58" t="inlineStr">
        <is>
          <t>Icebreakers, Great Lakes</t>
        </is>
      </c>
      <c r="D96" s="58" t="inlineStr">
        <is>
          <t>Great Lakes icebreaking cutters</t>
        </is>
      </c>
      <c r="E96" s="58" t="inlineStr">
        <is>
          <t>Hull: WLBB</t>
        </is>
      </c>
    </row>
    <row r="97" ht="10" customHeight="1">
      <c r="A97" s="58" t="inlineStr">
        <is>
          <t>Vessel Taxonomy</t>
        </is>
      </c>
      <c r="B97" s="58" t="inlineStr">
        <is>
          <t>Type</t>
        </is>
      </c>
      <c r="C97" s="58" t="inlineStr">
        <is>
          <t>National Security Cutters</t>
        </is>
      </c>
      <c r="D97" s="58" t="inlineStr">
        <is>
          <t>Legend-class national security cutters</t>
        </is>
      </c>
      <c r="E97" s="58" t="inlineStr">
        <is>
          <t>Hull: WMSL</t>
        </is>
      </c>
    </row>
    <row r="98" ht="10" customHeight="1">
      <c r="A98" s="58" t="inlineStr">
        <is>
          <t>Vessel Taxonomy</t>
        </is>
      </c>
      <c r="B98" s="58" t="inlineStr">
        <is>
          <t>Type</t>
        </is>
      </c>
      <c r="C98" s="58" t="inlineStr">
        <is>
          <t>High Endurance Cutters</t>
        </is>
      </c>
      <c r="D98" s="58" t="inlineStr">
        <is>
          <t>Hamilton-class high endurance cutters (retiring)</t>
        </is>
      </c>
      <c r="E98" s="58" t="inlineStr">
        <is>
          <t>Hull: WHEC</t>
        </is>
      </c>
    </row>
    <row r="99" ht="10" customHeight="1">
      <c r="A99" s="58" t="inlineStr">
        <is>
          <t>Vessel Taxonomy</t>
        </is>
      </c>
      <c r="B99" s="58" t="inlineStr">
        <is>
          <t>Type</t>
        </is>
      </c>
      <c r="C99" s="58" t="inlineStr">
        <is>
          <t>Medium Endurance Cutters</t>
        </is>
      </c>
      <c r="D99" s="58" t="inlineStr">
        <is>
          <t>270-foot and 210-foot medium endurance cutters</t>
        </is>
      </c>
      <c r="E99" s="58" t="inlineStr">
        <is>
          <t>Hull: WMEC</t>
        </is>
      </c>
    </row>
    <row r="100" ht="10" customHeight="1">
      <c r="A100" s="58" t="inlineStr">
        <is>
          <t>Vessel Taxonomy</t>
        </is>
      </c>
      <c r="B100" s="58" t="inlineStr">
        <is>
          <t>Type</t>
        </is>
      </c>
      <c r="C100" s="58" t="inlineStr">
        <is>
          <t>Offshore Patrol Cutter</t>
        </is>
      </c>
      <c r="D100" s="58" t="inlineStr">
        <is>
          <t>Heritage-class offshore patrol cutters</t>
        </is>
      </c>
      <c r="E100" s="58" t="inlineStr">
        <is>
          <t>Hull: WMSM</t>
        </is>
      </c>
    </row>
    <row r="101" ht="10" customHeight="1">
      <c r="A101" s="58" t="inlineStr">
        <is>
          <t>Vessel Taxonomy</t>
        </is>
      </c>
      <c r="B101" s="58" t="inlineStr">
        <is>
          <t>Type</t>
        </is>
      </c>
      <c r="C101" s="58" t="inlineStr">
        <is>
          <t>Fast Response Cutters</t>
        </is>
      </c>
      <c r="D101" s="58" t="inlineStr">
        <is>
          <t>Sentinel-class fast response cutters</t>
        </is>
      </c>
      <c r="E101" s="58" t="inlineStr">
        <is>
          <t>Hull: WPC</t>
        </is>
      </c>
    </row>
    <row r="102" ht="10" customHeight="1">
      <c r="A102" s="58" t="inlineStr">
        <is>
          <t>Vessel Taxonomy</t>
        </is>
      </c>
      <c r="B102" s="58" t="inlineStr">
        <is>
          <t>Type</t>
        </is>
      </c>
      <c r="C102" s="58" t="inlineStr">
        <is>
          <t>Patrol Boats</t>
        </is>
      </c>
      <c r="D102" s="58" t="inlineStr">
        <is>
          <t>Marine Protector-class patrol boats</t>
        </is>
      </c>
      <c r="E102" s="58" t="inlineStr">
        <is>
          <t>Hull: WPB</t>
        </is>
      </c>
    </row>
    <row r="103" ht="10" customHeight="1">
      <c r="A103" s="58" t="inlineStr">
        <is>
          <t>Vessel Taxonomy</t>
        </is>
      </c>
      <c r="B103" s="58" t="inlineStr">
        <is>
          <t>Type</t>
        </is>
      </c>
      <c r="C103" s="58" t="inlineStr">
        <is>
          <t>Seagoing Buoy Tenders</t>
        </is>
      </c>
      <c r="D103" s="58" t="inlineStr">
        <is>
          <t>Juniper-class seagoing buoy tenders</t>
        </is>
      </c>
      <c r="E103" s="58" t="inlineStr">
        <is>
          <t>Hull: WLB</t>
        </is>
      </c>
    </row>
    <row r="104" ht="10" customHeight="1">
      <c r="A104" s="58" t="inlineStr">
        <is>
          <t>Vessel Taxonomy</t>
        </is>
      </c>
      <c r="B104" s="58" t="inlineStr">
        <is>
          <t>Type</t>
        </is>
      </c>
      <c r="C104" s="58" t="inlineStr">
        <is>
          <t>Coastal Buoy Tenders</t>
        </is>
      </c>
      <c r="D104" s="58" t="inlineStr">
        <is>
          <t>Keeper-class coastal buoy tenders</t>
        </is>
      </c>
      <c r="E104" s="58" t="inlineStr">
        <is>
          <t>Hull: WLM</t>
        </is>
      </c>
    </row>
    <row r="105" ht="10" customHeight="1">
      <c r="A105" s="58" t="inlineStr">
        <is>
          <t>Vessel Taxonomy</t>
        </is>
      </c>
      <c r="B105" s="58" t="inlineStr">
        <is>
          <t>Type</t>
        </is>
      </c>
      <c r="C105" s="58" t="inlineStr">
        <is>
          <t>Inland Construction Tenders</t>
        </is>
      </c>
      <c r="D105" s="58" t="inlineStr">
        <is>
          <t>Inland construction tenders</t>
        </is>
      </c>
      <c r="E105" s="58" t="inlineStr">
        <is>
          <t>Hull: WLIC</t>
        </is>
      </c>
    </row>
    <row r="106" ht="10" customHeight="1">
      <c r="A106" s="58" t="inlineStr">
        <is>
          <t>Vessel Taxonomy</t>
        </is>
      </c>
      <c r="B106" s="58" t="inlineStr">
        <is>
          <t>Type</t>
        </is>
      </c>
      <c r="C106" s="58" t="inlineStr">
        <is>
          <t>Ice Breaking Tugs</t>
        </is>
      </c>
      <c r="D106" s="58" t="inlineStr">
        <is>
          <t>Ice-breaking harbor tugs</t>
        </is>
      </c>
      <c r="E106" s="58" t="inlineStr">
        <is>
          <t>Hull: WTGB</t>
        </is>
      </c>
    </row>
    <row r="107" ht="10" customHeight="1">
      <c r="A107" s="58" t="inlineStr">
        <is>
          <t>Vessel Taxonomy</t>
        </is>
      </c>
      <c r="B107" s="58" t="inlineStr">
        <is>
          <t>Type</t>
        </is>
      </c>
      <c r="C107" s="58" t="inlineStr">
        <is>
          <t>River Buoy Tenders</t>
        </is>
      </c>
      <c r="D107" s="58" t="inlineStr">
        <is>
          <t>River buoy tenders</t>
        </is>
      </c>
      <c r="E107" s="58" t="inlineStr">
        <is>
          <t>Hull: WLR</t>
        </is>
      </c>
    </row>
    <row r="108" ht="10" customHeight="1">
      <c r="A108" s="58" t="inlineStr">
        <is>
          <t>Vessel Taxonomy</t>
        </is>
      </c>
      <c r="B108" s="58" t="inlineStr">
        <is>
          <t>Type</t>
        </is>
      </c>
      <c r="C108" s="58" t="inlineStr">
        <is>
          <t>Inland Buoy Tenders</t>
        </is>
      </c>
      <c r="D108" s="58" t="inlineStr">
        <is>
          <t>Inland buoy tenders</t>
        </is>
      </c>
      <c r="E108" s="58" t="inlineStr">
        <is>
          <t>Hull: WLI</t>
        </is>
      </c>
    </row>
    <row r="109" ht="10" customHeight="1">
      <c r="A109" s="58" t="inlineStr">
        <is>
          <t>Vessel Taxonomy</t>
        </is>
      </c>
      <c r="B109" s="58" t="inlineStr">
        <is>
          <t>Type</t>
        </is>
      </c>
      <c r="C109" s="58" t="inlineStr">
        <is>
          <t>Small Harbor Tugs</t>
        </is>
      </c>
      <c r="D109" s="58" t="inlineStr">
        <is>
          <t>65-foot small harbor tugs</t>
        </is>
      </c>
      <c r="E109" s="58" t="inlineStr">
        <is>
          <t>Hull: WYTL</t>
        </is>
      </c>
    </row>
    <row r="110" ht="10" customHeight="1">
      <c r="A110" s="58" t="inlineStr">
        <is>
          <t>Vessel Taxonomy</t>
        </is>
      </c>
      <c r="B110" s="58" t="inlineStr">
        <is>
          <t>Type</t>
        </is>
      </c>
      <c r="C110" s="58" t="inlineStr">
        <is>
          <t>Barque Eagle</t>
        </is>
      </c>
      <c r="D110" s="58" t="inlineStr">
        <is>
          <t>USCG training sailing vessel</t>
        </is>
      </c>
      <c r="E110" s="58" t="inlineStr">
        <is>
          <t>Hull: WIX</t>
        </is>
      </c>
    </row>
    <row r="111" ht="10" customHeight="1">
      <c r="A111" s="58" t="n"/>
      <c r="B111" s="58" t="n"/>
      <c r="C111" s="58" t="n"/>
      <c r="D111" s="58" t="n"/>
      <c r="E111" s="58" t="n"/>
    </row>
    <row r="112" ht="10" customHeight="1">
      <c r="A112" s="58" t="inlineStr">
        <is>
          <t>Vessel Taxonomy</t>
        </is>
      </c>
      <c r="B112" s="58" t="inlineStr">
        <is>
          <t>Category</t>
        </is>
      </c>
      <c r="C112" s="58" t="inlineStr">
        <is>
          <t>Boats</t>
        </is>
      </c>
      <c r="D112" s="58" t="inlineStr">
        <is>
          <t>Coast Guard boats — under 65 feet.</t>
        </is>
      </c>
      <c r="E112" s="58" t="n"/>
    </row>
    <row r="113" ht="10" customHeight="1">
      <c r="A113" s="58" t="inlineStr">
        <is>
          <t>Vessel Taxonomy</t>
        </is>
      </c>
      <c r="B113" s="58" t="inlineStr">
        <is>
          <t>Type</t>
        </is>
      </c>
      <c r="C113" s="58" t="inlineStr">
        <is>
          <t>Response Boats</t>
        </is>
      </c>
      <c r="D113" s="58" t="inlineStr">
        <is>
          <t>Motor lifeboats, response boats, transportable port security boats</t>
        </is>
      </c>
      <c r="E113" s="58" t="inlineStr">
        <is>
          <t>Hulls: MLB, RB-M, TPSB, RB-S II, UTM, UTL</t>
        </is>
      </c>
    </row>
    <row r="114" ht="10" customHeight="1">
      <c r="A114" s="58" t="inlineStr">
        <is>
          <t>Vessel Taxonomy</t>
        </is>
      </c>
      <c r="B114" s="58" t="inlineStr">
        <is>
          <t>Type</t>
        </is>
      </c>
      <c r="C114" s="58" t="inlineStr">
        <is>
          <t>Aids to Navigation Boats</t>
        </is>
      </c>
      <c r="D114" s="58" t="inlineStr">
        <is>
          <t>Boats supporting aids to navigation mission</t>
        </is>
      </c>
      <c r="E114" s="58" t="inlineStr">
        <is>
          <t>Hulls: ANB, BUSL, TANB, AB-S, AB-SKF</t>
        </is>
      </c>
    </row>
    <row r="115" ht="10" customHeight="1">
      <c r="A115" s="58" t="inlineStr">
        <is>
          <t>Vessel Taxonomy</t>
        </is>
      </c>
      <c r="B115" s="58" t="inlineStr">
        <is>
          <t>Type</t>
        </is>
      </c>
      <c r="C115" s="58" t="inlineStr">
        <is>
          <t>Cutter Boats</t>
        </is>
      </c>
      <c r="D115" s="58" t="inlineStr">
        <is>
          <t>Small boats deployed from cutters</t>
        </is>
      </c>
      <c r="E115" s="58" t="inlineStr">
        <is>
          <t>Hulls: CB-LRI, CB-OTH, ASB/LC, MSB, CB-L, CB-ATON, CB-M, CB-S, UTL</t>
        </is>
      </c>
    </row>
    <row r="116" ht="10" customHeight="1">
      <c r="A116" s="58" t="inlineStr">
        <is>
          <t>Vessel Taxonomy</t>
        </is>
      </c>
      <c r="B116" s="58" t="inlineStr">
        <is>
          <t>Type</t>
        </is>
      </c>
      <c r="C116" s="58" t="inlineStr">
        <is>
          <t>Special Purpose Craft</t>
        </is>
      </c>
      <c r="D116" s="58" t="inlineStr">
        <is>
          <t>Specialized mission craft</t>
        </is>
      </c>
      <c r="E116" s="58" t="inlineStr">
        <is>
          <t>Hulls: SPC-SV, SPC-TTB, SPC-TB, SPC-LE, SPC-BTD, SPC-LEO, SPC-SW, SPC-IRT, SKF-ICE, SKF</t>
        </is>
      </c>
    </row>
    <row r="117" ht="10" customHeight="1">
      <c r="A117" s="58" t="inlineStr">
        <is>
          <t>Vessel Taxonomy</t>
        </is>
      </c>
      <c r="B117" s="58" t="inlineStr">
        <is>
          <t>Type</t>
        </is>
      </c>
      <c r="C117" s="58" t="inlineStr">
        <is>
          <t>Training Craft</t>
        </is>
      </c>
      <c r="D117" s="58" t="inlineStr">
        <is>
          <t>Academy and training center craft</t>
        </is>
      </c>
      <c r="E117" s="58" t="inlineStr">
        <is>
          <t>Hulls: CT-64, SB</t>
        </is>
      </c>
    </row>
    <row r="118" ht="10" customHeight="1">
      <c r="A118" s="58" t="n"/>
      <c r="B118" s="58" t="n"/>
      <c r="C118" s="58" t="n"/>
      <c r="D118" s="58" t="n"/>
      <c r="E118" s="58" t="n"/>
    </row>
    <row r="119" ht="10" customHeight="1">
      <c r="A119" s="56" t="inlineStr">
        <is>
          <t>VESSEL CLASS DETAILED REFERENCE (contextual / not a column in the data)</t>
        </is>
      </c>
      <c r="B119" s="56" t="n"/>
      <c r="C119" s="56" t="n"/>
      <c r="D119" s="57" t="n"/>
      <c r="E119" s="57" t="n"/>
    </row>
    <row r="120" ht="10" customHeight="1">
      <c r="A120" s="58" t="inlineStr">
        <is>
          <t>Vessel Classes</t>
        </is>
      </c>
      <c r="B120" s="58" t="inlineStr">
        <is>
          <t>Note</t>
        </is>
      </c>
      <c r="C120" s="58" t="inlineStr">
        <is>
          <t>Reference only</t>
        </is>
      </c>
      <c r="D120" s="58" t="n"/>
      <c r="E120" s="58" t="n"/>
    </row>
    <row r="121" ht="10" customHeight="1">
      <c r="A121" s="58" t="n"/>
      <c r="B121" s="58" t="n"/>
      <c r="C121" s="58" t="n"/>
      <c r="D121" s="58" t="n"/>
      <c r="E121" s="58" t="n"/>
    </row>
    <row r="122" ht="10" customHeight="1">
      <c r="A122" s="58" t="inlineStr">
        <is>
          <t>Vessel Classes</t>
        </is>
      </c>
      <c r="B122" s="58" t="inlineStr">
        <is>
          <t>Hull</t>
        </is>
      </c>
      <c r="C122" s="58" t="inlineStr">
        <is>
          <t>CVN</t>
        </is>
      </c>
      <c r="D122" s="58" t="n"/>
      <c r="E122" s="58" t="n"/>
    </row>
    <row r="123" ht="10" customHeight="1">
      <c r="A123" s="58" t="inlineStr">
        <is>
          <t>Vessel Classes</t>
        </is>
      </c>
      <c r="B123" s="58" t="inlineStr">
        <is>
          <t>Class</t>
        </is>
      </c>
      <c r="C123" s="58" t="inlineStr">
        <is>
          <t>Nimitz (CVN-68)</t>
        </is>
      </c>
      <c r="D123" s="58" t="inlineStr">
        <is>
          <t>Nuclear-powered carrier, 10 ships (CVN-68 through CVN-77)</t>
        </is>
      </c>
      <c r="E123" s="58" t="inlineStr">
        <is>
          <t>Active</t>
        </is>
      </c>
    </row>
    <row r="124" ht="10" customHeight="1">
      <c r="A124" s="58" t="inlineStr">
        <is>
          <t>Vessel Classes</t>
        </is>
      </c>
      <c r="B124" s="58" t="inlineStr">
        <is>
          <t>Class</t>
        </is>
      </c>
      <c r="C124" s="58" t="inlineStr">
        <is>
          <t>Gerald R. Ford (CVN-78)</t>
        </is>
      </c>
      <c r="D124" s="58" t="inlineStr">
        <is>
          <t>Next-gen nuclear carrier: CVN-78, -79, -80, -81</t>
        </is>
      </c>
      <c r="E124" s="58" t="inlineStr">
        <is>
          <t>Active / under construction</t>
        </is>
      </c>
    </row>
    <row r="125" ht="10" customHeight="1">
      <c r="A125" s="58" t="n"/>
      <c r="B125" s="58" t="n"/>
      <c r="C125" s="58" t="n"/>
      <c r="D125" s="58" t="n"/>
      <c r="E125" s="58" t="n"/>
    </row>
    <row r="126" ht="10" customHeight="1">
      <c r="A126" s="58" t="inlineStr">
        <is>
          <t>Vessel Classes</t>
        </is>
      </c>
      <c r="B126" s="58" t="inlineStr">
        <is>
          <t>Class</t>
        </is>
      </c>
      <c r="C126" s="58" t="inlineStr">
        <is>
          <t>Arleigh Burke (DDG-51)</t>
        </is>
      </c>
      <c r="D126" s="58" t="inlineStr">
        <is>
          <t>Guided-missile destroyer — Flight I/II/IIA/III</t>
        </is>
      </c>
      <c r="E126" s="58" t="inlineStr">
        <is>
          <t>Active / under construction</t>
        </is>
      </c>
    </row>
    <row r="127" ht="10" customHeight="1">
      <c r="A127" s="58" t="inlineStr">
        <is>
          <t>Vessel Classes</t>
        </is>
      </c>
      <c r="B127" s="58" t="inlineStr">
        <is>
          <t>Class</t>
        </is>
      </c>
      <c r="C127" s="58" t="inlineStr">
        <is>
          <t>Zumwalt (DDG-1000)</t>
        </is>
      </c>
      <c r="D127" s="58" t="inlineStr">
        <is>
          <t>Multi-mission stealth destroyer, 3 ships</t>
        </is>
      </c>
      <c r="E127" s="58" t="inlineStr">
        <is>
          <t>Active</t>
        </is>
      </c>
    </row>
    <row r="128" ht="10" customHeight="1">
      <c r="A128" s="58" t="n"/>
      <c r="B128" s="58" t="n"/>
      <c r="C128" s="58" t="n"/>
      <c r="D128" s="58" t="n"/>
      <c r="E128" s="58" t="n"/>
    </row>
    <row r="129" ht="10" customHeight="1">
      <c r="A129" s="58" t="inlineStr">
        <is>
          <t>Vessel Classes</t>
        </is>
      </c>
      <c r="B129" s="58" t="inlineStr">
        <is>
          <t>Class</t>
        </is>
      </c>
      <c r="C129" s="58" t="inlineStr">
        <is>
          <t>Ticonderoga (CG-47)</t>
        </is>
      </c>
      <c r="D129" s="58" t="inlineStr">
        <is>
          <t>Guided-missile cruiser (being decommissioned)</t>
        </is>
      </c>
      <c r="E129" s="58" t="inlineStr">
        <is>
          <t>Active (retiring)</t>
        </is>
      </c>
    </row>
    <row r="130" ht="10" customHeight="1">
      <c r="A130" s="58" t="n"/>
      <c r="B130" s="58" t="n"/>
      <c r="C130" s="58" t="n"/>
      <c r="D130" s="58" t="n"/>
      <c r="E130" s="58" t="n"/>
    </row>
    <row r="131" ht="10" customHeight="1">
      <c r="A131" s="58" t="inlineStr">
        <is>
          <t>Vessel Classes</t>
        </is>
      </c>
      <c r="B131" s="58" t="inlineStr">
        <is>
          <t>Class</t>
        </is>
      </c>
      <c r="C131" s="58" t="inlineStr">
        <is>
          <t>Constellation (FFG-62)</t>
        </is>
      </c>
      <c r="D131" s="58" t="inlineStr">
        <is>
          <t>Next-generation guided-missile frigate</t>
        </is>
      </c>
      <c r="E131" s="58" t="inlineStr">
        <is>
          <t>Under construction</t>
        </is>
      </c>
    </row>
    <row r="132" ht="10" customHeight="1">
      <c r="A132" s="58" t="n"/>
      <c r="B132" s="58" t="n"/>
      <c r="C132" s="58" t="n"/>
      <c r="D132" s="58" t="n"/>
      <c r="E132" s="58" t="n"/>
    </row>
    <row r="133" ht="10" customHeight="1">
      <c r="A133" s="58" t="inlineStr">
        <is>
          <t>Vessel Classes</t>
        </is>
      </c>
      <c r="B133" s="58" t="inlineStr">
        <is>
          <t>Class</t>
        </is>
      </c>
      <c r="C133" s="58" t="inlineStr">
        <is>
          <t>Freedom (LCS-1)</t>
        </is>
      </c>
      <c r="D133" s="58" t="inlineStr">
        <is>
          <t>Littoral combat ship — Freedom variant</t>
        </is>
      </c>
      <c r="E133" s="58" t="inlineStr">
        <is>
          <t>Active</t>
        </is>
      </c>
    </row>
    <row r="134" ht="10" customHeight="1">
      <c r="A134" s="58" t="inlineStr">
        <is>
          <t>Vessel Classes</t>
        </is>
      </c>
      <c r="B134" s="58" t="inlineStr">
        <is>
          <t>Class</t>
        </is>
      </c>
      <c r="C134" s="58" t="inlineStr">
        <is>
          <t>Independence (LCS-2)</t>
        </is>
      </c>
      <c r="D134" s="58" t="inlineStr">
        <is>
          <t>Littoral combat ship — Independence variant</t>
        </is>
      </c>
      <c r="E134" s="58" t="inlineStr">
        <is>
          <t>Active</t>
        </is>
      </c>
    </row>
    <row r="135" ht="10" customHeight="1">
      <c r="A135" s="58" t="n"/>
      <c r="B135" s="58" t="n"/>
      <c r="C135" s="58" t="n"/>
      <c r="D135" s="58" t="n"/>
      <c r="E135" s="58" t="n"/>
    </row>
    <row r="136" ht="10" customHeight="1">
      <c r="A136" s="58" t="inlineStr">
        <is>
          <t>Vessel Classes</t>
        </is>
      </c>
      <c r="B136" s="58" t="inlineStr">
        <is>
          <t>Class</t>
        </is>
      </c>
      <c r="C136" s="58" t="inlineStr">
        <is>
          <t>Los Angeles (SSN-688)</t>
        </is>
      </c>
      <c r="D136" s="58" t="inlineStr">
        <is>
          <t>Nuclear attack submarine — largest SSN class</t>
        </is>
      </c>
      <c r="E136" s="58" t="inlineStr">
        <is>
          <t>Active (retiring)</t>
        </is>
      </c>
    </row>
    <row r="137" ht="10" customHeight="1">
      <c r="A137" s="58" t="inlineStr">
        <is>
          <t>Vessel Classes</t>
        </is>
      </c>
      <c r="B137" s="58" t="inlineStr">
        <is>
          <t>Class</t>
        </is>
      </c>
      <c r="C137" s="58" t="inlineStr">
        <is>
          <t>Seawolf (SSN-21)</t>
        </is>
      </c>
      <c r="D137" s="58" t="inlineStr">
        <is>
          <t>Nuclear attack submarine, 3 ships</t>
        </is>
      </c>
      <c r="E137" s="58" t="inlineStr">
        <is>
          <t>Active</t>
        </is>
      </c>
    </row>
    <row r="138" ht="10" customHeight="1">
      <c r="A138" s="58" t="inlineStr">
        <is>
          <t>Vessel Classes</t>
        </is>
      </c>
      <c r="B138" s="58" t="inlineStr">
        <is>
          <t>Class</t>
        </is>
      </c>
      <c r="C138" s="58" t="inlineStr">
        <is>
          <t>Virginia (SSN-774)</t>
        </is>
      </c>
      <c r="D138" s="58" t="inlineStr">
        <is>
          <t>Nuclear attack submarine — Block I through V</t>
        </is>
      </c>
      <c r="E138" s="58" t="inlineStr">
        <is>
          <t>Active / under construction</t>
        </is>
      </c>
    </row>
    <row r="139" ht="10" customHeight="1">
      <c r="A139" s="58" t="n"/>
      <c r="B139" s="58" t="n"/>
      <c r="C139" s="58" t="n"/>
      <c r="D139" s="58" t="n"/>
      <c r="E139" s="58" t="n"/>
    </row>
    <row r="140" ht="10" customHeight="1">
      <c r="A140" s="58" t="inlineStr">
        <is>
          <t>Vessel Classes</t>
        </is>
      </c>
      <c r="B140" s="58" t="inlineStr">
        <is>
          <t>Class</t>
        </is>
      </c>
      <c r="C140" s="58" t="inlineStr">
        <is>
          <t>Ohio (SSBN-726 / SSGN-726)</t>
        </is>
      </c>
      <c r="D140" s="58" t="inlineStr">
        <is>
          <t>Fleet ballistic missile sub (SSBN) and guided-missile sub (SSGN)</t>
        </is>
      </c>
      <c r="E140" s="58" t="inlineStr">
        <is>
          <t>Active (retiring)</t>
        </is>
      </c>
    </row>
    <row r="141" ht="10" customHeight="1">
      <c r="A141" s="58" t="inlineStr">
        <is>
          <t>Vessel Classes</t>
        </is>
      </c>
      <c r="B141" s="58" t="inlineStr">
        <is>
          <t>Class</t>
        </is>
      </c>
      <c r="C141" s="58" t="inlineStr">
        <is>
          <t>Columbia (SSBN-826)</t>
        </is>
      </c>
      <c r="D141" s="58" t="inlineStr">
        <is>
          <t>Next-gen ballistic missile submarine</t>
        </is>
      </c>
      <c r="E141" s="58" t="inlineStr">
        <is>
          <t>Under construction</t>
        </is>
      </c>
    </row>
    <row r="142" ht="10" customHeight="1">
      <c r="A142" s="58" t="n"/>
      <c r="B142" s="58" t="n"/>
      <c r="C142" s="58" t="n"/>
      <c r="D142" s="58" t="n"/>
      <c r="E142" s="58" t="n"/>
    </row>
    <row r="143" ht="10" customHeight="1">
      <c r="A143" s="58" t="inlineStr">
        <is>
          <t>Vessel Classes</t>
        </is>
      </c>
      <c r="B143" s="58" t="inlineStr">
        <is>
          <t>Class</t>
        </is>
      </c>
      <c r="C143" s="58" t="inlineStr">
        <is>
          <t>America (LHA-6)</t>
        </is>
      </c>
      <c r="D143" s="58" t="inlineStr">
        <is>
          <t>Amphibious assault ship</t>
        </is>
      </c>
      <c r="E143" s="58" t="inlineStr">
        <is>
          <t>Active / under construction</t>
        </is>
      </c>
    </row>
    <row r="144" ht="10" customHeight="1">
      <c r="A144" s="58" t="inlineStr">
        <is>
          <t>Vessel Classes</t>
        </is>
      </c>
      <c r="B144" s="58" t="inlineStr">
        <is>
          <t>Class</t>
        </is>
      </c>
      <c r="C144" s="58" t="inlineStr">
        <is>
          <t>Wasp (LHD-1)</t>
        </is>
      </c>
      <c r="D144" s="58" t="inlineStr">
        <is>
          <t>Multipurpose amphibious assault ship, 8 ships</t>
        </is>
      </c>
      <c r="E144" s="58" t="inlineStr">
        <is>
          <t>Active</t>
        </is>
      </c>
    </row>
    <row r="145" ht="10" customHeight="1">
      <c r="A145" s="58" t="inlineStr">
        <is>
          <t>Vessel Classes</t>
        </is>
      </c>
      <c r="B145" s="58" t="inlineStr">
        <is>
          <t>Class</t>
        </is>
      </c>
      <c r="C145" s="58" t="inlineStr">
        <is>
          <t>San Antonio (LPD-17)</t>
        </is>
      </c>
      <c r="D145" s="58" t="inlineStr">
        <is>
          <t>Amphibious transport dock — Flight I and II</t>
        </is>
      </c>
      <c r="E145" s="58" t="inlineStr">
        <is>
          <t>Active / under construction</t>
        </is>
      </c>
    </row>
    <row r="146" ht="10" customHeight="1">
      <c r="A146" s="58" t="inlineStr">
        <is>
          <t>Vessel Classes</t>
        </is>
      </c>
      <c r="B146" s="58" t="inlineStr">
        <is>
          <t>Class</t>
        </is>
      </c>
      <c r="C146" s="58" t="inlineStr">
        <is>
          <t>Whidbey Island / Harpers Ferry (LSD-41/49)</t>
        </is>
      </c>
      <c r="D146" s="58" t="inlineStr">
        <is>
          <t>Dock landing ships (being replaced by LPD Flight II)</t>
        </is>
      </c>
      <c r="E146" s="58" t="inlineStr">
        <is>
          <t>Active (retiring)</t>
        </is>
      </c>
    </row>
    <row r="147" ht="10" customHeight="1">
      <c r="A147" s="58" t="n"/>
      <c r="B147" s="58" t="n"/>
      <c r="C147" s="58" t="n"/>
      <c r="D147" s="58" t="n"/>
      <c r="E147" s="58" t="n"/>
    </row>
    <row r="148" ht="10" customHeight="1">
      <c r="A148" s="58" t="inlineStr">
        <is>
          <t>Vessel Classes</t>
        </is>
      </c>
      <c r="B148" s="58" t="inlineStr">
        <is>
          <t>Class</t>
        </is>
      </c>
      <c r="C148" s="58" t="inlineStr">
        <is>
          <t>Avenger (MCM-1)</t>
        </is>
      </c>
      <c r="D148" s="58" t="inlineStr">
        <is>
          <t>Mine countermeasures ship</t>
        </is>
      </c>
      <c r="E148" s="58" t="inlineStr">
        <is>
          <t>Active (retiring)</t>
        </is>
      </c>
    </row>
    <row r="149" ht="10" customHeight="1">
      <c r="A149" s="58" t="n"/>
      <c r="B149" s="58" t="n"/>
      <c r="C149" s="58" t="n"/>
      <c r="D149" s="58" t="n"/>
      <c r="E149" s="58" t="n"/>
    </row>
    <row r="150" ht="10" customHeight="1">
      <c r="A150" s="58" t="inlineStr">
        <is>
          <t>Vessel Classes</t>
        </is>
      </c>
      <c r="B150" s="58" t="inlineStr">
        <is>
          <t>Class</t>
        </is>
      </c>
      <c r="C150" s="58" t="inlineStr">
        <is>
          <t>Henry J. Kaiser (T-AO 187)</t>
        </is>
      </c>
      <c r="D150" s="58" t="inlineStr">
        <is>
          <t>Fleet replenishment oiler (MSC)</t>
        </is>
      </c>
      <c r="E150" s="58" t="inlineStr">
        <is>
          <t>Active</t>
        </is>
      </c>
    </row>
    <row r="151" ht="10" customHeight="1">
      <c r="A151" s="58" t="inlineStr">
        <is>
          <t>Vessel Classes</t>
        </is>
      </c>
      <c r="B151" s="58" t="inlineStr">
        <is>
          <t>Class</t>
        </is>
      </c>
      <c r="C151" s="58" t="inlineStr">
        <is>
          <t>John Lewis (T-AO 205)</t>
        </is>
      </c>
      <c r="D151" s="58" t="inlineStr">
        <is>
          <t>Next-gen fleet replenishment oiler (MSC)</t>
        </is>
      </c>
      <c r="E151" s="58" t="inlineStr">
        <is>
          <t>Under construction</t>
        </is>
      </c>
    </row>
    <row r="152" ht="10" customHeight="1">
      <c r="A152" s="58" t="inlineStr">
        <is>
          <t>Vessel Classes</t>
        </is>
      </c>
      <c r="B152" s="58" t="inlineStr">
        <is>
          <t>Class</t>
        </is>
      </c>
      <c r="C152" s="58" t="inlineStr">
        <is>
          <t>Lewis and Clark (T-AKE)</t>
        </is>
      </c>
      <c r="D152" s="58" t="inlineStr">
        <is>
          <t>Dry cargo/ammunition ship (MSC)</t>
        </is>
      </c>
      <c r="E152" s="58" t="inlineStr">
        <is>
          <t>Active</t>
        </is>
      </c>
    </row>
    <row r="153" ht="10" customHeight="1">
      <c r="A153" s="58" t="inlineStr">
        <is>
          <t>Vessel Classes</t>
        </is>
      </c>
      <c r="B153" s="58" t="inlineStr">
        <is>
          <t>Class</t>
        </is>
      </c>
      <c r="C153" s="58" t="inlineStr">
        <is>
          <t>Supply (T-AOE 6)</t>
        </is>
      </c>
      <c r="D153" s="58" t="inlineStr">
        <is>
          <t>Fast combat support ship</t>
        </is>
      </c>
      <c r="E153" s="58" t="inlineStr">
        <is>
          <t>Inactive</t>
        </is>
      </c>
    </row>
    <row r="154" ht="10" customHeight="1">
      <c r="A154" s="58" t="n"/>
      <c r="B154" s="58" t="n"/>
      <c r="C154" s="58" t="n"/>
      <c r="D154" s="58" t="n"/>
      <c r="E154" s="58" t="n"/>
    </row>
    <row r="155" ht="10" customHeight="1">
      <c r="A155" s="58" t="inlineStr">
        <is>
          <t>Vessel Classes</t>
        </is>
      </c>
      <c r="B155" s="58" t="inlineStr">
        <is>
          <t>Class</t>
        </is>
      </c>
      <c r="C155" s="58" t="inlineStr">
        <is>
          <t>Spearhead (T-EPF)</t>
        </is>
      </c>
      <c r="D155" s="58" t="inlineStr">
        <is>
          <t>Expeditionary fast transport (MSC)</t>
        </is>
      </c>
      <c r="E155" s="58" t="inlineStr">
        <is>
          <t>Active</t>
        </is>
      </c>
    </row>
    <row r="156" ht="10" customHeight="1">
      <c r="A156" s="58" t="inlineStr">
        <is>
          <t>Vessel Classes</t>
        </is>
      </c>
      <c r="B156" s="58" t="inlineStr">
        <is>
          <t>Class</t>
        </is>
      </c>
      <c r="C156" s="58" t="inlineStr">
        <is>
          <t>Lewis B. Puller (T-ESB)</t>
        </is>
      </c>
      <c r="D156" s="58" t="inlineStr">
        <is>
          <t>Expeditionary sea base (MSC)</t>
        </is>
      </c>
      <c r="E156" s="58" t="inlineStr">
        <is>
          <t>Active</t>
        </is>
      </c>
    </row>
    <row r="157" ht="10" customHeight="1">
      <c r="A157" s="58" t="inlineStr">
        <is>
          <t>Vessel Classes</t>
        </is>
      </c>
      <c r="B157" s="58" t="inlineStr">
        <is>
          <t>Class</t>
        </is>
      </c>
      <c r="C157" s="58" t="inlineStr">
        <is>
          <t>Medium Landing Ship (LSM)</t>
        </is>
      </c>
      <c r="D157" s="58" t="inlineStr">
        <is>
          <t>New program — medium amphibious landing ship</t>
        </is>
      </c>
      <c r="E157" s="58" t="inlineStr">
        <is>
          <t>Under development</t>
        </is>
      </c>
    </row>
    <row r="158" ht="10" customHeight="1">
      <c r="A158" s="58" t="inlineStr">
        <is>
          <t>Vessel Classes</t>
        </is>
      </c>
      <c r="B158" s="58" t="inlineStr">
        <is>
          <t>Class</t>
        </is>
      </c>
      <c r="C158" s="58" t="inlineStr">
        <is>
          <t>Ship to Shore Connector (SSC / LCAC 100)</t>
        </is>
      </c>
      <c r="D158" s="58" t="inlineStr">
        <is>
          <t>Next-gen landing craft air cushion</t>
        </is>
      </c>
      <c r="E158" s="58" t="inlineStr">
        <is>
          <t>Under construction</t>
        </is>
      </c>
    </row>
    <row r="159" ht="10" customHeight="1">
      <c r="A159" s="58" t="inlineStr">
        <is>
          <t>Vessel Classes</t>
        </is>
      </c>
      <c r="B159" s="58" t="inlineStr">
        <is>
          <t>Class</t>
        </is>
      </c>
      <c r="C159" s="58" t="inlineStr">
        <is>
          <t>LCU 1700</t>
        </is>
      </c>
      <c r="D159" s="58" t="inlineStr">
        <is>
          <t>Landing craft utility — next generation</t>
        </is>
      </c>
      <c r="E159" s="58" t="inlineStr">
        <is>
          <t>Under construction</t>
        </is>
      </c>
    </row>
    <row r="160" ht="10" customHeight="1">
      <c r="A160" s="58" t="n"/>
      <c r="B160" s="58" t="n"/>
      <c r="C160" s="58" t="n"/>
      <c r="D160" s="58" t="n"/>
      <c r="E160" s="58" t="n"/>
    </row>
    <row r="161" ht="10" customHeight="1">
      <c r="A161" s="58" t="inlineStr">
        <is>
          <t>Vessel Classes</t>
        </is>
      </c>
      <c r="B161" s="58" t="inlineStr">
        <is>
          <t>Class</t>
        </is>
      </c>
      <c r="C161" s="58" t="inlineStr">
        <is>
          <t>Blue Ridge (LCC-19/20)</t>
        </is>
      </c>
      <c r="D161" s="58" t="inlineStr">
        <is>
          <t>Amphibious command ship</t>
        </is>
      </c>
      <c r="E161" s="58" t="inlineStr">
        <is>
          <t>Active</t>
        </is>
      </c>
    </row>
    <row r="162" ht="10" customHeight="1">
      <c r="A162" s="58" t="inlineStr">
        <is>
          <t>Vessel Classes</t>
        </is>
      </c>
      <c r="B162" s="58" t="inlineStr">
        <is>
          <t>Class</t>
        </is>
      </c>
      <c r="C162" s="58" t="inlineStr">
        <is>
          <t>Emory S. Land (AS-39)</t>
        </is>
      </c>
      <c r="D162" s="58" t="inlineStr">
        <is>
          <t>Submarine tender</t>
        </is>
      </c>
      <c r="E162" s="58" t="inlineStr">
        <is>
          <t>Active</t>
        </is>
      </c>
    </row>
    <row r="163" ht="10" customHeight="1">
      <c r="A163" s="58" t="inlineStr">
        <is>
          <t>Vessel Classes</t>
        </is>
      </c>
      <c r="B163" s="58" t="inlineStr">
        <is>
          <t>Class</t>
        </is>
      </c>
      <c r="C163" s="58" t="inlineStr">
        <is>
          <t>Victorious (T-AGOS 19)</t>
        </is>
      </c>
      <c r="D163" s="58" t="inlineStr">
        <is>
          <t>Ocean surveillance ship (MSC)</t>
        </is>
      </c>
      <c r="E163" s="58" t="inlineStr">
        <is>
          <t>Active</t>
        </is>
      </c>
    </row>
    <row r="164" ht="10" customHeight="1">
      <c r="A164" s="58" t="inlineStr">
        <is>
          <t>Vessel Classes</t>
        </is>
      </c>
      <c r="B164" s="58" t="inlineStr">
        <is>
          <t>Class</t>
        </is>
      </c>
      <c r="C164" s="58" t="inlineStr">
        <is>
          <t>Pathfinder (T-AGS 60)</t>
        </is>
      </c>
      <c r="D164" s="58" t="inlineStr">
        <is>
          <t>Oceanographic survey ship (MSC)</t>
        </is>
      </c>
      <c r="E164" s="58" t="inlineStr">
        <is>
          <t>Active</t>
        </is>
      </c>
    </row>
    <row r="165" ht="10" customHeight="1">
      <c r="A165" s="58" t="inlineStr">
        <is>
          <t>Vessel Classes</t>
        </is>
      </c>
      <c r="B165" s="58" t="inlineStr">
        <is>
          <t>Class</t>
        </is>
      </c>
      <c r="C165" s="58" t="inlineStr">
        <is>
          <t>Mercy (T-AH 19)</t>
        </is>
      </c>
      <c r="D165" s="58" t="inlineStr">
        <is>
          <t>Hospital ship (MSC)</t>
        </is>
      </c>
      <c r="E165" s="58" t="inlineStr">
        <is>
          <t>Active</t>
        </is>
      </c>
    </row>
    <row r="166" ht="10" customHeight="1">
      <c r="A166" s="58" t="inlineStr">
        <is>
          <t>Vessel Classes</t>
        </is>
      </c>
      <c r="B166" s="58" t="inlineStr">
        <is>
          <t>Class</t>
        </is>
      </c>
      <c r="C166" s="58" t="inlineStr">
        <is>
          <t>Navajo (T-ATS)</t>
        </is>
      </c>
      <c r="D166" s="58" t="inlineStr">
        <is>
          <t>Towing/salvage/rescue ship (MSC)</t>
        </is>
      </c>
      <c r="E166" s="58" t="inlineStr">
        <is>
          <t>Under construction</t>
        </is>
      </c>
    </row>
    <row r="167" ht="10" customHeight="1">
      <c r="A167" s="58" t="inlineStr">
        <is>
          <t>Vessel Classes</t>
        </is>
      </c>
      <c r="B167" s="58" t="inlineStr">
        <is>
          <t>Class</t>
        </is>
      </c>
      <c r="C167" s="58" t="inlineStr">
        <is>
          <t>Safeguard (ARS-50)</t>
        </is>
      </c>
      <c r="D167" s="58" t="inlineStr">
        <is>
          <t>Rescue and salvage ship</t>
        </is>
      </c>
      <c r="E167" s="58" t="inlineStr">
        <is>
          <t>Active</t>
        </is>
      </c>
    </row>
    <row r="168" ht="10" customHeight="1">
      <c r="A168" s="58" t="n"/>
      <c r="B168" s="58" t="n"/>
      <c r="C168" s="58" t="n"/>
      <c r="D168" s="58" t="n"/>
      <c r="E168" s="58" t="n"/>
    </row>
    <row r="169" ht="10" customHeight="1">
      <c r="A169" s="58" t="inlineStr">
        <is>
          <t>Vessel Classes</t>
        </is>
      </c>
      <c r="B169" s="58" t="inlineStr">
        <is>
          <t>Class</t>
        </is>
      </c>
      <c r="C169" s="58" t="inlineStr">
        <is>
          <t>Legend (WMSL-750)</t>
        </is>
      </c>
      <c r="D169" s="58" t="inlineStr">
        <is>
          <t>National Security Cutter</t>
        </is>
      </c>
      <c r="E169" s="58" t="inlineStr">
        <is>
          <t>Active</t>
        </is>
      </c>
    </row>
    <row r="170" ht="10" customHeight="1">
      <c r="A170" s="58" t="inlineStr">
        <is>
          <t>Vessel Classes</t>
        </is>
      </c>
      <c r="B170" s="58" t="inlineStr">
        <is>
          <t>Class</t>
        </is>
      </c>
      <c r="C170" s="58" t="inlineStr">
        <is>
          <t>Heritage (WMSM-920)</t>
        </is>
      </c>
      <c r="D170" s="58" t="inlineStr">
        <is>
          <t>Offshore Patrol Cutter</t>
        </is>
      </c>
      <c r="E170" s="58" t="inlineStr">
        <is>
          <t>Under construction</t>
        </is>
      </c>
    </row>
    <row r="171" ht="10" customHeight="1">
      <c r="A171" s="58" t="inlineStr">
        <is>
          <t>Vessel Classes</t>
        </is>
      </c>
      <c r="B171" s="58" t="inlineStr">
        <is>
          <t>Class</t>
        </is>
      </c>
      <c r="C171" s="58" t="inlineStr">
        <is>
          <t>Sentinel (WPC-1101)</t>
        </is>
      </c>
      <c r="D171" s="58" t="inlineStr">
        <is>
          <t>Fast Response Cutter</t>
        </is>
      </c>
      <c r="E171" s="58" t="inlineStr">
        <is>
          <t>Active / under construction</t>
        </is>
      </c>
    </row>
    <row r="172" ht="10" customHeight="1">
      <c r="A172" s="58" t="inlineStr">
        <is>
          <t>Vessel Classes</t>
        </is>
      </c>
      <c r="B172" s="58" t="inlineStr">
        <is>
          <t>Class</t>
        </is>
      </c>
      <c r="C172" s="58" t="inlineStr">
        <is>
          <t>Famous (WMEC-270)</t>
        </is>
      </c>
      <c r="D172" s="58" t="inlineStr">
        <is>
          <t>270-foot medium endurance cutter</t>
        </is>
      </c>
      <c r="E172" s="58" t="inlineStr">
        <is>
          <t>Active</t>
        </is>
      </c>
    </row>
    <row r="173" ht="10" customHeight="1">
      <c r="A173" s="58" t="inlineStr">
        <is>
          <t>Vessel Classes</t>
        </is>
      </c>
      <c r="B173" s="58" t="inlineStr">
        <is>
          <t>Class</t>
        </is>
      </c>
      <c r="C173" s="58" t="inlineStr">
        <is>
          <t>Reliance (WMEC-210)</t>
        </is>
      </c>
      <c r="D173" s="58" t="inlineStr">
        <is>
          <t>210-foot medium endurance cutter</t>
        </is>
      </c>
      <c r="E173" s="58" t="inlineStr">
        <is>
          <t>Retiring</t>
        </is>
      </c>
    </row>
    <row r="174" ht="10" customHeight="1">
      <c r="A174" s="58" t="inlineStr">
        <is>
          <t>Vessel Classes</t>
        </is>
      </c>
      <c r="B174" s="58" t="inlineStr">
        <is>
          <t>Class</t>
        </is>
      </c>
      <c r="C174" s="58" t="inlineStr">
        <is>
          <t>Polar (WAGB-10)</t>
        </is>
      </c>
      <c r="D174" s="58" t="inlineStr">
        <is>
          <t>Polar-class heavy icebreaker</t>
        </is>
      </c>
      <c r="E174" s="58" t="inlineStr">
        <is>
          <t>Active (beyond service life)</t>
        </is>
      </c>
    </row>
    <row r="175" ht="10" customHeight="1">
      <c r="A175" s="58" t="inlineStr">
        <is>
          <t>Vessel Classes</t>
        </is>
      </c>
      <c r="B175" s="58" t="inlineStr">
        <is>
          <t>Class</t>
        </is>
      </c>
      <c r="C175" s="58" t="inlineStr">
        <is>
          <t>Polar Security Cutter (WAGB)</t>
        </is>
      </c>
      <c r="D175" s="58" t="inlineStr">
        <is>
          <t>New heavy polar icebreaker program</t>
        </is>
      </c>
      <c r="E175" s="58" t="inlineStr">
        <is>
          <t>Under construction</t>
        </is>
      </c>
    </row>
    <row r="176" ht="10" customHeight="1">
      <c r="A176" s="58" t="inlineStr">
        <is>
          <t>Vessel Classes</t>
        </is>
      </c>
      <c r="B176" s="58" t="inlineStr">
        <is>
          <t>Class</t>
        </is>
      </c>
      <c r="C176" s="58" t="inlineStr">
        <is>
          <t>Mackinaw (WLBB-30)</t>
        </is>
      </c>
      <c r="D176" s="58" t="inlineStr">
        <is>
          <t>Great Lakes icebreaker</t>
        </is>
      </c>
      <c r="E176" s="58" t="inlineStr">
        <is>
          <t>Active</t>
        </is>
      </c>
    </row>
    <row r="177" ht="10" customHeight="1">
      <c r="A177" s="58" t="inlineStr">
        <is>
          <t>Vessel Classes</t>
        </is>
      </c>
      <c r="B177" s="58" t="inlineStr">
        <is>
          <t>Class</t>
        </is>
      </c>
      <c r="C177" s="58" t="inlineStr">
        <is>
          <t>Juniper (WLB-201)</t>
        </is>
      </c>
      <c r="D177" s="58" t="inlineStr">
        <is>
          <t>Seagoing buoy tender</t>
        </is>
      </c>
      <c r="E177" s="58" t="inlineStr">
        <is>
          <t>Active</t>
        </is>
      </c>
    </row>
    <row r="178" ht="10" customHeight="1">
      <c r="A178" s="58" t="inlineStr">
        <is>
          <t>Vessel Classes</t>
        </is>
      </c>
      <c r="B178" s="58" t="inlineStr">
        <is>
          <t>Class</t>
        </is>
      </c>
      <c r="C178" s="58" t="inlineStr">
        <is>
          <t>Keeper (WLM-551)</t>
        </is>
      </c>
      <c r="D178" s="58" t="inlineStr">
        <is>
          <t>Coastal buoy tender</t>
        </is>
      </c>
      <c r="E178" s="58" t="inlineStr">
        <is>
          <t>Active</t>
        </is>
      </c>
    </row>
    <row r="179" ht="10" customHeight="1">
      <c r="A179" s="58" t="n"/>
      <c r="B179" s="58" t="n"/>
      <c r="C179" s="58" t="n"/>
      <c r="D179" s="58" t="n"/>
      <c r="E179" s="58" t="n"/>
    </row>
    <row r="180" ht="10" customHeight="1">
      <c r="A180" s="56" t="inlineStr">
        <is>
          <t>VESSEL COLUMN STANDARDIZATION RULES</t>
        </is>
      </c>
      <c r="B180" s="56" t="n"/>
      <c r="C180" s="56" t="n"/>
      <c r="D180" s="57" t="n"/>
      <c r="E180" s="57" t="n"/>
    </row>
    <row r="181" ht="10" customHeight="1">
      <c r="A181" s="58" t="n"/>
      <c r="B181" s="58" t="n"/>
      <c r="C181" s="58" t="n"/>
      <c r="D181" s="58" t="n"/>
      <c r="E181" s="58" t="n"/>
    </row>
    <row r="182" ht="10" customHeight="1">
      <c r="A182" s="58" t="inlineStr">
        <is>
          <t>Standardization</t>
        </is>
      </c>
      <c r="B182" s="58" t="inlineStr">
        <is>
          <t>Rule</t>
        </is>
      </c>
      <c r="C182" s="58" t="inlineStr">
        <is>
          <t>4-column vessel hierarchy</t>
        </is>
      </c>
      <c r="D182" s="58" t="inlineStr">
        <is>
          <t>Vessel data split into: Vessel_Service (USN/USCG/MSC), Vessel_Category (Combatant Ships, Auxiliary Ships, etc.), Vessel_Type (e.g., Surface Combatants), Vessel_Hull (e.g., DDG, T-AO).</t>
        </is>
      </c>
      <c r="E182" s="58" t="inlineStr">
        <is>
          <t>Each column progressively more specific. All 4 may be populated or only broader levels.</t>
        </is>
      </c>
    </row>
    <row r="183" ht="10" customHeight="1">
      <c r="A183" s="58" t="inlineStr">
        <is>
          <t>Standardization</t>
        </is>
      </c>
      <c r="B183" s="58" t="inlineStr">
        <is>
          <t>Rule</t>
        </is>
      </c>
      <c r="C183" s="58" t="inlineStr">
        <is>
          <t>Service determined by hull and source</t>
        </is>
      </c>
      <c r="D183" s="58" t="inlineStr">
        <is>
          <t>MSC assigned when hull starts with T-. USCG assigned for Cutters/Boats categories or USCG source book. All others USN.</t>
        </is>
      </c>
      <c r="E183" s="58" t="n"/>
    </row>
    <row r="184" ht="10" customHeight="1">
      <c r="A184" s="58" t="inlineStr">
        <is>
          <t>Standardization</t>
        </is>
      </c>
      <c r="B184" s="58" t="inlineStr">
        <is>
          <t>Rule</t>
        </is>
      </c>
      <c r="C184" s="58" t="inlineStr">
        <is>
          <t>Multi-type / multi-hull rows blanked</t>
        </is>
      </c>
      <c r="D184" s="58" t="inlineStr">
        <is>
          <t>If a line item applies to multiple vessel types or hulls, all 4 vessel columns are blank.</t>
        </is>
      </c>
      <c r="E184" s="58" t="inlineStr">
        <is>
          <t>Description or Citation preserves original scope.</t>
        </is>
      </c>
    </row>
    <row r="185" ht="10" customHeight="1">
      <c r="A185" s="58" t="inlineStr">
        <is>
          <t>Standardization</t>
        </is>
      </c>
      <c r="B185" s="58" t="inlineStr">
        <is>
          <t>Rule</t>
        </is>
      </c>
      <c r="C185" s="58" t="inlineStr">
        <is>
          <t>Vague values blanked</t>
        </is>
      </c>
      <c r="D185" s="58" t="inlineStr">
        <is>
          <t>Values like 'Multiple', 'Afloat (various)', 'N/A' that cannot map to a single canonical type are blanked.</t>
        </is>
      </c>
      <c r="E185" s="58" t="n"/>
    </row>
    <row r="186" ht="10" customHeight="1">
      <c r="A186" s="58" t="inlineStr">
        <is>
          <t>Standardization</t>
        </is>
      </c>
      <c r="B186" s="58" t="inlineStr">
        <is>
          <t>Rule</t>
        </is>
      </c>
      <c r="C186" s="58" t="inlineStr">
        <is>
          <t>Hull extracted from class or type</t>
        </is>
      </c>
      <c r="D186" s="58" t="inlineStr">
        <is>
          <t>Hull derived first from vessel class (Arleigh Burke -&gt; DDG). If no class but original type was specific (e.g., 'Surface Combatants (DDG)'), hull extracted from type.</t>
        </is>
      </c>
      <c r="E186" s="58" t="n"/>
    </row>
    <row r="187" ht="10" customHeight="1">
      <c r="A187" s="58" t="inlineStr">
        <is>
          <t>Standardization</t>
        </is>
      </c>
      <c r="B187" s="58" t="inlineStr">
        <is>
          <t>Rule</t>
        </is>
      </c>
      <c r="C187" s="58" t="inlineStr">
        <is>
          <t>Type has no parentheticals</t>
        </is>
      </c>
      <c r="D187" s="58" t="inlineStr">
        <is>
          <t>Vessel_Type uses base name only (e.g., 'Surface Combatants'). Hull abbreviations belong in Vessel_Hull.</t>
        </is>
      </c>
      <c r="E187" s="58" t="n"/>
    </row>
    <row r="188" ht="10" customHeight="1">
      <c r="A188" s="58" t="inlineStr">
        <is>
          <t>Standardization</t>
        </is>
      </c>
      <c r="B188" s="58" t="inlineStr">
        <is>
          <t>Rule</t>
        </is>
      </c>
      <c r="C188" s="58" t="inlineStr">
        <is>
          <t>Blank stays blank</t>
        </is>
      </c>
      <c r="D188" s="58" t="inlineStr">
        <is>
          <t>If vessel info was originally blank, all 4 vessel columns remain blank.</t>
        </is>
      </c>
      <c r="E188" s="58" t="n"/>
    </row>
    <row r="189" ht="10" customHeight="1">
      <c r="A189" s="54" t="n"/>
      <c r="B189" s="54" t="n"/>
      <c r="C189" s="54" t="n"/>
      <c r="D189" s="54" t="n"/>
      <c r="E189" s="54" t="n"/>
    </row>
    <row r="190" ht="10" customHeight="1">
      <c r="A190" s="56" t="inlineStr">
        <is>
          <t>COMPOSITE BUCKET VALUES</t>
        </is>
      </c>
      <c r="B190" s="56" t="n"/>
      <c r="C190" s="56" t="n"/>
      <c r="D190" s="57" t="n"/>
      <c r="E190" s="57" t="n"/>
    </row>
    <row r="191" ht="10" customHeight="1">
      <c r="A191" s="58" t="n"/>
      <c r="B191" s="58" t="n"/>
      <c r="C191" s="58" t="n"/>
      <c r="D191" s="58" t="n"/>
      <c r="E191" s="58" t="n"/>
    </row>
    <row r="192" ht="10" customHeight="1">
      <c r="A192" s="58" t="inlineStr">
        <is>
          <t>Buckets</t>
        </is>
      </c>
      <c r="B192" s="58" t="inlineStr">
        <is>
          <t>Note</t>
        </is>
      </c>
      <c r="C192" s="58" t="inlineStr">
        <is>
          <t>Composite buckets</t>
        </is>
      </c>
      <c r="D192" s="58" t="inlineStr">
        <is>
          <t>Some line items span multiple work types. Their Bucket value uses a delimiter (pipe, comma, or slash) to indicate all applicable buckets.</t>
        </is>
      </c>
      <c r="E192" s="58" t="inlineStr">
        <is>
          <t>Values: 2|3, 2,3, 2/4, 4/6, 1,4,5. These do not match any single-integer SUMPRODUCT filter and are correctly excluded from per-bucket TAM sums.</t>
        </is>
      </c>
    </row>
    <row r="193" ht="10" customHeight="1">
      <c r="A193" s="58" t="inlineStr">
        <is>
          <t>Buckets</t>
        </is>
      </c>
      <c r="B193" s="58" t="inlineStr">
        <is>
          <t>Note</t>
        </is>
      </c>
      <c r="C193" s="58" t="inlineStr">
        <is>
          <t>TAM impact</t>
        </is>
      </c>
      <c r="D193" s="58" t="inlineStr">
        <is>
          <t>Composite-bucket rows are excluded from the TAM-by-work-type pivot (sheets 3 &amp; 4) because SUMPRODUCT checks D=1, D=2, etc. — a string like "2|3" fails all single-integer tests.</t>
        </is>
      </c>
      <c r="E193" s="58" t="inlineStr">
        <is>
          <t>To capture these rows, filter Bucket for non-integer values.</t>
        </is>
      </c>
    </row>
    <row r="194" ht="10" customHeight="1">
      <c r="A194" s="54" t="n"/>
      <c r="B194" s="54" t="n"/>
      <c r="C194" s="54" t="n"/>
      <c r="D194" s="54" t="n"/>
      <c r="E194" s="54" t="n"/>
    </row>
    <row r="195" ht="10" customHeight="1">
      <c r="A195" s="56" t="inlineStr">
        <is>
          <t>BUCKET SUB-CATEGORIES (BUCKETS 2-7)</t>
        </is>
      </c>
      <c r="B195" s="56" t="n"/>
      <c r="C195" s="56" t="n"/>
      <c r="D195" s="57" t="n"/>
      <c r="E195" s="57" t="n"/>
    </row>
    <row r="196" ht="10" customHeight="1">
      <c r="A196" s="58" t="n"/>
      <c r="B196" s="58" t="n"/>
      <c r="C196" s="58" t="n"/>
      <c r="D196" s="58" t="n"/>
      <c r="E196" s="58" t="n"/>
    </row>
    <row r="197" ht="10" customHeight="1">
      <c r="A197" s="58" t="inlineStr">
        <is>
          <t>Bucket 2 Subs</t>
        </is>
      </c>
      <c r="B197" s="58" t="inlineStr">
        <is>
          <t>Sub-Category</t>
        </is>
      </c>
      <c r="C197" s="58" t="inlineStr">
        <is>
          <t>Scheduled Depot Maintenance</t>
        </is>
      </c>
      <c r="D197" s="58" t="inlineStr">
        <is>
          <t>CNO-scheduled depot-level maintenance availabilities (DSRA, SRA, DPMA, PMA, PIA, drydock).</t>
        </is>
      </c>
      <c r="E197" s="58" t="inlineStr">
        <is>
          <t>113 rows in current data.</t>
        </is>
      </c>
    </row>
    <row r="198" ht="10" customHeight="1">
      <c r="A198" s="58" t="inlineStr">
        <is>
          <t>Bucket 2 Subs</t>
        </is>
      </c>
      <c r="B198" s="58" t="inlineStr">
        <is>
          <t>Sub-Category</t>
        </is>
      </c>
      <c r="C198" s="58" t="inlineStr">
        <is>
          <t>Ship Availability</t>
        </is>
      </c>
      <c r="D198" s="58" t="inlineStr">
        <is>
          <t>Ship availability periods for maintenance and repair work.</t>
        </is>
      </c>
      <c r="E198" s="58" t="inlineStr">
        <is>
          <t>105 rows in current data.</t>
        </is>
      </c>
    </row>
    <row r="199" ht="10" customHeight="1">
      <c r="A199" s="58" t="n"/>
      <c r="B199" s="58" t="n"/>
      <c r="C199" s="58" t="n"/>
      <c r="D199" s="58" t="n"/>
      <c r="E199" s="58" t="n"/>
    </row>
    <row r="200" ht="10" customHeight="1">
      <c r="A200" s="58" t="inlineStr">
        <is>
          <t>Bucket 4 Subs</t>
        </is>
      </c>
      <c r="B200" s="58" t="inlineStr">
        <is>
          <t>Sub-Category</t>
        </is>
      </c>
      <c r="C200" s="58" t="inlineStr">
        <is>
          <t>GFE / combat systems for newbuild</t>
        </is>
      </c>
      <c r="D200" s="58" t="inlineStr">
        <is>
          <t>Government-furnished equipment and combat system modernization installations.</t>
        </is>
      </c>
      <c r="E200" s="58" t="inlineStr">
        <is>
          <t>Shared with Bucket 1 — same sub-category applies to both new construction and retrofit contexts.</t>
        </is>
      </c>
    </row>
    <row r="201" ht="10" customHeight="1">
      <c r="A201" s="58" t="n"/>
      <c r="B201" s="58" t="n"/>
      <c r="C201" s="58" t="n"/>
      <c r="D201" s="58" t="n"/>
      <c r="E201" s="58" t="n"/>
    </row>
    <row r="202" ht="10" customHeight="1">
      <c r="A202" s="58" t="inlineStr">
        <is>
          <t>Bucket 5 Subs</t>
        </is>
      </c>
      <c r="B202" s="58" t="inlineStr">
        <is>
          <t>Sub-Category</t>
        </is>
      </c>
      <c r="C202" s="58" t="inlineStr">
        <is>
          <t>RCOH</t>
        </is>
      </c>
      <c r="D202" s="58" t="inlineStr">
        <is>
          <t>Refueling Complex Overhaul — multi-year nuclear carrier recapitalization.</t>
        </is>
      </c>
      <c r="E202" s="58" t="inlineStr">
        <is>
          <t>187 rows in current data.</t>
        </is>
      </c>
    </row>
    <row r="203" ht="10" customHeight="1">
      <c r="A203" s="58" t="inlineStr">
        <is>
          <t>Bucket 5 Subs</t>
        </is>
      </c>
      <c r="B203" s="58" t="inlineStr">
        <is>
          <t>Sub-Category</t>
        </is>
      </c>
      <c r="C203" s="58" t="inlineStr">
        <is>
          <t>SLEP</t>
        </is>
      </c>
      <c r="D203" s="58" t="inlineStr">
        <is>
          <t>Service Life Extension Program — extends a platform beyond original design life.</t>
        </is>
      </c>
      <c r="E203" s="58" t="inlineStr">
        <is>
          <t>6 rows in current data.</t>
        </is>
      </c>
    </row>
    <row r="204" ht="10" customHeight="1">
      <c r="A204" s="58" t="n"/>
      <c r="B204" s="58" t="n"/>
      <c r="C204" s="58" t="n"/>
      <c r="D204" s="58" t="n"/>
      <c r="E204" s="58" t="n"/>
    </row>
    <row r="205" ht="10" customHeight="1">
      <c r="A205" s="58" t="inlineStr">
        <is>
          <t>Bucket 6 Subs</t>
        </is>
      </c>
      <c r="B205" s="58" t="inlineStr">
        <is>
          <t>Sub-Category</t>
        </is>
      </c>
      <c r="C205" s="58" t="inlineStr">
        <is>
          <t>Sustainment Engineering/Planning/Obsolescence Support - spares</t>
        </is>
      </c>
      <c r="D205" s="58" t="inlineStr">
        <is>
          <t>Spare parts procurement supporting sustainment engineering and obsolescence management (OPN BA08).</t>
        </is>
      </c>
      <c r="E205" s="58" t="inlineStr">
        <is>
          <t>14 rows in current data.</t>
        </is>
      </c>
    </row>
    <row r="206" ht="10" customHeight="1">
      <c r="A206" s="58" t="n"/>
      <c r="B206" s="58" t="n"/>
      <c r="C206" s="58" t="n"/>
      <c r="D206" s="58" t="n"/>
      <c r="E206" s="58" t="n"/>
    </row>
    <row r="207" ht="10" customHeight="1">
      <c r="A207" s="58" t="inlineStr">
        <is>
          <t>Bucket 7 Subs</t>
        </is>
      </c>
      <c r="B207" s="58" t="inlineStr">
        <is>
          <t>Sub-Category</t>
        </is>
      </c>
      <c r="C207" s="58" t="inlineStr">
        <is>
          <t>Availability Support</t>
        </is>
      </c>
      <c r="D207" s="58" t="inlineStr">
        <is>
          <t>Services enabling repair/modernization — husbanding, port services, crane, scaffolding, environmental.</t>
        </is>
      </c>
      <c r="E207" s="58" t="inlineStr">
        <is>
          <t>76 rows in current data.</t>
        </is>
      </c>
    </row>
    <row r="208" ht="10" customHeight="1">
      <c r="A208" s="58" t="n"/>
      <c r="B208" s="58" t="n"/>
      <c r="C208" s="58" t="n"/>
      <c r="D208" s="58" t="n"/>
      <c r="E208" s="58" t="n"/>
    </row>
    <row r="209" ht="10" customHeight="1">
      <c r="A209" s="58" t="inlineStr">
        <is>
          <t>Other</t>
        </is>
      </c>
      <c r="B209" s="58" t="inlineStr">
        <is>
          <t>Sub-Category</t>
        </is>
      </c>
      <c r="C209" s="58" t="inlineStr">
        <is>
          <t>Full vessel procurement</t>
        </is>
      </c>
      <c r="D209" s="58" t="inlineStr">
        <is>
          <t>USCG full vessel procurement — equivalent to Full ship DD&amp;C but for Coast Guard assets.</t>
        </is>
      </c>
      <c r="E209" s="58" t="inlineStr">
        <is>
          <t>6 rows in current data. Used for USCG cutters/boats.</t>
        </is>
      </c>
    </row>
    <row r="210" ht="10" customHeight="1">
      <c r="A210" s="58" t="inlineStr">
        <is>
          <t>Other</t>
        </is>
      </c>
      <c r="B210" s="58" t="inlineStr">
        <is>
          <t>Sub-Category</t>
        </is>
      </c>
      <c r="C210" s="58" t="inlineStr">
        <is>
          <t>Full ship DD&amp;C / LLTM</t>
        </is>
      </c>
      <c r="D210" s="58" t="inlineStr">
        <is>
          <t>Combined full ship construction and long-lead time material in a single line item.</t>
        </is>
      </c>
      <c r="E210" s="58" t="inlineStr">
        <is>
          <t>3 rows in current data.</t>
        </is>
      </c>
    </row>
    <row r="211" ht="10" customHeight="1">
      <c r="A211" s="54" t="n"/>
      <c r="B211" s="54" t="n"/>
      <c r="C211" s="54" t="n"/>
      <c r="D211" s="54" t="n"/>
      <c r="E211" s="54" t="n"/>
    </row>
    <row r="212"/>
    <row r="213" ht="10" customHeight="1">
      <c r="A213" s="56" t="inlineStr">
        <is>
          <t>FY 2027 COLUMNS — METHODOLOGY &amp; SOURCING</t>
        </is>
      </c>
      <c r="B213" s="56" t="n"/>
      <c r="C213" s="56" t="n"/>
      <c r="D213" s="57" t="n"/>
      <c r="E213" s="57" t="n"/>
    </row>
    <row r="214"/>
    <row r="215" ht="10" customHeight="1">
      <c r="A215" s="59" t="inlineStr">
        <is>
          <t>FY 2027 Columns</t>
        </is>
      </c>
      <c r="B215" s="59" t="inlineStr">
        <is>
          <t>Source Document</t>
        </is>
      </c>
      <c r="C215" s="59" t="inlineStr">
        <is>
          <t>FY 2027 P-1 / O-1 (April 2026)</t>
        </is>
      </c>
      <c r="D215" s="60" t="inlineStr">
        <is>
          <t>New columns added: FY2027 Request ($K), FY2027 Mandatory Request ($K), FY2027 Total ($K). Located at cols Z/AA/AB, between FY2026 DAA columns and the Helper Columns group.</t>
        </is>
      </c>
      <c r="E215" s="60" t="inlineStr">
        <is>
          <t>Status of FY27: REQUEST only, not enacted. Congress has not yet acted on the FY27 budget submission.</t>
        </is>
      </c>
    </row>
    <row r="216" ht="10" customHeight="1">
      <c r="A216" s="59" t="n"/>
      <c r="B216" s="59" t="n"/>
      <c r="C216" s="59" t="n"/>
      <c r="D216" s="59" t="n"/>
      <c r="E216" s="59" t="n"/>
    </row>
    <row r="217" ht="10" customHeight="1">
      <c r="A217" s="59" t="inlineStr">
        <is>
          <t>FY 2027 Columns</t>
        </is>
      </c>
      <c r="B217" s="59" t="inlineStr">
        <is>
          <t>Discretionary vs Mandatory</t>
        </is>
      </c>
      <c r="C217" s="59" t="inlineStr">
        <is>
          <t>Two separate FY27 columns</t>
        </is>
      </c>
      <c r="D217" s="6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0" t="inlineStr">
        <is>
          <t>FY2027 Total = Disc Request + Mandatory Request. SCN FY27 totals: Disc $60.18B + Mand $5.65B = $65.83B.</t>
        </is>
      </c>
    </row>
    <row r="218" ht="10" customHeight="1">
      <c r="A218" s="59" t="n"/>
      <c r="B218" s="59" t="n"/>
      <c r="C218" s="59" t="n"/>
      <c r="D218" s="59" t="n"/>
      <c r="E218" s="59" t="n"/>
    </row>
    <row r="219" ht="10" customHeight="1">
      <c r="A219" s="59" t="inlineStr">
        <is>
          <t>FY 2027 Columns</t>
        </is>
      </c>
      <c r="B219" s="59" t="inlineStr">
        <is>
          <t>TAM Formula</t>
        </is>
      </c>
      <c r="C219" s="59" t="inlineStr">
        <is>
          <t>Same as FY26 — sum (no tag) + [PARENT] rows</t>
        </is>
      </c>
      <c r="D219" s="60" t="inlineStr">
        <is>
          <t>For FY27: TAM = SUM(FY27_Total) WHERE Row_Type IN ("", "[PARENT]"). Use FY2027 Total as the per-row value, OR sum FY2027 Request + FY2027 Mandatory Request separately if you want to model the two scenarios.</t>
        </is>
      </c>
      <c r="E219" s="60" t="inlineStr">
        <is>
          <t>Same double-counting guards apply: skip [SUB], [ALT_VIEW], [REFERENCE], [UNFUNDED]. Composite-bucket rows still excluded from per-bucket pivots.</t>
        </is>
      </c>
    </row>
    <row r="220" ht="10" customHeight="1">
      <c r="A220" s="59" t="n"/>
      <c r="B220" s="59" t="n"/>
      <c r="C220" s="59" t="n"/>
      <c r="D220" s="59" t="n"/>
      <c r="E220" s="59" t="n"/>
    </row>
    <row r="221" ht="10" customHeight="1">
      <c r="A221" s="59" t="inlineStr">
        <is>
          <t>FY 2027 Columns</t>
        </is>
      </c>
      <c r="B221" s="59" t="inlineStr">
        <is>
          <t>Net vs Gross convention</t>
        </is>
      </c>
      <c r="C221" s="59" t="inlineStr">
        <is>
          <t>PARENT = NET (gross − Less:AP − Less:SFF)</t>
        </is>
      </c>
      <c r="D221" s="6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0" t="inlineStr">
        <is>
          <t>Validated against FY26: Virginia Class PARENT FY26 DAA Final = $2.74B = gross $5.39B − AP $2.65B (FY27 P-1 page 135). Same approach used for FY27.</t>
        </is>
      </c>
    </row>
    <row r="222" ht="10" customHeight="1">
      <c r="A222" s="59" t="n"/>
      <c r="B222" s="59" t="n"/>
      <c r="C222" s="59" t="n"/>
      <c r="D222" s="59" t="n"/>
      <c r="E222" s="59" t="n"/>
    </row>
    <row r="223" ht="10" customHeight="1">
      <c r="A223" s="59" t="inlineStr">
        <is>
          <t>FY 2027 Columns</t>
        </is>
      </c>
      <c r="B223" s="59" t="inlineStr">
        <is>
          <t>OBBBA exclusion</t>
        </is>
      </c>
      <c r="C223" s="59" t="inlineStr">
        <is>
          <t>OBBBA does NOT get a separate FY27 column</t>
        </is>
      </c>
      <c r="D223" s="6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0" t="inlineStr">
        <is>
          <t>See "Budget authority vs spending implementation" row below for the nuance about why some OBBBA contracts will sign in FY27/FY28 even though the budget authority is FY26.</t>
        </is>
      </c>
    </row>
    <row r="224" ht="10" customHeight="1">
      <c r="A224" s="59" t="n"/>
      <c r="B224" s="59" t="n"/>
      <c r="C224" s="59" t="n"/>
      <c r="D224" s="59" t="n"/>
      <c r="E224" s="59" t="n"/>
    </row>
    <row r="225" ht="10" customHeight="1">
      <c r="A225" s="59" t="inlineStr">
        <is>
          <t>FY 2027 Columns</t>
        </is>
      </c>
      <c r="B225" s="59" t="inlineStr">
        <is>
          <t>Budget authority vs spending implementation</t>
        </is>
      </c>
      <c r="C225" s="59" t="inlineStr">
        <is>
          <t>Important conceptual distinction</t>
        </is>
      </c>
      <c r="D225" s="6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59" t="n"/>
      <c r="B226" s="59" t="n"/>
      <c r="C226" s="59" t="n"/>
      <c r="D226" s="59" t="n"/>
      <c r="E226" s="59" t="n"/>
    </row>
    <row r="227" ht="10" customHeight="1">
      <c r="A227" s="59" t="inlineStr">
        <is>
          <t>FY 2027 Columns</t>
        </is>
      </c>
      <c r="B227" s="59" t="inlineStr">
        <is>
          <t>FY27 Mandatory Request vs OBBBA</t>
        </is>
      </c>
      <c r="C227" s="59" t="inlineStr">
        <is>
          <t>These are DIFFERENT pots of money</t>
        </is>
      </c>
      <c r="D227" s="6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0" t="inlineStr">
        <is>
          <t>SCN FY27 Mandatory Request = $5.65B. Compare to SCN FY26 OBBBA (PL 119-21) = $17.93B. Different bills, different fiscal years, both technically "reconciliation" but accounted separately.</t>
        </is>
      </c>
    </row>
    <row r="228" ht="10" customHeight="1">
      <c r="A228" s="59" t="n"/>
      <c r="B228" s="59" t="n"/>
      <c r="C228" s="59" t="n"/>
      <c r="D228" s="59" t="n"/>
      <c r="E228" s="59" t="n"/>
    </row>
    <row r="229" ht="10" customHeight="1">
      <c r="A229" s="59" t="inlineStr">
        <is>
          <t>FY 2027 Columns</t>
        </is>
      </c>
      <c r="B229" s="59" t="inlineStr">
        <is>
          <t>Coverage by source book</t>
        </is>
      </c>
      <c r="C229" s="59" t="inlineStr">
        <is>
          <t>High for SCN/OPN/WPN, blank for OMN/NWCF/USCG</t>
        </is>
      </c>
      <c r="D229" s="6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0" t="inlineStr">
        <is>
          <t>Plan: OMN/NWCF will be filled via prorated SAG-level allocation in a separate sheet (Phase 2). USCG will be filled when DHS Congressional Justification is sourced.</t>
        </is>
      </c>
    </row>
    <row r="230" ht="10" customHeight="1">
      <c r="A230" s="59" t="n"/>
      <c r="B230" s="59" t="n"/>
      <c r="C230" s="59" t="n"/>
      <c r="D230" s="59" t="n"/>
      <c r="E230" s="59" t="n"/>
    </row>
    <row r="231" ht="10" customHeight="1">
      <c r="A231" s="59" t="inlineStr">
        <is>
          <t>FY 2027 Columns</t>
        </is>
      </c>
      <c r="B231" s="59" t="inlineStr">
        <is>
          <t>New programs added in v1.21</t>
        </is>
      </c>
      <c r="C231" s="59" t="inlineStr">
        <is>
          <t>9 new SCN rows for FY27 P-1 line items</t>
        </is>
      </c>
      <c r="D231" s="6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0" t="inlineStr">
        <is>
          <t>Each new row has Source=SCN, Color of Money=Procurement, no Row Type tag (additive), and full vessel taxonomy populated where available.</t>
        </is>
      </c>
    </row>
    <row r="232" ht="10" customHeight="1">
      <c r="A232" s="59" t="n"/>
      <c r="B232" s="59" t="n"/>
      <c r="C232" s="59" t="n"/>
      <c r="D232" s="59" t="n"/>
      <c r="E232" s="59" t="n"/>
    </row>
    <row r="233" ht="10" customHeight="1">
      <c r="A233" s="59" t="inlineStr">
        <is>
          <t>FY 2027 Columns</t>
        </is>
      </c>
      <c r="B233" s="59" t="inlineStr">
        <is>
          <t>1613N Maritime Industrial Base Fund</t>
        </is>
      </c>
      <c r="C233" s="59" t="inlineStr">
        <is>
          <t>NOT added — FY26-only appropriation</t>
        </is>
      </c>
      <c r="D233" s="6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0" t="inlineStr">
        <is>
          <t>—</t>
        </is>
      </c>
    </row>
    <row r="234"/>
    <row r="235" ht="10" customHeight="1">
      <c r="A235" s="56" t="inlineStr">
        <is>
          <t>DATA QUALITY FLAGS — KNOWN DUPLICATES &amp; INCONSISTENCIES</t>
        </is>
      </c>
      <c r="B235" s="56" t="n"/>
      <c r="C235" s="56" t="n"/>
      <c r="D235" s="57" t="n"/>
      <c r="E235" s="57" t="n"/>
    </row>
    <row r="236"/>
    <row r="237" ht="10" customHeight="1">
      <c r="A237" s="59" t="inlineStr">
        <is>
          <t>Data Quality</t>
        </is>
      </c>
      <c r="B237" s="59" t="inlineStr">
        <is>
          <t>Submarket value duplicates (RESOLVED in v1.22)</t>
        </is>
      </c>
      <c r="C237" s="59" t="inlineStr">
        <is>
          <t>Surface Combatants - Large / Medium</t>
        </is>
      </c>
      <c r="D237" s="6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0" t="inlineStr">
        <is>
          <t>If you reload data from a source that uses en-dashes, re-run the consolidation step.</t>
        </is>
      </c>
    </row>
    <row r="238" ht="10" customHeight="1">
      <c r="A238" s="59" t="n"/>
      <c r="B238" s="59" t="n"/>
      <c r="C238" s="59" t="n"/>
      <c r="D238" s="59" t="n"/>
      <c r="E238" s="59" t="n"/>
    </row>
    <row r="239" ht="10" customHeight="1">
      <c r="A239" s="59" t="inlineStr">
        <is>
          <t>Data Quality</t>
        </is>
      </c>
      <c r="B239" s="59" t="inlineStr">
        <is>
          <t>Duplicate rows across OPN_BA3 and OPN_BA5-8</t>
        </is>
      </c>
      <c r="C239" s="59" t="inlineStr">
        <is>
          <t>5 line items appear in both source books</t>
        </is>
      </c>
      <c r="D239" s="6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59" t="n"/>
      <c r="B240" s="59" t="n"/>
      <c r="C240" s="59" t="n"/>
      <c r="D240" s="59" t="n"/>
      <c r="E240" s="59" t="n"/>
    </row>
    <row r="241" ht="10" customHeight="1">
      <c r="A241" s="59" t="inlineStr">
        <is>
          <t>Data Quality</t>
        </is>
      </c>
      <c r="B241" s="59" t="inlineStr">
        <is>
          <t>Duplicate row #1: LI 116 Advanced Arresting Gear (AAG)</t>
        </is>
      </c>
      <c r="C241" s="59" t="inlineStr">
        <is>
          <t>OPN_BA3 R2890 + OPN_BA5-8 R3208</t>
        </is>
      </c>
      <c r="D241" s="60" t="inlineStr">
        <is>
          <t>Both rows reference the same P-1 line item (Advanced Arresting Gear). Citation in OPN_BA3 says "P-40 / BA03 / BSA03 Aircraft Support Equipment / LI 4217". Citation in OPN_BA5-8 says "Exhibit P-1 / BA03 Aviation Support Equipment / Aircraft Support Equipment".</t>
        </is>
      </c>
      <c r="E241" s="60" t="inlineStr">
        <is>
          <t>Both populate FY27 = $23,551K disc. Pick one as canonical.</t>
        </is>
      </c>
    </row>
    <row r="242" ht="10" customHeight="1">
      <c r="A242" s="59" t="n"/>
      <c r="B242" s="59" t="n"/>
      <c r="C242" s="59" t="n"/>
      <c r="D242" s="59" t="n"/>
      <c r="E242" s="59" t="n"/>
    </row>
    <row r="243" ht="10" customHeight="1">
      <c r="A243" s="59" t="inlineStr">
        <is>
          <t>Data Quality</t>
        </is>
      </c>
      <c r="B243" s="59" t="inlineStr">
        <is>
          <t>Duplicate row #2: LI 117 Electromagnetic Aircraft Launch System (EMALS)</t>
        </is>
      </c>
      <c r="C243" s="59" t="inlineStr">
        <is>
          <t>OPN_BA3 R2901 + OPN_BA5-8 R3209</t>
        </is>
      </c>
      <c r="D243" s="60" t="inlineStr">
        <is>
          <t>Both rows reference the same P-1 line item (EMALS). Same dual-citation pattern as AAG.</t>
        </is>
      </c>
      <c r="E243" s="60" t="inlineStr">
        <is>
          <t>Both populate FY27 = $36,908K disc. Pick one as canonical.</t>
        </is>
      </c>
    </row>
    <row r="244" ht="10" customHeight="1">
      <c r="A244" s="59" t="n"/>
      <c r="B244" s="59" t="n"/>
      <c r="C244" s="59" t="n"/>
      <c r="D244" s="59" t="n"/>
      <c r="E244" s="59" t="n"/>
    </row>
    <row r="245" ht="10" customHeight="1">
      <c r="A245" s="59" t="inlineStr">
        <is>
          <t>Data Quality</t>
        </is>
      </c>
      <c r="B245" s="59" t="inlineStr">
        <is>
          <t>Duplicate row #3: LI 122 UMCS-Unman Carrier Aviation (UCA) Mission Control Station</t>
        </is>
      </c>
      <c r="C245" s="59" t="inlineStr">
        <is>
          <t>OPN_BA3 R2947 + OPN_BA5-8 R3210</t>
        </is>
      </c>
      <c r="D245" s="60" t="inlineStr">
        <is>
          <t>Both rows reference the same P-1 line item (UMCS-UCA). Same dual-citation pattern.</t>
        </is>
      </c>
      <c r="E245" s="60" t="inlineStr">
        <is>
          <t>Both populate FY27 = $211,216K disc. Pick one as canonical.</t>
        </is>
      </c>
    </row>
    <row r="246" ht="10" customHeight="1">
      <c r="A246" s="59" t="n"/>
      <c r="B246" s="59" t="n"/>
      <c r="C246" s="59" t="n"/>
      <c r="D246" s="59" t="n"/>
      <c r="E246" s="59" t="n"/>
    </row>
    <row r="247" ht="10" customHeight="1">
      <c r="A247" s="59" t="inlineStr">
        <is>
          <t>Data Quality</t>
        </is>
      </c>
      <c r="B247" s="59" t="inlineStr">
        <is>
          <t>Duplicate row #4: LI 176 Spares and Repair Parts</t>
        </is>
      </c>
      <c r="C247" s="59" t="inlineStr">
        <is>
          <t>OPN_BA3 R2973 + OPN_BA5-8 R3220</t>
        </is>
      </c>
      <c r="D247" s="60" t="inlineStr">
        <is>
          <t>Both rows reference P-1 BA08 line 176 "Spares and Repair Parts". OPN_BA3 has it because the source book includes BA08 spares; OPN_BA5-8 also covers BA08. Same line, two rows.</t>
        </is>
      </c>
      <c r="E247" s="60" t="inlineStr">
        <is>
          <t>Both populate FY27 = $765,711K disc. Pick one as canonical. Largest single-line double-count.</t>
        </is>
      </c>
    </row>
    <row r="248" ht="10" customHeight="1">
      <c r="A248" s="59" t="n"/>
      <c r="B248" s="59" t="n"/>
      <c r="C248" s="59" t="n"/>
      <c r="D248" s="59" t="n"/>
      <c r="E248" s="59" t="n"/>
    </row>
    <row r="249" ht="10" customHeight="1">
      <c r="A249" s="59" t="inlineStr">
        <is>
          <t>Data Quality</t>
        </is>
      </c>
      <c r="B249" s="59" t="inlineStr">
        <is>
          <t>Duplicate row #5: LI 177 VIRGINIA Class (VACL) Spares and Repair Parts</t>
        </is>
      </c>
      <c r="C249" s="59" t="inlineStr">
        <is>
          <t>OPN_BA3 R2974 + OPN_BA5-8 R3221</t>
        </is>
      </c>
      <c r="D249" s="6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0"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6" t="inlineStr">
        <is>
          <t>PHASE 2 — OMN / NWCF / USCG FY27 ALLOCATION METHODOLOGY (planned, not yet implemented)</t>
        </is>
      </c>
      <c r="B252" s="56" t="n"/>
      <c r="C252" s="56" t="n"/>
      <c r="D252" s="57" t="n"/>
      <c r="E252" s="57" t="n"/>
    </row>
    <row r="253"/>
    <row r="254" ht="10" customHeight="1">
      <c r="A254" s="59" t="inlineStr">
        <is>
          <t>Phase 2 Plan</t>
        </is>
      </c>
      <c r="B254" s="59" t="inlineStr">
        <is>
          <t>Why a separate sheet</t>
        </is>
      </c>
      <c r="C254" s="59" t="inlineStr">
        <is>
          <t>New sheet "FY27 Allocation Workbench"</t>
        </is>
      </c>
      <c r="D254" s="6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0" t="inlineStr">
        <is>
          <t>USCG cannot be filled from this DoW exhibit set at all — it would require the DHS Coast Guard Congressional Justification, sourced separately. Phase 2 covers OMN/OMN_Vol2/NWCF only.</t>
        </is>
      </c>
    </row>
    <row r="255" ht="10" customHeight="1">
      <c r="A255" s="59" t="n"/>
      <c r="B255" s="59" t="n"/>
      <c r="C255" s="59" t="n"/>
      <c r="D255" s="59" t="n"/>
      <c r="E255" s="59" t="n"/>
    </row>
    <row r="256" ht="10" customHeight="1">
      <c r="A256" s="59" t="inlineStr">
        <is>
          <t>Phase 2 Plan</t>
        </is>
      </c>
      <c r="B256" s="59" t="inlineStr">
        <is>
          <t>Allocation rule</t>
        </is>
      </c>
      <c r="C256" s="59" t="inlineStr">
        <is>
          <t>Pro-rate by FY26 share of SAG total</t>
        </is>
      </c>
      <c r="D256" s="6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59" t="n"/>
      <c r="B257" s="59" t="n"/>
      <c r="C257" s="59" t="n"/>
      <c r="D257" s="59" t="n"/>
      <c r="E257" s="59" t="n"/>
    </row>
    <row r="258" ht="10" customHeight="1">
      <c r="A258" s="59" t="inlineStr">
        <is>
          <t>Phase 2 Plan</t>
        </is>
      </c>
      <c r="B258" s="59" t="inlineStr">
        <is>
          <t>Source SAG totals (FY27)</t>
        </is>
      </c>
      <c r="C258" s="59" t="inlineStr">
        <is>
          <t>From FY27 O-1 / RF-1</t>
        </is>
      </c>
      <c r="D258" s="6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0" t="inlineStr">
        <is>
          <t>These totals all have FY27 Disc Request only — no FY27 Mandatory Request for OMN/NWCF in the FY27 PB (mandatory is concentrated in procurement accounts).</t>
        </is>
      </c>
    </row>
    <row r="259" ht="10" customHeight="1">
      <c r="A259" s="59" t="n"/>
      <c r="B259" s="59" t="n"/>
      <c r="C259" s="59" t="n"/>
      <c r="D259" s="59" t="n"/>
      <c r="E259" s="59" t="n"/>
    </row>
    <row r="260" ht="10" customHeight="1">
      <c r="A260" s="59" t="inlineStr">
        <is>
          <t>Phase 2 Plan</t>
        </is>
      </c>
      <c r="B260" s="59" t="inlineStr">
        <is>
          <t>Workbench sheet structure</t>
        </is>
      </c>
      <c r="C260" s="59" t="inlineStr">
        <is>
          <t>One row per J Book row to be allocated</t>
        </is>
      </c>
      <c r="D260" s="6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0" t="inlineStr">
        <is>
          <t>After review, copy col J back into the FY27 Request column of J Book Items Cons. for each row. Leave Mandatory Request blank for OMN/NWCF (no FY27 mandatory ask in those accounts).</t>
        </is>
      </c>
    </row>
    <row r="261" ht="10" customHeight="1">
      <c r="A261" s="59" t="n"/>
      <c r="B261" s="59" t="n"/>
      <c r="C261" s="59" t="n"/>
      <c r="D261" s="59" t="n"/>
      <c r="E261" s="59" t="n"/>
    </row>
    <row r="262" ht="10" customHeight="1">
      <c r="A262" s="59" t="inlineStr">
        <is>
          <t>Phase 2 Plan</t>
        </is>
      </c>
      <c r="B262" s="59" t="inlineStr">
        <is>
          <t>SAG → row mapping</t>
        </is>
      </c>
      <c r="C262" s="59" t="inlineStr">
        <is>
          <t>Use the Citation column</t>
        </is>
      </c>
      <c r="D262" s="6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0" t="inlineStr">
        <is>
          <t>For rows with ambiguous or missing citations, manual SAG assignment is required.</t>
        </is>
      </c>
    </row>
    <row r="263" ht="10" customHeight="1">
      <c r="A263" s="59" t="n"/>
      <c r="B263" s="59" t="n"/>
      <c r="C263" s="59" t="n"/>
      <c r="D263" s="59" t="n"/>
      <c r="E263" s="59" t="n"/>
    </row>
    <row r="264" ht="10" customHeight="1">
      <c r="A264" s="59" t="inlineStr">
        <is>
          <t>Phase 2 Plan</t>
        </is>
      </c>
      <c r="B264" s="59" t="inlineStr">
        <is>
          <t>Validation after Phase 2</t>
        </is>
      </c>
      <c r="C264" s="59" t="inlineStr">
        <is>
          <t>Sum check vs FY27 SAG total</t>
        </is>
      </c>
      <c r="D264" s="6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0" t="inlineStr">
        <is>
          <t>Same TAM rules apply: only PARENT and (no tag) rows are additive. Sub rows can be filled for context but should not be summed in the SAG check.</t>
        </is>
      </c>
    </row>
    <row r="265" ht="10" customHeight="1">
      <c r="A265" s="59" t="n"/>
      <c r="B265" s="59" t="n"/>
      <c r="C265" s="59" t="n"/>
      <c r="D265" s="59" t="n"/>
      <c r="E265" s="59" t="n"/>
    </row>
    <row r="266" ht="10" customHeight="1">
      <c r="A266" s="59" t="inlineStr">
        <is>
          <t>Phase 2 Plan</t>
        </is>
      </c>
      <c r="B266" s="59" t="inlineStr">
        <is>
          <t>When NOT to prorate</t>
        </is>
      </c>
      <c r="C266" s="59" t="inlineStr">
        <is>
          <t>Manually populated rows</t>
        </is>
      </c>
      <c r="D266" s="6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0" t="inlineStr">
        <is>
          <t>—</t>
        </is>
      </c>
    </row>
    <row r="267" ht="10" customHeight="1">
      <c r="A267" s="59" t="n"/>
      <c r="B267" s="59" t="n"/>
      <c r="C267" s="59" t="n"/>
      <c r="D267" s="59" t="n"/>
      <c r="E267" s="59" t="n"/>
    </row>
    <row r="268" ht="10" customHeight="1">
      <c r="A268" s="59" t="inlineStr">
        <is>
          <t>Phase 2 Plan</t>
        </is>
      </c>
      <c r="B268" s="59" t="inlineStr">
        <is>
          <t>USCG handling</t>
        </is>
      </c>
      <c r="C268" s="59" t="inlineStr">
        <is>
          <t>Out of scope for Phase 2</t>
        </is>
      </c>
      <c r="D268" s="6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0" t="inlineStr">
        <is>
          <t>Until Phase 3, USCG FY27 columns remain blank.</t>
        </is>
      </c>
    </row>
    <row r="269"/>
    <row r="270" ht="11" customHeight="1">
      <c r="A270" s="61" t="inlineStr">
        <is>
          <t>TAM &amp; SAM MEKKO TABLE VERSIONS (v1 – v4)</t>
        </is>
      </c>
    </row>
    <row r="271"/>
    <row r="272" ht="11" customHeight="1">
      <c r="A272" s="62" t="inlineStr">
        <is>
          <t>TAM / SAM Mekkos</t>
        </is>
      </c>
      <c r="B272" s="62" t="inlineStr">
        <is>
          <t>Purpose</t>
        </is>
      </c>
      <c r="C272" s="62" t="inlineStr">
        <is>
          <t>Mekko chart data tables</t>
        </is>
      </c>
      <c r="D272" s="62" t="inlineStr">
        <is>
          <t>Each Mekko table breaks FY2026 budget authority by vessel type (columns) and work type (rows). Values are percentages of the column total — designed to feed stacked-bar or Mekko charts. The bottom "Total" row holds absolute $K values that set the column widths.</t>
        </is>
      </c>
      <c r="E272" s="62" t="inlineStr">
        <is>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is>
      </c>
    </row>
    <row r="273" ht="11" customHeight="1">
      <c r="A273" s="62" t="inlineStr">
        <is>
          <t>TAM / SAM Mekkos</t>
        </is>
      </c>
      <c r="B273" s="62" t="inlineStr">
        <is>
          <t>TAM scope</t>
        </is>
      </c>
      <c r="C273" s="62" t="inlineStr">
        <is>
          <t>All USN, MSC &amp; USCG vessel budget authority — oceangoing vessels only</t>
        </is>
      </c>
      <c r="D273" s="62" t="inlineStr">
        <is>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is>
      </c>
    </row>
    <row r="274" ht="11" customHeight="1">
      <c r="A274" s="62" t="inlineStr">
        <is>
          <t>TAM / SAM Mekkos</t>
        </is>
      </c>
      <c r="B274" s="62" t="inlineStr">
        <is>
          <t>SAM scope</t>
        </is>
      </c>
      <c r="C274" s="62" t="inlineStr">
        <is>
          <t>TAM excl. Submarines, Aircraft Carriers &amp; UUVs</t>
        </is>
      </c>
      <c r="D274" s="62" t="inlineStr">
        <is>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is>
      </c>
      <c r="E274" t="inlineStr">
        <is>
          <t>FY27 SAM sheets use the same vessel and work type scoping but lack cost element granularity — justification books (P-5c, P-8a) have not been released for FY27, so visibility is at program level only.</t>
        </is>
      </c>
    </row>
    <row r="275" ht="11" customHeight="1">
      <c r="A275" s="62" t="inlineStr">
        <is>
          <t>TAM / SAM Mekkos</t>
        </is>
      </c>
      <c r="B275" s="62" t="inlineStr">
        <is>
          <t>v1 (original)</t>
        </is>
      </c>
      <c r="C275" s="62" t="inlineStr">
        <is>
          <t>Original Mekko tables</t>
        </is>
      </c>
      <c r="D275" s="6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2" t="inlineStr">
        <is>
          <t>Kept for backwards compatibility. Superseded by v2+.</t>
        </is>
      </c>
    </row>
    <row r="276" ht="11" customHeight="1">
      <c r="A276" s="62" t="inlineStr">
        <is>
          <t>TAM / SAM Mekkos</t>
        </is>
      </c>
      <c r="B276" s="62" t="inlineStr">
        <is>
          <t>v2 (comprehensive)</t>
        </is>
      </c>
      <c r="C276" s="62" t="inlineStr">
        <is>
          <t>All in-scope vessel types, all work types</t>
        </is>
      </c>
      <c r="D276" s="6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2" t="inlineStr">
        <is>
          <t>v2 is the "show me everything" view. Many columns will be zero.</t>
        </is>
      </c>
    </row>
    <row r="277" ht="11" customHeight="1">
      <c r="A277" s="62" t="inlineStr">
        <is>
          <t>TAM / SAM Mekkos</t>
        </is>
      </c>
      <c r="B277" s="62" t="inlineStr">
        <is>
          <t>v3 (scoped)</t>
        </is>
      </c>
      <c r="C277" s="62" t="inlineStr">
        <is>
          <t>v2 with narrower scope</t>
        </is>
      </c>
      <c r="D277" s="6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2" t="inlineStr">
        <is>
          <t>SAM v3 answers: "of the work types a shipyard could bid on, how does spend break down by vessel type?"</t>
        </is>
      </c>
    </row>
    <row r="278" ht="11" customHeight="1">
      <c r="A278" s="62" t="inlineStr">
        <is>
          <t>TAM / SAM Mekkos</t>
        </is>
      </c>
      <c r="B278" s="62" t="inlineStr">
        <is>
          <t>v4 (final)</t>
        </is>
      </c>
      <c r="C278" s="62" t="inlineStr">
        <is>
          <t>Outsourceable work types, non-zero columns only</t>
        </is>
      </c>
      <c r="D278" s="6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2" t="inlineStr">
        <is>
          <t>v4 is the "bottom line" table for market sizing. NC has ~13 cols, MRO has ~7 cols.</t>
        </is>
      </c>
    </row>
    <row r="279" ht="11" customHeight="1">
      <c r="A279" s="62" t="inlineStr">
        <is>
          <t>TAM / SAM Mekkos</t>
        </is>
      </c>
      <c r="B279" s="62" t="inlineStr">
        <is>
          <t>Outsourceable work types</t>
        </is>
      </c>
      <c r="C279" s="62" t="inlineStr">
        <is>
          <t>NC + SDM + Modernization</t>
        </is>
      </c>
      <c r="D279" s="6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2" t="inlineStr">
        <is>
          <t>This is a simplification. Some excluded work types have outsourceable components, but the three included types represent the large, clearly biddable categories.</t>
        </is>
      </c>
    </row>
    <row r="280"/>
    <row r="281"/>
    <row r="282" ht="11" customHeight="1">
      <c r="A282" s="63" t="inlineStr">
        <is>
          <t>DERIVED COLUMNS (v4.0 — Exhibit Level &amp; Cost Category)</t>
        </is>
      </c>
    </row>
    <row r="283"/>
    <row r="284" ht="11" customHeight="1">
      <c r="A284" s="62" t="inlineStr">
        <is>
          <t>J Book Items Cons.</t>
        </is>
      </c>
      <c r="B284" s="62" t="inlineStr">
        <is>
          <t>Column</t>
        </is>
      </c>
      <c r="C284" s="62" t="inlineStr">
        <is>
          <t>Exhibit Level (col X)</t>
        </is>
      </c>
      <c r="D284" s="62" t="inlineStr">
        <is>
          <t>Derived column inserted by the build script between Parent Item and Vessel Service. Populated for [ALT_VIEW] rows. Values: "P-5c", "P-8a", "P-35", or blank. Parsed from the Line Item Title string pattern (e.g., "DDG-51 - P-5c - Electronics").</t>
        </is>
      </c>
      <c r="E284" s="62" t="inlineStr">
        <is>
          <t>Only exists in the output workbook, not the source. P-8a rows require a known cost category in the title to be tagged (filters out narrative text fragments). Blank for non-ALT_VIEW rows.</t>
        </is>
      </c>
    </row>
    <row r="285" ht="11" customHeight="1">
      <c r="A285" s="62" t="inlineStr">
        <is>
          <t>J Book Items Cons.</t>
        </is>
      </c>
      <c r="B285" s="62" t="inlineStr">
        <is>
          <t>Column</t>
        </is>
      </c>
      <c r="C285" s="62" t="inlineStr">
        <is>
          <t>Cost Category (col Y)</t>
        </is>
      </c>
      <c r="D285" s="6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2"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3" t="inlineStr">
        <is>
          <t>HELPER COLUMNS (v5.14 — Row Class, FY26 Best, FY27 Best)</t>
        </is>
      </c>
      <c r="B287" s="63" t="n"/>
      <c r="C287" s="63" t="n"/>
      <c r="D287" s="63" t="n"/>
      <c r="E287" s="63" t="n"/>
    </row>
    <row r="288"/>
    <row r="289" ht="11" customHeight="1">
      <c r="A289" s="62" t="inlineStr">
        <is>
          <t>J Book Items Cons.</t>
        </is>
      </c>
      <c r="B289" s="62" t="inlineStr">
        <is>
          <t>Column</t>
        </is>
      </c>
      <c r="C289" s="62" t="inlineStr">
        <is>
          <t>Row Class (col AC)</t>
        </is>
      </c>
      <c r="D289" s="62" t="inlineStr">
        <is>
          <t>Helper column inserted between FY2027 dollars and Reference group. Classifies each row by its aggregation role: "ADD" for additive rows (blank Row Type or [PARENT]), "ALT" for [ALT_VIEW] rows, blank for all other row types ([SUB], [REFERENCE], [UNFUNDED], [DAA_NEW]).</t>
        </is>
      </c>
      <c r="E289" s="62" t="inlineStr">
        <is>
          <t>Formula: =IF(OR(E="",E="[PARENT]"),"ADD",IF(E="[ALT_VIEW]","ALT","")). Eliminates the need for downstream formulas to match both JB_S="" and JB_S="[PARENT]" separately, halving the number of SUMIFS terms per formula.</t>
        </is>
      </c>
    </row>
    <row r="290" ht="11" customHeight="1">
      <c r="A290" s="62" t="inlineStr">
        <is>
          <t>J Book Items Cons.</t>
        </is>
      </c>
      <c r="B290" s="62" t="inlineStr">
        <is>
          <t>Column</t>
        </is>
      </c>
      <c r="C290" s="62" t="inlineStr">
        <is>
          <t>FY26 Best ($K) (col AD)</t>
        </is>
      </c>
      <c r="D290" s="62" t="inlineStr">
        <is>
          <t>Helper column that pre-computes the FY2026 value cascade. For each row, picks the first non-blank value from: (1) FY2026 DAA Enacted Total (col Y), (2) FY2026 Total (col U), (3) FY2026 Request (col S).</t>
        </is>
      </c>
      <c r="E290" s="62" t="inlineStr">
        <is>
          <t>Formula: =IF(Y&lt;&gt;"",Y,IF(U&lt;&gt;"",U,S)). Replaces the 3-column cascade that previously required 3 SUMIFS terms per condition in every downstream formula. Named range: JB_26BV.</t>
        </is>
      </c>
    </row>
    <row r="291">
      <c r="A291" s="62" t="inlineStr">
        <is>
          <t>J Book Items Cons.</t>
        </is>
      </c>
      <c r="B291" s="62" t="inlineStr">
        <is>
          <t>Column</t>
        </is>
      </c>
      <c r="C291" s="62" t="inlineStr">
        <is>
          <t>FY27 Best ($K) (col AE)</t>
        </is>
      </c>
      <c r="D291" s="62" t="inlineStr">
        <is>
          <t>Helper column that pre-computes the FY2027 value cascade. For each row, picks the first non-blank value from: (1) FY2027 Total (col AB), (2) FY2027 Request (col Z).</t>
        </is>
      </c>
      <c r="E291" s="62" t="inlineStr">
        <is>
          <t>Formula: =IF(AB&lt;&gt;"",AB,Z). Same simplification as FY26 Best but with 2 cascade columns instead of 3. Named range: JB_27BV.</t>
        </is>
      </c>
    </row>
    <row r="292" ht="11" customHeight="1"/>
    <row r="293">
      <c r="A293" s="62" t="inlineStr">
        <is>
          <t>J Book Items Cons.</t>
        </is>
      </c>
      <c r="B293" s="62" t="inlineStr">
        <is>
          <t>Purpose</t>
        </is>
      </c>
      <c r="C293" s="62" t="inlineStr">
        <is>
          <t>Formula simplification</t>
        </is>
      </c>
      <c r="D293" s="62"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2" t="inlineStr">
        <is>
          <t>Total SUMIFS across all sheets: 7,866 → 1,672 (79% reduction). Max formula length: 6,013 → 853 chars (86% reduction). Helper columns are live formulas — if data_v2.xlsx is edited, values recalculate.</t>
        </is>
      </c>
    </row>
    <row r="294" ht="11" customHeight="1">
      <c r="A294" s="62" t="inlineStr">
        <is>
          <t>J Book Items Cons.</t>
        </is>
      </c>
      <c r="B294" s="62" t="inlineStr">
        <is>
          <t>Layout</t>
        </is>
      </c>
      <c r="C294" s="62" t="inlineStr">
        <is>
          <t>Between Dollars and Reference groups</t>
        </is>
      </c>
      <c r="D294" s="62"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2"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3" t="inlineStr">
        <is>
          <t>NEWBUILD SAM COST CATEGORY BREAKDOWN (v4.0 — Sections D &amp; E)</t>
        </is>
      </c>
    </row>
    <row r="302" ht="11" customHeight="1"/>
    <row r="303">
      <c r="A303" s="62" t="inlineStr">
        <is>
          <t>Newbuild SAM</t>
        </is>
      </c>
      <c r="B303" s="62" t="inlineStr">
        <is>
          <t>Section</t>
        </is>
      </c>
      <c r="C303" s="62" t="inlineStr">
        <is>
          <t>(D) P-5c Gross Cost Category Breakdown</t>
        </is>
      </c>
      <c r="D303" s="62" t="inlineStr">
        <is>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is>
      </c>
      <c r="E303" s="62" t="inlineStr">
        <is>
          <t>FY2026 only. Uses SUMIFS on [ALT_VIEW] rows with JB_EX="P-5c". Includes a percentage sub-table showing the cost category mix per vessel type. Coverage: 6 SAM vessel types with P-5c data from 13+ ship programs.</t>
        </is>
      </c>
    </row>
    <row r="304" ht="11" customHeight="1">
      <c r="A304" s="62" t="inlineStr">
        <is>
          <t>Newbuild SAM</t>
        </is>
      </c>
      <c r="B304" s="62" t="inlineStr">
        <is>
          <t>Section</t>
        </is>
      </c>
      <c r="C304" s="62" t="inlineStr">
        <is>
          <t>(E) Proportional Cost Category Allocation</t>
        </is>
      </c>
      <c r="D304" s="62" t="inlineStr">
        <is>
          <t>Applies the P-5c percentage mix from section (D) to the SAM net budget-authority totals from section (B). This gives a cost category decomposition that reconciles to the SAM total. Formula: SAM_net_per_type * P5c_pct_per_category.</t>
        </is>
      </c>
      <c r="E304" s="62"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3" t="inlineStr">
        <is>
          <t>NEWBUILD SAM COST DETAIL SHEET (v4.0)</t>
        </is>
      </c>
    </row>
    <row r="307"/>
    <row r="308">
      <c r="A308" s="62" t="inlineStr">
        <is>
          <t>Newbuild SAM Cost Detail</t>
        </is>
      </c>
      <c r="B308" s="62" t="inlineStr">
        <is>
          <t>Section</t>
        </is>
      </c>
      <c r="C308" s="62" t="inlineStr">
        <is>
          <t>(A) P-5c Total Ship Cost</t>
        </is>
      </c>
      <c r="D308" s="62" t="inlineStr">
        <is>
          <t>Same data as SAM section (D) but presented as a standalone Approach 2 reference. Gross P-5c values by vessel type and cost category — the actual cost of ships before AP/SFF netting. Not reconciled to budget authority.</t>
        </is>
      </c>
      <c r="E308" s="62" t="inlineStr">
        <is>
          <t>Useful for answering "what does a DDG-51 actually cost to build, by component?"</t>
        </is>
      </c>
    </row>
    <row r="309">
      <c r="A309" s="62" t="inlineStr">
        <is>
          <t>Newbuild SAM Cost Detail</t>
        </is>
      </c>
      <c r="B309" s="62" t="inlineStr">
        <is>
          <t>Section</t>
        </is>
      </c>
      <c r="C309" s="62" t="inlineStr">
        <is>
          <t>(B) P-8a System-Level Detail</t>
        </is>
      </c>
      <c r="D309" s="6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2" t="inlineStr">
        <is>
          <t>P-8a values are pre-scanned from the source and written as static values (F_BLUE font). Coverage: 4 SAM vessel types with P-8a data. Cost Element column (col AJ) provides the system name; 30 of 415 P-8a rows lack a Cost Element and are excluded.</t>
        </is>
      </c>
    </row>
    <row r="310">
      <c r="A310" s="62" t="inlineStr">
        <is>
          <t>Newbuild SAM Cost Detail</t>
        </is>
      </c>
      <c r="B310" s="62" t="inlineStr">
        <is>
          <t>Section</t>
        </is>
      </c>
      <c r="C310" s="62" t="inlineStr">
        <is>
          <t>(C) Top P-8a Systems Cross-Program</t>
        </is>
      </c>
      <c r="D310" s="62" t="inlineStr">
        <is>
          <t>Largest GFE systems aggregated across all SAM vessel types, sorted by total FY2026 $K. Shows system name, cost category, total $K, number of programs, and vessel types.</t>
        </is>
      </c>
      <c r="E310" s="62" t="inlineStr">
        <is>
          <t>Useful for answering "what is the total radar market?" or "which GFE systems span the most programs?"</t>
        </is>
      </c>
    </row>
    <row r="311"/>
    <row r="312">
      <c r="A312" s="63" t="inlineStr">
        <is>
          <t>FY2027 COST CATEGORY BREAKDOWN — NOT YET AVAILABLE</t>
        </is>
      </c>
    </row>
    <row r="313"/>
    <row r="314">
      <c r="A314" s="62" t="inlineStr">
        <is>
          <t>Newbuild SAM</t>
        </is>
      </c>
      <c r="B314" s="62" t="inlineStr">
        <is>
          <t>Note</t>
        </is>
      </c>
      <c r="C314" s="62" t="inlineStr">
        <is>
          <t>FY2027 has no sections (D)/(E) or Cost Detail sheet</t>
        </is>
      </c>
      <c r="D314" s="62" t="inlineStr">
        <is>
          <t>The FY2027 SCN/OPN justification books (Exhibits P-5c, P-8a, P-35) have not been released yet. Cost category breakdowns will be added when those documents are published.</t>
        </is>
      </c>
      <c r="E314" s="62" t="inlineStr">
        <is>
          <t>FY2027 Newbuild SAM retains sections (A)/(B)/(C) only.</t>
        </is>
      </c>
    </row>
    <row r="315"/>
    <row r="316">
      <c r="A316" s="63" t="inlineStr">
        <is>
          <t>NAMED RANGES (v4.0 additions)</t>
        </is>
      </c>
    </row>
    <row r="317"/>
    <row r="318">
      <c r="A318" s="62" t="inlineStr">
        <is>
          <t>J Book Items Cons.</t>
        </is>
      </c>
      <c r="B318" s="62" t="inlineStr">
        <is>
          <t>Named Range</t>
        </is>
      </c>
      <c r="C318" s="62" t="inlineStr">
        <is>
          <t>JB_CE (col AJ)</t>
        </is>
      </c>
      <c r="D318" s="62" t="inlineStr">
        <is>
          <t>Cost Element — existing column containing system names for P-8a rows (e.g., "AN/SPY-6(V)1 (AMDR)"). Shifted +5 cols from original position due to 2 inserted derived columns (Exhibit Level, Cost Category) and 3 inserted helper columns (Row Class, FY26 Best, FY27 Best).</t>
        </is>
      </c>
      <c r="E318" s="62" t="inlineStr">
        <is>
          <t>Range: $AJ$5:$AJ$3381. Populated for ~385 of 415 P-8a rows.</t>
        </is>
      </c>
    </row>
    <row r="319">
      <c r="A319" s="62" t="inlineStr">
        <is>
          <t>J Book Items Cons.</t>
        </is>
      </c>
      <c r="B319" s="62" t="inlineStr">
        <is>
          <t>Named Range</t>
        </is>
      </c>
      <c r="C319" s="62" t="inlineStr">
        <is>
          <t>JB_EX (col X)</t>
        </is>
      </c>
      <c r="D319" s="62" t="inlineStr">
        <is>
          <t>Exhibit Level — derived column inserted between Parent Item and Vessel Service. Values: "P-5c", "P-8a", "P-35", or blank.</t>
        </is>
      </c>
      <c r="E319" s="62" t="inlineStr">
        <is>
          <t>Range: $X$5:$X$3381. Used in SUMIFS to filter by exhibit type.</t>
        </is>
      </c>
    </row>
    <row r="320">
      <c r="A320" s="62" t="inlineStr">
        <is>
          <t>J Book Items Cons.</t>
        </is>
      </c>
      <c r="B320" s="62" t="inlineStr">
        <is>
          <t>Named Range</t>
        </is>
      </c>
      <c r="C320" s="62" t="inlineStr">
        <is>
          <t>JB_CC (col Y)</t>
        </is>
      </c>
      <c r="D320" s="62" t="inlineStr">
        <is>
          <t>Cost Category — derived column inserted between Parent Item and Vessel Service. Values: P-5c cost category name or blank.</t>
        </is>
      </c>
      <c r="E320" s="62" t="inlineStr">
        <is>
          <t>Range: $Y$5:$Y$3381. Used in SUMIFS to filter by cost category.</t>
        </is>
      </c>
    </row>
    <row r="321">
      <c r="A321" s="62" t="inlineStr">
        <is>
          <t>J Book Items Cons.</t>
        </is>
      </c>
      <c r="B321" s="62" t="inlineStr">
        <is>
          <t>Named Range</t>
        </is>
      </c>
      <c r="C321" s="62" t="inlineStr">
        <is>
          <t>JB_RC (col AC)</t>
        </is>
      </c>
      <c r="D321" s="62" t="inlineStr">
        <is>
          <t>Row Class — helper column classifying rows as "ADD" (additive), "ALT" ([ALT_VIEW]), or blank. Used in SUMIFS criteria instead of matching JB_S="" and JB_S="[PARENT]" separately.</t>
        </is>
      </c>
      <c r="E321" s="62" t="inlineStr">
        <is>
          <t>Range: $AC$6:$AC$4000. Added in v5.14.</t>
        </is>
      </c>
    </row>
    <row r="322">
      <c r="A322" s="62" t="inlineStr">
        <is>
          <t>J Book Items Cons.</t>
        </is>
      </c>
      <c r="B322" s="62" t="inlineStr">
        <is>
          <t>Named Range</t>
        </is>
      </c>
      <c r="C322" s="62" t="inlineStr">
        <is>
          <t>JB_26BV (col AD)</t>
        </is>
      </c>
      <c r="D322" s="62" t="inlineStr">
        <is>
          <t>FY2026 Best Value — pre-computed cascade: DAA Enacted (Y) &gt; Total (U) &gt; Request (S). Single column used for all FY26 downstream SUMIFS.</t>
        </is>
      </c>
      <c r="E322" s="62" t="inlineStr">
        <is>
          <t>Range: $AD$6:$AD$4000. Added in v5.14. Replaces the JB_R/JB_N/JB_L cascade.</t>
        </is>
      </c>
    </row>
    <row r="323">
      <c r="A323" s="62" t="inlineStr">
        <is>
          <t>J Book Items Cons.</t>
        </is>
      </c>
      <c r="B323" s="62" t="inlineStr">
        <is>
          <t>Named Range</t>
        </is>
      </c>
      <c r="C323" s="62" t="inlineStr">
        <is>
          <t>JB_27BV (col AE)</t>
        </is>
      </c>
      <c r="D323" s="62" t="inlineStr">
        <is>
          <t>FY2027 Best Value — pre-computed cascade: Total (AB) &gt; Request (Z). Single column used for all FY27 downstream SUMIFS.</t>
        </is>
      </c>
      <c r="E323" s="62"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2026-04-13T23:30:03Z</dcterms:modified>
  <cp:lastModifiedBy>Brendan Toole</cp:lastModifiedBy>
</cp:coreProperties>
</file>