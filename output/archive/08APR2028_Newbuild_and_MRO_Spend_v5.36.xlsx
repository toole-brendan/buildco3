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Newbuild SAM Cost Detail" sheetId="6" state="visible" r:id="rId6"/>
    <sheet xmlns:r="http://schemas.openxmlformats.org/officeDocument/2006/relationships" name="FY26 MRO TAM" sheetId="7" state="visible" r:id="rId7"/>
    <sheet xmlns:r="http://schemas.openxmlformats.org/officeDocument/2006/relationships" name="FY26 MRO SAM" sheetId="8" state="visible" r:id="rId8"/>
    <sheet xmlns:r="http://schemas.openxmlformats.org/officeDocument/2006/relationships" name="FY2027 &gt;&gt;" sheetId="9" state="visible" r:id="rId9"/>
    <sheet xmlns:r="http://schemas.openxmlformats.org/officeDocument/2006/relationships" name="FY27 Total Funding" sheetId="10" state="visible" r:id="rId10"/>
    <sheet xmlns:r="http://schemas.openxmlformats.org/officeDocument/2006/relationships" name="FY27 Newbuild TAM" sheetId="11" state="visible" r:id="rId11"/>
    <sheet xmlns:r="http://schemas.openxmlformats.org/officeDocument/2006/relationships" name="FY27 Newbuild SAM" sheetId="12" state="visible" r:id="rId12"/>
    <sheet xmlns:r="http://schemas.openxmlformats.org/officeDocument/2006/relationships" name="FY27 MRO TAM" sheetId="13" state="visible" r:id="rId13"/>
    <sheet xmlns:r="http://schemas.openxmlformats.org/officeDocument/2006/relationships" name="FY27 MRO SAM" sheetId="14" state="visible" r:id="rId14"/>
    <sheet xmlns:r="http://schemas.openxmlformats.org/officeDocument/2006/relationships" name="Competitive Dynamics" sheetId="15" state="visible" r:id="rId15"/>
    <sheet xmlns:r="http://schemas.openxmlformats.org/officeDocument/2006/relationships" name="Validation" sheetId="16" state="visible" r:id="rId16"/>
    <sheet xmlns:r="http://schemas.openxmlformats.org/officeDocument/2006/relationships" name="Notes" sheetId="17" state="visible" r:id="rId17"/>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51">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165" fontId="13" fillId="0" borderId="0"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drawing1.xml><?xml version="1.0" encoding="utf-8"?>
<xdr:wsDr xmlns:xdr="http://schemas.openxmlformats.org/drawingml/2006/spreadsheetDrawing" xmlns:a="http://schemas.openxmlformats.org/drawingml/2006/main">
  <xdr:twoCellAnchor>
    <xdr:from>
      <xdr:col>11</xdr:col>
      <xdr:colOff>57150</xdr:colOff>
      <xdr:row>60</xdr:row>
      <xdr:rowOff>28575</xdr:rowOff>
    </xdr:from>
    <xdr:to>
      <xdr:col>14</xdr:col>
      <xdr:colOff>0</xdr:colOff>
      <xdr:row>74</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P-5c Gross vs Net Budget Authority</a:t>
          </a:r>
        </a:p>
        <a:p>
          <a:endParaRPr lang="en-US" sz="800"/>
        </a:p>
        <a:p>
          <a:r>
            <a:rPr lang="en-US" sz="800">
              <a:solidFill>
                <a:srgbClr val="333333"/>
              </a:solidFill>
              <a:latin typeface="Arial"/>
            </a:rPr>
            <a:t>P-5c exhibits report gross total-ship-estimate</a:t>
          </a:r>
        </a:p>
        <a:p>
          <a:r>
            <a:rPr lang="en-US" sz="800">
              <a:solidFill>
                <a:srgbClr val="333333"/>
              </a:solidFill>
              <a:latin typeface="Arial"/>
            </a:rPr>
            <a:t>costs — what the ship actually costs to build,</a:t>
          </a:r>
        </a:p>
        <a:p>
          <a:r>
            <a:rPr lang="en-US" sz="800">
              <a:solidFill>
                <a:srgbClr val="333333"/>
              </a:solidFill>
              <a:latin typeface="Arial"/>
            </a:rPr>
            <a:t>broken by component. These gross costs ($17.5B</a:t>
          </a:r>
        </a:p>
        <a:p>
          <a:r>
            <a:rPr lang="en-US" sz="800">
              <a:solidFill>
                <a:srgbClr val="333333"/>
              </a:solidFill>
              <a:latin typeface="Arial"/>
            </a:rPr>
            <a:t>across 8 hulls) are larger than net budget</a:t>
          </a:r>
        </a:p>
        <a:p>
          <a:r>
            <a:rPr lang="en-US" sz="800">
              <a:solidFill>
                <a:srgbClr val="333333"/>
              </a:solidFill>
              <a:latin typeface="Arial"/>
            </a:rPr>
            <a:t>authority ($11.8B) because they include money</a:t>
          </a:r>
        </a:p>
        <a:p>
          <a:r>
            <a:rPr lang="en-US" sz="800">
              <a:solidFill>
                <a:srgbClr val="333333"/>
              </a:solidFill>
              <a:latin typeface="Arial"/>
            </a:rPr>
            <a:t>that was funded through advance procurement</a:t>
          </a:r>
        </a:p>
        <a:p>
          <a:r>
            <a:rPr lang="en-US" sz="800">
              <a:solidFill>
                <a:srgbClr val="333333"/>
              </a:solidFill>
              <a:latin typeface="Arial"/>
            </a:rPr>
            <a:t>in prior fiscal years.</a:t>
          </a:r>
        </a:p>
        <a:p>
          <a:endParaRPr lang="en-US" sz="800"/>
        </a:p>
        <a:p>
          <a:r>
            <a:rPr lang="en-US" sz="800" i="1">
              <a:solidFill>
                <a:srgbClr val="808080"/>
              </a:solidFill>
              <a:latin typeface="Arial"/>
            </a:rPr>
            <a:t>Section (F) solves this: it takes the P-5c</a:t>
          </a:r>
        </a:p>
        <a:p>
          <a:r>
            <a:rPr lang="en-US" sz="800" i="1">
              <a:solidFill>
                <a:srgbClr val="808080"/>
              </a:solidFill>
              <a:latin typeface="Arial"/>
            </a:rPr>
            <a:t>percentage mix and applies it to net BA,</a:t>
          </a:r>
        </a:p>
        <a:p>
          <a:r>
            <a:rPr lang="en-US" sz="800" i="1">
              <a:solidFill>
                <a:srgbClr val="808080"/>
              </a:solidFill>
              <a:latin typeface="Arial"/>
            </a:rPr>
            <a:t>so cost categories reconcile to actual</a:t>
          </a:r>
        </a:p>
        <a:p>
          <a:r>
            <a:rPr lang="en-US" sz="800" i="1">
              <a:solidFill>
                <a:srgbClr val="808080"/>
              </a:solidFill>
              <a:latin typeface="Arial"/>
            </a:rPr>
            <a:t>FY2026 funding.</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57150</xdr:colOff>
      <xdr:row>16</xdr:row>
      <xdr:rowOff>28575</xdr:rowOff>
    </xdr:from>
    <xdr:to>
      <xdr:col>10</xdr:col>
      <xdr:colOff>0</xdr:colOff>
      <xdr:row>25</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About This Table</a:t>
          </a:r>
        </a:p>
        <a:p>
          <a:endParaRPr lang="en-US" sz="800"/>
        </a:p>
        <a:p>
          <a:r>
            <a:rPr lang="en-US" sz="800">
              <a:solidFill>
                <a:srgbClr val="333333"/>
              </a:solidFill>
              <a:latin typeface="Arial"/>
            </a:rPr>
            <a:t>Individual GFE systems from Navy Exhibit</a:t>
          </a:r>
        </a:p>
        <a:p>
          <a:r>
            <a:rPr lang="en-US" sz="800">
              <a:solidFill>
                <a:srgbClr val="333333"/>
              </a:solidFill>
              <a:latin typeface="Arial"/>
            </a:rPr>
            <a:t>P-8a — radars, weapons, electronics,</a:t>
          </a:r>
        </a:p>
        <a:p>
          <a:r>
            <a:rPr lang="en-US" sz="800">
              <a:solidFill>
                <a:srgbClr val="333333"/>
              </a:solidFill>
              <a:latin typeface="Arial"/>
            </a:rPr>
            <a:t>propulsion — grouped by cost category</a:t>
          </a:r>
        </a:p>
        <a:p>
          <a:r>
            <a:rPr lang="en-US" sz="800">
              <a:solidFill>
                <a:srgbClr val="333333"/>
              </a:solidFill>
              <a:latin typeface="Arial"/>
            </a:rPr>
            <a:t>within each hull. Gross values (pre-AP/SFF)</a:t>
          </a:r>
        </a:p>
        <a:p>
          <a:r>
            <a:rPr lang="en-US" sz="800">
              <a:solidFill>
                <a:srgbClr val="333333"/>
              </a:solidFill>
              <a:latin typeface="Arial"/>
            </a:rPr>
            <a:t>from SCN justification books. Use for</a:t>
          </a:r>
        </a:p>
        <a:p>
          <a:r>
            <a:rPr lang="en-US" sz="800">
              <a:solidFill>
                <a:srgbClr val="333333"/>
              </a:solidFill>
              <a:latin typeface="Arial"/>
            </a:rPr>
            <a:t>system market sizing and cross-program</a:t>
          </a:r>
        </a:p>
        <a:p>
          <a:r>
            <a:rPr lang="en-US" sz="800">
              <a:solidFill>
                <a:srgbClr val="333333"/>
              </a:solidFill>
              <a:latin typeface="Arial"/>
            </a:rPr>
            <a:t>commonality analysis.</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14</xdr:col>
      <xdr:colOff>457200</xdr:colOff>
      <xdr:row>77</xdr:row>
      <xdr:rowOff>28575</xdr:rowOff>
    </xdr:from>
    <xdr:ext cx="2697480" cy="297180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MRO Cost-Element Coverage</a:t>
          </a:r>
        </a:p>
        <a:p>
          <a:endParaRPr lang="en-US" sz="800"/>
        </a:p>
        <a:p>
          <a:r>
            <a:rPr lang="en-US" sz="800">
              <a:solidFill>
                <a:srgbClr val="333333"/>
              </a:solidFill>
              <a:latin typeface="Arial"/>
            </a:rPr>
            <a:t>P-5c / P-8a cost-element breakdowns do not</a:t>
          </a:r>
        </a:p>
        <a:p>
          <a:r>
            <a:rPr lang="en-US" sz="800">
              <a:solidFill>
                <a:srgbClr val="333333"/>
              </a:solidFill>
              <a:latin typeface="Arial"/>
            </a:rPr>
            <a:t>exist for MRO work. Justification books do</a:t>
          </a:r>
        </a:p>
        <a:p>
          <a:r>
            <a:rPr lang="en-US" sz="800">
              <a:solidFill>
                <a:srgbClr val="333333"/>
              </a:solidFill>
              <a:latin typeface="Arial"/>
            </a:rPr>
            <a:t>not provide Electronics / HM&amp;E / Ordnance</a:t>
          </a:r>
        </a:p>
        <a:p>
          <a:r>
            <a:rPr lang="en-US" sz="800">
              <a:solidFill>
                <a:srgbClr val="333333"/>
              </a:solidFill>
              <a:latin typeface="Arial"/>
            </a:rPr>
            <a:t>splits for maintenance the way they do for</a:t>
          </a:r>
        </a:p>
        <a:p>
          <a:r>
            <a:rPr lang="en-US" sz="800">
              <a:solidFill>
                <a:srgbClr val="333333"/>
              </a:solidFill>
              <a:latin typeface="Arial"/>
            </a:rPr>
            <a:t>new construction.</a:t>
          </a:r>
        </a:p>
        <a:p>
          <a:endParaRPr lang="en-US" sz="800"/>
        </a:p>
        <a:p>
          <a:r>
            <a:rPr lang="en-US" sz="800" b="1">
              <a:solidFill>
                <a:srgbClr val="333333"/>
              </a:solidFill>
              <a:latin typeface="Arial"/>
            </a:rPr>
            <a:t>What DOES exist as alternative detail:</a:t>
          </a:r>
        </a:p>
        <a:p>
          <a:endParaRPr lang="en-US" sz="800"/>
        </a:p>
        <a:p>
          <a:r>
            <a:rPr lang="en-US" sz="800">
              <a:solidFill>
                <a:srgbClr val="333333"/>
              </a:solidFill>
              <a:latin typeface="Arial"/>
            </a:rPr>
            <a:t>For SDM (Bucket 2): hull-level totals, plus</a:t>
          </a:r>
        </a:p>
        <a:p>
          <a:r>
            <a:rPr lang="en-US" sz="800">
              <a:solidFill>
                <a:srgbClr val="333333"/>
              </a:solidFill>
              <a:latin typeface="Arial"/>
            </a:rPr>
            <a:t>ALT_VIEW data by availability type (OH, SRA,</a:t>
          </a:r>
        </a:p>
        <a:p>
          <a:r>
            <a:rPr lang="en-US" sz="800">
              <a:solidFill>
                <a:srgbClr val="333333"/>
              </a:solidFill>
              <a:latin typeface="Arial"/>
            </a:rPr>
            <a:t>SIA, PIA) and by public shipyard (NNSY,</a:t>
          </a:r>
        </a:p>
        <a:p>
          <a:r>
            <a:rPr lang="en-US" sz="800">
              <a:solidFill>
                <a:srgbClr val="333333"/>
              </a:solidFill>
              <a:latin typeface="Arial"/>
            </a:rPr>
            <a:t>PSNSY, etc.) with performance data (labor /</a:t>
          </a:r>
        </a:p>
        <a:p>
          <a:r>
            <a:rPr lang="en-US" sz="800">
              <a:solidFill>
                <a:srgbClr val="333333"/>
              </a:solidFill>
              <a:latin typeface="Arial"/>
            </a:rPr>
            <a:t>material / contracts) — but these cover ALL</a:t>
          </a:r>
        </a:p>
        <a:p>
          <a:r>
            <a:rPr lang="en-US" sz="800">
              <a:solidFill>
                <a:srgbClr val="333333"/>
              </a:solidFill>
              <a:latin typeface="Arial"/>
            </a:rPr>
            <a:t>vessels at those yards, not just SAM-eligible.</a:t>
          </a:r>
        </a:p>
        <a:p>
          <a:endParaRPr lang="en-US" sz="800"/>
        </a:p>
        <a:p>
          <a:r>
            <a:rPr lang="en-US" sz="800">
              <a:solidFill>
                <a:srgbClr val="333333"/>
              </a:solidFill>
              <a:latin typeface="Arial"/>
            </a:rPr>
            <a:t>For Mod (Bucket 4): some hulls have identified</a:t>
          </a:r>
        </a:p>
        <a:p>
          <a:r>
            <a:rPr lang="en-US" sz="800">
              <a:solidFill>
                <a:srgbClr val="333333"/>
              </a:solidFill>
              <a:latin typeface="Arial"/>
            </a:rPr>
            <a:t>OPN line items (DDG Mod, LCS In-Service Mod,</a:t>
          </a:r>
        </a:p>
        <a:p>
          <a:r>
            <a:rPr lang="en-US" sz="800">
              <a:solidFill>
                <a:srgbClr val="333333"/>
              </a:solidFill>
              <a:latin typeface="Arial"/>
            </a:rPr>
            <a:t>DDG-1000 Support Equipment) plus fleet-wide</a:t>
          </a:r>
        </a:p>
        <a:p>
          <a:r>
            <a:rPr lang="en-US" sz="800">
              <a:solidFill>
                <a:srgbClr val="333333"/>
              </a:solidFill>
              <a:latin typeface="Arial"/>
            </a:rPr>
            <a:t>systems without hull attribution (CANES,</a:t>
          </a:r>
        </a:p>
        <a:p>
          <a:r>
            <a:rPr lang="en-US" sz="800">
              <a:solidFill>
                <a:srgbClr val="333333"/>
              </a:solidFill>
              <a:latin typeface="Arial"/>
            </a:rPr>
            <a:t>AN/SLQ-32, ISSP, etc.).</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3383" t="inlineStr">
        <is>
          <t>WPN</t>
        </is>
      </c>
      <c r="B3383" t="inlineStr">
        <is>
          <t>Procurement</t>
        </is>
      </c>
      <c r="D3383" t="inlineStr">
        <is>
          <t>TRIDENT II Mods - P-5 1 / D5 Life Extension - Joint Fuze Production Engineering/Support</t>
        </is>
      </c>
      <c r="E3383" t="inlineStr">
        <is>
          <t>[ALT_VIEW]</t>
        </is>
      </c>
      <c r="F3383" t="inlineStr">
        <is>
          <t>1250 / TRIDENT II Mods</t>
        </is>
      </c>
      <c r="G3383" t="inlineStr">
        <is>
          <t>P-5</t>
        </is>
      </c>
      <c r="H3383" t="inlineStr">
        <is>
          <t>Recurring</t>
        </is>
      </c>
      <c r="I3383" t="n">
        <v>4</v>
      </c>
      <c r="K3383" t="inlineStr">
        <is>
          <t>USN</t>
        </is>
      </c>
      <c r="L3383" t="inlineStr">
        <is>
          <t>Combatant Ships</t>
        </is>
      </c>
      <c r="M3383" t="inlineStr">
        <is>
          <t>Submarines</t>
        </is>
      </c>
      <c r="S3383" t="n">
        <v>6354</v>
      </c>
      <c r="U3383" t="n">
        <v>6354</v>
      </c>
      <c r="AC3383">
        <f>IF(OR(E3383="",E3383="[PARENT]"),"ADD",IF(E3383="[ALT_VIEW]","ALT",""))</f>
        <v/>
      </c>
      <c r="AD3383">
        <f>IF(Y3383&lt;&gt;"",Y3383,IF(U3383&lt;&gt;"",U3383,S3383))</f>
        <v/>
      </c>
      <c r="AE3383">
        <f>IF(AB3383&lt;&gt;"",AB3383,Z3383)</f>
        <v/>
      </c>
      <c r="AF3383" t="inlineStr">
        <is>
          <t>P-5 Cost Analysis &gt; WPN LI 1250 &gt; 1.1.1 Joint Fuze Production Engineering/Support</t>
        </is>
      </c>
      <c r="AJ3383" t="inlineStr">
        <is>
          <t>Joint Fuze Production Engineering/Support</t>
        </is>
      </c>
    </row>
    <row r="3384">
      <c r="A3384" t="inlineStr">
        <is>
          <t>WPN</t>
        </is>
      </c>
      <c r="B3384" t="inlineStr">
        <is>
          <t>Procurement</t>
        </is>
      </c>
      <c r="D3384" t="inlineStr">
        <is>
          <t>TRIDENT II Mods - P-5 1 / D5 Life Extension - Joint Fuze Material/Hardware Procurement</t>
        </is>
      </c>
      <c r="E3384" t="inlineStr">
        <is>
          <t>[ALT_VIEW]</t>
        </is>
      </c>
      <c r="F3384" t="inlineStr">
        <is>
          <t>1250 / TRIDENT II Mods</t>
        </is>
      </c>
      <c r="G3384" t="inlineStr">
        <is>
          <t>P-5</t>
        </is>
      </c>
      <c r="H3384" t="inlineStr">
        <is>
          <t>Recurring</t>
        </is>
      </c>
      <c r="I3384" t="n">
        <v>4</v>
      </c>
      <c r="K3384" t="inlineStr">
        <is>
          <t>USN</t>
        </is>
      </c>
      <c r="L3384" t="inlineStr">
        <is>
          <t>Combatant Ships</t>
        </is>
      </c>
      <c r="M3384" t="inlineStr">
        <is>
          <t>Submarines</t>
        </is>
      </c>
      <c r="S3384" t="n">
        <v>0</v>
      </c>
      <c r="U3384" t="n">
        <v>0</v>
      </c>
      <c r="AC3384">
        <f>IF(OR(E3384="",E3384="[PARENT]"),"ADD",IF(E3384="[ALT_VIEW]","ALT",""))</f>
        <v/>
      </c>
      <c r="AD3384">
        <f>IF(Y3384&lt;&gt;"",Y3384,IF(U3384&lt;&gt;"",U3384,S3384))</f>
        <v/>
      </c>
      <c r="AE3384">
        <f>IF(AB3384&lt;&gt;"",AB3384,Z3384)</f>
        <v/>
      </c>
      <c r="AF3384" t="inlineStr">
        <is>
          <t>P-5 Cost Analysis &gt; WPN LI 1250 &gt; 1.1.2 Joint Fuze Material/Hardware Procurement</t>
        </is>
      </c>
      <c r="AJ3384" t="inlineStr">
        <is>
          <t>Joint Fuze Material/Hardware Procurement</t>
        </is>
      </c>
    </row>
    <row r="3385">
      <c r="A3385" t="inlineStr">
        <is>
          <t>WPN</t>
        </is>
      </c>
      <c r="B3385" t="inlineStr">
        <is>
          <t>Procurement</t>
        </is>
      </c>
      <c r="D3385" t="inlineStr">
        <is>
          <t>TRIDENT II Mods - P-5 1 / D5 Life Extension - Production Support</t>
        </is>
      </c>
      <c r="E3385" t="inlineStr">
        <is>
          <t>[ALT_VIEW]</t>
        </is>
      </c>
      <c r="F3385" t="inlineStr">
        <is>
          <t>1250 / TRIDENT II Mods</t>
        </is>
      </c>
      <c r="G3385" t="inlineStr">
        <is>
          <t>P-5</t>
        </is>
      </c>
      <c r="H3385" t="inlineStr">
        <is>
          <t>Recurring</t>
        </is>
      </c>
      <c r="I3385" t="n">
        <v>4</v>
      </c>
      <c r="K3385" t="inlineStr">
        <is>
          <t>USN</t>
        </is>
      </c>
      <c r="L3385" t="inlineStr">
        <is>
          <t>Combatant Ships</t>
        </is>
      </c>
      <c r="M3385" t="inlineStr">
        <is>
          <t>Submarines</t>
        </is>
      </c>
      <c r="S3385" t="n">
        <v>31330</v>
      </c>
      <c r="U3385" t="n">
        <v>31330</v>
      </c>
      <c r="AC3385">
        <f>IF(OR(E3385="",E3385="[PARENT]"),"ADD",IF(E3385="[ALT_VIEW]","ALT",""))</f>
        <v/>
      </c>
      <c r="AD3385">
        <f>IF(Y3385&lt;&gt;"",Y3385,IF(U3385&lt;&gt;"",U3385,S3385))</f>
        <v/>
      </c>
      <c r="AE3385">
        <f>IF(AB3385&lt;&gt;"",AB3385,Z3385)</f>
        <v/>
      </c>
      <c r="AF3385" t="inlineStr">
        <is>
          <t>P-5 Cost Analysis &gt; WPN LI 1250 &gt; 2.1.1 Production Support</t>
        </is>
      </c>
      <c r="AJ3385" t="inlineStr">
        <is>
          <t>Production Support</t>
        </is>
      </c>
    </row>
    <row r="3386">
      <c r="A3386" t="inlineStr">
        <is>
          <t>WPN</t>
        </is>
      </c>
      <c r="B3386" t="inlineStr">
        <is>
          <t>Procurement</t>
        </is>
      </c>
      <c r="D3386" t="inlineStr">
        <is>
          <t>TRIDENT II Mods - P-5 1 / D5 Life Extension - Missile Inverter</t>
        </is>
      </c>
      <c r="E3386" t="inlineStr">
        <is>
          <t>[ALT_VIEW]</t>
        </is>
      </c>
      <c r="F3386" t="inlineStr">
        <is>
          <t>1250 / TRIDENT II Mods</t>
        </is>
      </c>
      <c r="G3386" t="inlineStr">
        <is>
          <t>P-5</t>
        </is>
      </c>
      <c r="H3386" t="inlineStr">
        <is>
          <t>Recurring</t>
        </is>
      </c>
      <c r="I3386" t="n">
        <v>4</v>
      </c>
      <c r="K3386" t="inlineStr">
        <is>
          <t>USN</t>
        </is>
      </c>
      <c r="L3386" t="inlineStr">
        <is>
          <t>Combatant Ships</t>
        </is>
      </c>
      <c r="M3386" t="inlineStr">
        <is>
          <t>Submarines</t>
        </is>
      </c>
      <c r="S3386" t="n">
        <v>20050</v>
      </c>
      <c r="U3386" t="n">
        <v>20050</v>
      </c>
      <c r="AC3386">
        <f>IF(OR(E3386="",E3386="[PARENT]"),"ADD",IF(E3386="[ALT_VIEW]","ALT",""))</f>
        <v/>
      </c>
      <c r="AD3386">
        <f>IF(Y3386&lt;&gt;"",Y3386,IF(U3386&lt;&gt;"",U3386,S3386))</f>
        <v/>
      </c>
      <c r="AE3386">
        <f>IF(AB3386&lt;&gt;"",AB3386,Z3386)</f>
        <v/>
      </c>
      <c r="AF3386" t="inlineStr">
        <is>
          <t>P-5 Cost Analysis &gt; WPN LI 1250 &gt; 4.1.2 Missile Inverter</t>
        </is>
      </c>
      <c r="AJ3386" t="inlineStr">
        <is>
          <t>Missile Inverter</t>
        </is>
      </c>
    </row>
    <row r="3387">
      <c r="A3387" t="inlineStr">
        <is>
          <t>WPN</t>
        </is>
      </c>
      <c r="B3387" t="inlineStr">
        <is>
          <t>Procurement</t>
        </is>
      </c>
      <c r="D3387" t="inlineStr">
        <is>
          <t>TRIDENT II Mods - P-5 1 / D5 Life Extension - Command Sequencer</t>
        </is>
      </c>
      <c r="E3387" t="inlineStr">
        <is>
          <t>[ALT_VIEW]</t>
        </is>
      </c>
      <c r="F3387" t="inlineStr">
        <is>
          <t>1250 / TRIDENT II Mods</t>
        </is>
      </c>
      <c r="G3387" t="inlineStr">
        <is>
          <t>P-5</t>
        </is>
      </c>
      <c r="H3387" t="inlineStr">
        <is>
          <t>Recurring</t>
        </is>
      </c>
      <c r="I3387" t="n">
        <v>4</v>
      </c>
      <c r="K3387" t="inlineStr">
        <is>
          <t>USN</t>
        </is>
      </c>
      <c r="L3387" t="inlineStr">
        <is>
          <t>Combatant Ships</t>
        </is>
      </c>
      <c r="M3387" t="inlineStr">
        <is>
          <t>Submarines</t>
        </is>
      </c>
      <c r="S3387" t="n">
        <v>24578</v>
      </c>
      <c r="U3387" t="n">
        <v>24578</v>
      </c>
      <c r="AC3387">
        <f>IF(OR(E3387="",E3387="[PARENT]"),"ADD",IF(E3387="[ALT_VIEW]","ALT",""))</f>
        <v/>
      </c>
      <c r="AD3387">
        <f>IF(Y3387&lt;&gt;"",Y3387,IF(U3387&lt;&gt;"",U3387,S3387))</f>
        <v/>
      </c>
      <c r="AE3387">
        <f>IF(AB3387&lt;&gt;"",AB3387,Z3387)</f>
        <v/>
      </c>
      <c r="AF3387" t="inlineStr">
        <is>
          <t>P-5 Cost Analysis &gt; WPN LI 1250 &gt; 4.1.3 Command Sequencer</t>
        </is>
      </c>
      <c r="AJ3387" t="inlineStr">
        <is>
          <t>Command Sequencer</t>
        </is>
      </c>
    </row>
    <row r="3388">
      <c r="A3388" t="inlineStr">
        <is>
          <t>WPN</t>
        </is>
      </c>
      <c r="B3388" t="inlineStr">
        <is>
          <t>Procurement</t>
        </is>
      </c>
      <c r="D3388" t="inlineStr">
        <is>
          <t>TRIDENT II Mods - P-5 1 / D5 Life Extension - Fleet Return Missile Electronics Production Support</t>
        </is>
      </c>
      <c r="E3388" t="inlineStr">
        <is>
          <t>[ALT_VIEW]</t>
        </is>
      </c>
      <c r="F3388" t="inlineStr">
        <is>
          <t>1250 / TRIDENT II Mods</t>
        </is>
      </c>
      <c r="G3388" t="inlineStr">
        <is>
          <t>P-5</t>
        </is>
      </c>
      <c r="H3388" t="inlineStr">
        <is>
          <t>Recurring</t>
        </is>
      </c>
      <c r="I3388" t="n">
        <v>4</v>
      </c>
      <c r="K3388" t="inlineStr">
        <is>
          <t>USN</t>
        </is>
      </c>
      <c r="L3388" t="inlineStr">
        <is>
          <t>Combatant Ships</t>
        </is>
      </c>
      <c r="M3388" t="inlineStr">
        <is>
          <t>Submarines</t>
        </is>
      </c>
      <c r="S3388" t="n">
        <v>12060</v>
      </c>
      <c r="U3388" t="n">
        <v>12060</v>
      </c>
      <c r="AC3388">
        <f>IF(OR(E3388="",E3388="[PARENT]"),"ADD",IF(E3388="[ALT_VIEW]","ALT",""))</f>
        <v/>
      </c>
      <c r="AD3388">
        <f>IF(Y3388&lt;&gt;"",Y3388,IF(U3388&lt;&gt;"",U3388,S3388))</f>
        <v/>
      </c>
      <c r="AE3388">
        <f>IF(AB3388&lt;&gt;"",AB3388,Z3388)</f>
        <v/>
      </c>
      <c r="AF3388" t="inlineStr">
        <is>
          <t>P-5 Cost Analysis &gt; WPN LI 1250 &gt; 4.1.5 Fleet Return Missile Electronics Production Support</t>
        </is>
      </c>
      <c r="AJ3388" t="inlineStr">
        <is>
          <t>Fleet Return Missile Electronics Production Support</t>
        </is>
      </c>
    </row>
    <row r="3389">
      <c r="A3389" t="inlineStr">
        <is>
          <t>WPN</t>
        </is>
      </c>
      <c r="B3389" t="inlineStr">
        <is>
          <t>Procurement</t>
        </is>
      </c>
      <c r="D3389" t="inlineStr">
        <is>
          <t>TRIDENT II Mods - P-5 2 / Operating and Support Costs - Warhead Components</t>
        </is>
      </c>
      <c r="E3389" t="inlineStr">
        <is>
          <t>[ALT_VIEW]</t>
        </is>
      </c>
      <c r="F3389" t="inlineStr">
        <is>
          <t>1250 / TRIDENT II Mods</t>
        </is>
      </c>
      <c r="G3389" t="inlineStr">
        <is>
          <t>P-5</t>
        </is>
      </c>
      <c r="H3389" t="inlineStr">
        <is>
          <t>Support</t>
        </is>
      </c>
      <c r="I3389" t="n">
        <v>4</v>
      </c>
      <c r="K3389" t="inlineStr">
        <is>
          <t>USN</t>
        </is>
      </c>
      <c r="L3389" t="inlineStr">
        <is>
          <t>Combatant Ships</t>
        </is>
      </c>
      <c r="M3389" t="inlineStr">
        <is>
          <t>Submarines</t>
        </is>
      </c>
      <c r="S3389" t="n">
        <v>76668</v>
      </c>
      <c r="U3389" t="n">
        <v>76668</v>
      </c>
      <c r="AC3389">
        <f>IF(OR(E3389="",E3389="[PARENT]"),"ADD",IF(E3389="[ALT_VIEW]","ALT",""))</f>
        <v/>
      </c>
      <c r="AD3389">
        <f>IF(Y3389&lt;&gt;"",Y3389,IF(U3389&lt;&gt;"",U3389,S3389))</f>
        <v/>
      </c>
      <c r="AE3389">
        <f>IF(AB3389&lt;&gt;"",AB3389,Z3389)</f>
        <v/>
      </c>
      <c r="AF3389" t="inlineStr">
        <is>
          <t>P-5 Cost Analysis &gt; WPN LI 1250 &gt; 1.1 Warhead Components</t>
        </is>
      </c>
      <c r="AJ3389" t="inlineStr">
        <is>
          <t>Warhead Components</t>
        </is>
      </c>
    </row>
    <row r="3390">
      <c r="A3390" t="inlineStr">
        <is>
          <t>WPN</t>
        </is>
      </c>
      <c r="B3390" t="inlineStr">
        <is>
          <t>Procurement</t>
        </is>
      </c>
      <c r="D3390" t="inlineStr">
        <is>
          <t>TRIDENT II Mods - P-5 2 / Operating and Support Costs - Mk4B Shape Stable Nose Tip (SSNT)</t>
        </is>
      </c>
      <c r="E3390" t="inlineStr">
        <is>
          <t>[ALT_VIEW]</t>
        </is>
      </c>
      <c r="F3390" t="inlineStr">
        <is>
          <t>1250 / TRIDENT II Mods</t>
        </is>
      </c>
      <c r="G3390" t="inlineStr">
        <is>
          <t>P-5</t>
        </is>
      </c>
      <c r="H3390" t="inlineStr">
        <is>
          <t>Support</t>
        </is>
      </c>
      <c r="I3390" t="n">
        <v>4</v>
      </c>
      <c r="K3390" t="inlineStr">
        <is>
          <t>USN</t>
        </is>
      </c>
      <c r="L3390" t="inlineStr">
        <is>
          <t>Combatant Ships</t>
        </is>
      </c>
      <c r="M3390" t="inlineStr">
        <is>
          <t>Submarines</t>
        </is>
      </c>
      <c r="S3390" t="n">
        <v>32895</v>
      </c>
      <c r="U3390" t="n">
        <v>32895</v>
      </c>
      <c r="AC3390">
        <f>IF(OR(E3390="",E3390="[PARENT]"),"ADD",IF(E3390="[ALT_VIEW]","ALT",""))</f>
        <v/>
      </c>
      <c r="AD3390">
        <f>IF(Y3390&lt;&gt;"",Y3390,IF(U3390&lt;&gt;"",U3390,S3390))</f>
        <v/>
      </c>
      <c r="AE3390">
        <f>IF(AB3390&lt;&gt;"",AB3390,Z3390)</f>
        <v/>
      </c>
      <c r="AF3390" t="inlineStr">
        <is>
          <t>P-5 Cost Analysis &gt; WPN LI 1250 &gt; 1.2 Mk4B Shape Stable Nose Tip (SSNT)</t>
        </is>
      </c>
      <c r="AJ3390" t="inlineStr">
        <is>
          <t>Mk4B Shape Stable Nose Tip (SSNT)</t>
        </is>
      </c>
    </row>
    <row r="3391">
      <c r="A3391" t="inlineStr">
        <is>
          <t>WPN</t>
        </is>
      </c>
      <c r="B3391" t="inlineStr">
        <is>
          <t>Procurement</t>
        </is>
      </c>
      <c r="D3391" t="inlineStr">
        <is>
          <t>TRIDENT II Mods - P-5 2 / Operating and Support Costs - Tooling, Test/Support Equipment</t>
        </is>
      </c>
      <c r="E3391" t="inlineStr">
        <is>
          <t>[ALT_VIEW]</t>
        </is>
      </c>
      <c r="F3391" t="inlineStr">
        <is>
          <t>1250 / TRIDENT II Mods</t>
        </is>
      </c>
      <c r="G3391" t="inlineStr">
        <is>
          <t>P-5</t>
        </is>
      </c>
      <c r="H3391" t="inlineStr">
        <is>
          <t>Support</t>
        </is>
      </c>
      <c r="I3391" t="n">
        <v>4</v>
      </c>
      <c r="K3391" t="inlineStr">
        <is>
          <t>USN</t>
        </is>
      </c>
      <c r="L3391" t="inlineStr">
        <is>
          <t>Combatant Ships</t>
        </is>
      </c>
      <c r="M3391" t="inlineStr">
        <is>
          <t>Submarines</t>
        </is>
      </c>
      <c r="S3391" t="n">
        <v>123736</v>
      </c>
      <c r="U3391" t="n">
        <v>123736</v>
      </c>
      <c r="AC3391">
        <f>IF(OR(E3391="",E3391="[PARENT]"),"ADD",IF(E3391="[ALT_VIEW]","ALT",""))</f>
        <v/>
      </c>
      <c r="AD3391">
        <f>IF(Y3391&lt;&gt;"",Y3391,IF(U3391&lt;&gt;"",U3391,S3391))</f>
        <v/>
      </c>
      <c r="AE3391">
        <f>IF(AB3391&lt;&gt;"",AB3391,Z3391)</f>
        <v/>
      </c>
      <c r="AF3391" t="inlineStr">
        <is>
          <t>P-5 Cost Analysis &gt; WPN LI 1250 &gt; 1.3 Tooling, Test/Support Equipment</t>
        </is>
      </c>
      <c r="AJ3391" t="inlineStr">
        <is>
          <t>Tooling, Test/Support Equipment</t>
        </is>
      </c>
    </row>
    <row r="3392">
      <c r="A3392" t="inlineStr">
        <is>
          <t>WPN</t>
        </is>
      </c>
      <c r="B3392" t="inlineStr">
        <is>
          <t>Procurement</t>
        </is>
      </c>
      <c r="D3392" t="inlineStr">
        <is>
          <t>TRIDENT II Mods - P-5 2 / Operating and Support Costs - System Integration &amp; Planning</t>
        </is>
      </c>
      <c r="E3392" t="inlineStr">
        <is>
          <t>[ALT_VIEW]</t>
        </is>
      </c>
      <c r="F3392" t="inlineStr">
        <is>
          <t>1250 / TRIDENT II Mods</t>
        </is>
      </c>
      <c r="G3392" t="inlineStr">
        <is>
          <t>P-5</t>
        </is>
      </c>
      <c r="H3392" t="inlineStr">
        <is>
          <t>Support</t>
        </is>
      </c>
      <c r="I3392" t="n">
        <v>4</v>
      </c>
      <c r="K3392" t="inlineStr">
        <is>
          <t>USN</t>
        </is>
      </c>
      <c r="L3392" t="inlineStr">
        <is>
          <t>Combatant Ships</t>
        </is>
      </c>
      <c r="M3392" t="inlineStr">
        <is>
          <t>Submarines</t>
        </is>
      </c>
      <c r="S3392" t="n">
        <v>8583</v>
      </c>
      <c r="U3392" t="n">
        <v>8583</v>
      </c>
      <c r="AC3392">
        <f>IF(OR(E3392="",E3392="[PARENT]"),"ADD",IF(E3392="[ALT_VIEW]","ALT",""))</f>
        <v/>
      </c>
      <c r="AD3392">
        <f>IF(Y3392&lt;&gt;"",Y3392,IF(U3392&lt;&gt;"",U3392,S3392))</f>
        <v/>
      </c>
      <c r="AE3392">
        <f>IF(AB3392&lt;&gt;"",AB3392,Z3392)</f>
        <v/>
      </c>
      <c r="AF3392" t="inlineStr">
        <is>
          <t>P-5 Cost Analysis &gt; WPN LI 1250 &gt; 1.4 System Integration &amp; Planning</t>
        </is>
      </c>
      <c r="AJ3392" t="inlineStr">
        <is>
          <t>System Integration &amp; Planning</t>
        </is>
      </c>
    </row>
    <row r="3393">
      <c r="A3393" t="inlineStr">
        <is>
          <t>WPN</t>
        </is>
      </c>
      <c r="B3393" t="inlineStr">
        <is>
          <t>Procurement</t>
        </is>
      </c>
      <c r="D3393" t="inlineStr">
        <is>
          <t>TRIDENT II Mods - P-5 2 / Operating and Support Costs - Supportability Mods/SPALT Insertion</t>
        </is>
      </c>
      <c r="E3393" t="inlineStr">
        <is>
          <t>[ALT_VIEW]</t>
        </is>
      </c>
      <c r="F3393" t="inlineStr">
        <is>
          <t>1250 / TRIDENT II Mods</t>
        </is>
      </c>
      <c r="G3393" t="inlineStr">
        <is>
          <t>P-5</t>
        </is>
      </c>
      <c r="H3393" t="inlineStr">
        <is>
          <t>Support</t>
        </is>
      </c>
      <c r="I3393" t="n">
        <v>4</v>
      </c>
      <c r="K3393" t="inlineStr">
        <is>
          <t>USN</t>
        </is>
      </c>
      <c r="L3393" t="inlineStr">
        <is>
          <t>Combatant Ships</t>
        </is>
      </c>
      <c r="M3393" t="inlineStr">
        <is>
          <t>Submarines</t>
        </is>
      </c>
      <c r="S3393" t="n">
        <v>45218</v>
      </c>
      <c r="U3393" t="n">
        <v>45218</v>
      </c>
      <c r="AC3393">
        <f>IF(OR(E3393="",E3393="[PARENT]"),"ADD",IF(E3393="[ALT_VIEW]","ALT",""))</f>
        <v/>
      </c>
      <c r="AD3393">
        <f>IF(Y3393&lt;&gt;"",Y3393,IF(U3393&lt;&gt;"",U3393,S3393))</f>
        <v/>
      </c>
      <c r="AE3393">
        <f>IF(AB3393&lt;&gt;"",AB3393,Z3393)</f>
        <v/>
      </c>
      <c r="AF3393" t="inlineStr">
        <is>
          <t>P-5 Cost Analysis &gt; WPN LI 1250 &gt; 1.5 Supportability Mods/SPALT Insertion</t>
        </is>
      </c>
      <c r="AJ3393" t="inlineStr">
        <is>
          <t>Supportability Mods/SPALT Insertion</t>
        </is>
      </c>
    </row>
    <row r="3394">
      <c r="A3394" t="inlineStr">
        <is>
          <t>WPN</t>
        </is>
      </c>
      <c r="B3394" t="inlineStr">
        <is>
          <t>Procurement</t>
        </is>
      </c>
      <c r="D3394" t="inlineStr">
        <is>
          <t>TRIDENT II Mods - P-5 2 / Operating and Support Costs - Solid Rocket Motors</t>
        </is>
      </c>
      <c r="E3394" t="inlineStr">
        <is>
          <t>[ALT_VIEW]</t>
        </is>
      </c>
      <c r="F3394" t="inlineStr">
        <is>
          <t>1250 / TRIDENT II Mods</t>
        </is>
      </c>
      <c r="G3394" t="inlineStr">
        <is>
          <t>P-5</t>
        </is>
      </c>
      <c r="H3394" t="inlineStr">
        <is>
          <t>Recurring</t>
        </is>
      </c>
      <c r="I3394" t="n">
        <v>4</v>
      </c>
      <c r="K3394" t="inlineStr">
        <is>
          <t>USN</t>
        </is>
      </c>
      <c r="L3394" t="inlineStr">
        <is>
          <t>Combatant Ships</t>
        </is>
      </c>
      <c r="M3394" t="inlineStr">
        <is>
          <t>Submarines</t>
        </is>
      </c>
      <c r="S3394" t="n">
        <v>260958</v>
      </c>
      <c r="U3394" t="n">
        <v>260958</v>
      </c>
      <c r="AC3394">
        <f>IF(OR(E3394="",E3394="[PARENT]"),"ADD",IF(E3394="[ALT_VIEW]","ALT",""))</f>
        <v/>
      </c>
      <c r="AD3394">
        <f>IF(Y3394&lt;&gt;"",Y3394,IF(U3394&lt;&gt;"",U3394,S3394))</f>
        <v/>
      </c>
      <c r="AE3394">
        <f>IF(AB3394&lt;&gt;"",AB3394,Z3394)</f>
        <v/>
      </c>
      <c r="AF3394" t="inlineStr">
        <is>
          <t>P-5 Cost Analysis &gt; WPN LI 1250 &gt; 2.1 Solid Rocket Motors</t>
        </is>
      </c>
      <c r="AJ3394" t="inlineStr">
        <is>
          <t>Solid Rocket Motors</t>
        </is>
      </c>
    </row>
    <row r="3395">
      <c r="A3395" t="inlineStr">
        <is>
          <t>WPN</t>
        </is>
      </c>
      <c r="B3395" t="inlineStr">
        <is>
          <t>Procurement</t>
        </is>
      </c>
      <c r="D3395" t="inlineStr">
        <is>
          <t>TRIDENT II Mods - P-5 2 / Operating and Support Costs - Post Boost Control System (PBCS)</t>
        </is>
      </c>
      <c r="E3395" t="inlineStr">
        <is>
          <t>[ALT_VIEW]</t>
        </is>
      </c>
      <c r="F3395" t="inlineStr">
        <is>
          <t>1250 / TRIDENT II Mods</t>
        </is>
      </c>
      <c r="G3395" t="inlineStr">
        <is>
          <t>P-5</t>
        </is>
      </c>
      <c r="H3395" t="inlineStr">
        <is>
          <t>Recurring</t>
        </is>
      </c>
      <c r="I3395" t="n">
        <v>4</v>
      </c>
      <c r="K3395" t="inlineStr">
        <is>
          <t>USN</t>
        </is>
      </c>
      <c r="L3395" t="inlineStr">
        <is>
          <t>Combatant Ships</t>
        </is>
      </c>
      <c r="M3395" t="inlineStr">
        <is>
          <t>Submarines</t>
        </is>
      </c>
      <c r="S3395" t="n">
        <v>53600</v>
      </c>
      <c r="U3395" t="n">
        <v>53600</v>
      </c>
      <c r="AC3395">
        <f>IF(OR(E3395="",E3395="[PARENT]"),"ADD",IF(E3395="[ALT_VIEW]","ALT",""))</f>
        <v/>
      </c>
      <c r="AD3395">
        <f>IF(Y3395&lt;&gt;"",Y3395,IF(U3395&lt;&gt;"",U3395,S3395))</f>
        <v/>
      </c>
      <c r="AE3395">
        <f>IF(AB3395&lt;&gt;"",AB3395,Z3395)</f>
        <v/>
      </c>
      <c r="AF3395" t="inlineStr">
        <is>
          <t>P-5 Cost Analysis &gt; WPN LI 1250 &gt; 2.2 Post Boost Control System (PBCS)</t>
        </is>
      </c>
      <c r="AJ3395" t="inlineStr">
        <is>
          <t>Post Boost Control System (PBCS)</t>
        </is>
      </c>
    </row>
    <row r="3396">
      <c r="A3396" t="inlineStr">
        <is>
          <t>WPN</t>
        </is>
      </c>
      <c r="B3396" t="inlineStr">
        <is>
          <t>Procurement</t>
        </is>
      </c>
      <c r="D3396" t="inlineStr">
        <is>
          <t>TRIDENT II Mods - P-5 2 / Operating and Support Costs - HMX</t>
        </is>
      </c>
      <c r="E3396" t="inlineStr">
        <is>
          <t>[ALT_VIEW]</t>
        </is>
      </c>
      <c r="F3396" t="inlineStr">
        <is>
          <t>1250 / TRIDENT II Mods</t>
        </is>
      </c>
      <c r="G3396" t="inlineStr">
        <is>
          <t>P-5</t>
        </is>
      </c>
      <c r="H3396" t="inlineStr">
        <is>
          <t>Support</t>
        </is>
      </c>
      <c r="I3396" t="n">
        <v>4</v>
      </c>
      <c r="K3396" t="inlineStr">
        <is>
          <t>USN</t>
        </is>
      </c>
      <c r="L3396" t="inlineStr">
        <is>
          <t>Combatant Ships</t>
        </is>
      </c>
      <c r="M3396" t="inlineStr">
        <is>
          <t>Submarines</t>
        </is>
      </c>
      <c r="S3396" t="n">
        <v>19210</v>
      </c>
      <c r="U3396" t="n">
        <v>19210</v>
      </c>
      <c r="AC3396">
        <f>IF(OR(E3396="",E3396="[PARENT]"),"ADD",IF(E3396="[ALT_VIEW]","ALT",""))</f>
        <v/>
      </c>
      <c r="AD3396">
        <f>IF(Y3396&lt;&gt;"",Y3396,IF(U3396&lt;&gt;"",U3396,S3396))</f>
        <v/>
      </c>
      <c r="AE3396">
        <f>IF(AB3396&lt;&gt;"",AB3396,Z3396)</f>
        <v/>
      </c>
      <c r="AF3396" t="inlineStr">
        <is>
          <t>P-5 Cost Analysis &gt; WPN LI 1250 &gt; 2.3 HMX</t>
        </is>
      </c>
      <c r="AJ3396" t="inlineStr">
        <is>
          <t>HMX</t>
        </is>
      </c>
    </row>
    <row r="3397">
      <c r="A3397" t="inlineStr">
        <is>
          <t>WPN</t>
        </is>
      </c>
      <c r="B3397" t="inlineStr">
        <is>
          <t>Procurement</t>
        </is>
      </c>
      <c r="D3397" t="inlineStr">
        <is>
          <t>TRIDENT II Mods - P-5 2 / Operating and Support Costs - Ordnance</t>
        </is>
      </c>
      <c r="E3397" t="inlineStr">
        <is>
          <t>[ALT_VIEW]</t>
        </is>
      </c>
      <c r="F3397" t="inlineStr">
        <is>
          <t>1250 / TRIDENT II Mods</t>
        </is>
      </c>
      <c r="G3397" t="inlineStr">
        <is>
          <t>P-5</t>
        </is>
      </c>
      <c r="H3397" t="inlineStr">
        <is>
          <t>Support</t>
        </is>
      </c>
      <c r="I3397" t="n">
        <v>4</v>
      </c>
      <c r="K3397" t="inlineStr">
        <is>
          <t>USN</t>
        </is>
      </c>
      <c r="L3397" t="inlineStr">
        <is>
          <t>Combatant Ships</t>
        </is>
      </c>
      <c r="M3397" t="inlineStr">
        <is>
          <t>Submarines</t>
        </is>
      </c>
      <c r="S3397" t="n">
        <v>21862</v>
      </c>
      <c r="U3397" t="n">
        <v>21862</v>
      </c>
      <c r="AC3397">
        <f>IF(OR(E3397="",E3397="[PARENT]"),"ADD",IF(E3397="[ALT_VIEW]","ALT",""))</f>
        <v/>
      </c>
      <c r="AD3397">
        <f>IF(Y3397&lt;&gt;"",Y3397,IF(U3397&lt;&gt;"",U3397,S3397))</f>
        <v/>
      </c>
      <c r="AE3397">
        <f>IF(AB3397&lt;&gt;"",AB3397,Z3397)</f>
        <v/>
      </c>
      <c r="AF3397" t="inlineStr">
        <is>
          <t>P-5 Cost Analysis &gt; WPN LI 1250 &gt; 2.4 Ordnance</t>
        </is>
      </c>
      <c r="AJ3397" t="inlineStr">
        <is>
          <t>Ordnance</t>
        </is>
      </c>
    </row>
    <row r="3398">
      <c r="A3398" t="inlineStr">
        <is>
          <t>WPN</t>
        </is>
      </c>
      <c r="B3398" t="inlineStr">
        <is>
          <t>Procurement</t>
        </is>
      </c>
      <c r="D3398" t="inlineStr">
        <is>
          <t>TRIDENT II Mods - P-5 2 / Operating and Support Costs - Controls</t>
        </is>
      </c>
      <c r="E3398" t="inlineStr">
        <is>
          <t>[ALT_VIEW]</t>
        </is>
      </c>
      <c r="F3398" t="inlineStr">
        <is>
          <t>1250 / TRIDENT II Mods</t>
        </is>
      </c>
      <c r="G3398" t="inlineStr">
        <is>
          <t>P-5</t>
        </is>
      </c>
      <c r="H3398" t="inlineStr">
        <is>
          <t>Support</t>
        </is>
      </c>
      <c r="I3398" t="n">
        <v>4</v>
      </c>
      <c r="K3398" t="inlineStr">
        <is>
          <t>USN</t>
        </is>
      </c>
      <c r="L3398" t="inlineStr">
        <is>
          <t>Combatant Ships</t>
        </is>
      </c>
      <c r="M3398" t="inlineStr">
        <is>
          <t>Submarines</t>
        </is>
      </c>
      <c r="S3398" t="n">
        <v>27396</v>
      </c>
      <c r="U3398" t="n">
        <v>27396</v>
      </c>
      <c r="AC3398">
        <f>IF(OR(E3398="",E3398="[PARENT]"),"ADD",IF(E3398="[ALT_VIEW]","ALT",""))</f>
        <v/>
      </c>
      <c r="AD3398">
        <f>IF(Y3398&lt;&gt;"",Y3398,IF(U3398&lt;&gt;"",U3398,S3398))</f>
        <v/>
      </c>
      <c r="AE3398">
        <f>IF(AB3398&lt;&gt;"",AB3398,Z3398)</f>
        <v/>
      </c>
      <c r="AF3398" t="inlineStr">
        <is>
          <t>P-5 Cost Analysis &gt; WPN LI 1250 &gt; 2.5 Controls</t>
        </is>
      </c>
      <c r="AJ3398" t="inlineStr">
        <is>
          <t>Controls</t>
        </is>
      </c>
    </row>
    <row r="3399">
      <c r="A3399" t="inlineStr">
        <is>
          <t>WPN</t>
        </is>
      </c>
      <c r="B3399" t="inlineStr">
        <is>
          <t>Procurement</t>
        </is>
      </c>
      <c r="D3399" t="inlineStr">
        <is>
          <t>TRIDENT II Mods - P-5 2 / Operating and Support Costs - Other</t>
        </is>
      </c>
      <c r="E3399" t="inlineStr">
        <is>
          <t>[ALT_VIEW]</t>
        </is>
      </c>
      <c r="F3399" t="inlineStr">
        <is>
          <t>1250 / TRIDENT II Mods</t>
        </is>
      </c>
      <c r="G3399" t="inlineStr">
        <is>
          <t>P-5</t>
        </is>
      </c>
      <c r="H3399" t="inlineStr">
        <is>
          <t>Support</t>
        </is>
      </c>
      <c r="I3399" t="n">
        <v>4</v>
      </c>
      <c r="K3399" t="inlineStr">
        <is>
          <t>USN</t>
        </is>
      </c>
      <c r="L3399" t="inlineStr">
        <is>
          <t>Combatant Ships</t>
        </is>
      </c>
      <c r="M3399" t="inlineStr">
        <is>
          <t>Submarines</t>
        </is>
      </c>
      <c r="S3399" t="n">
        <v>7421</v>
      </c>
      <c r="U3399" t="n">
        <v>7421</v>
      </c>
      <c r="AC3399">
        <f>IF(OR(E3399="",E3399="[PARENT]"),"ADD",IF(E3399="[ALT_VIEW]","ALT",""))</f>
        <v/>
      </c>
      <c r="AD3399">
        <f>IF(Y3399&lt;&gt;"",Y3399,IF(U3399&lt;&gt;"",U3399,S3399))</f>
        <v/>
      </c>
      <c r="AE3399">
        <f>IF(AB3399&lt;&gt;"",AB3399,Z3399)</f>
        <v/>
      </c>
      <c r="AF3399" t="inlineStr">
        <is>
          <t>P-5 Cost Analysis &gt; WPN LI 1250 &gt; 2.6 Other</t>
        </is>
      </c>
      <c r="AJ3399" t="inlineStr">
        <is>
          <t>Other</t>
        </is>
      </c>
    </row>
    <row r="3400">
      <c r="A3400" t="inlineStr">
        <is>
          <t>WPN</t>
        </is>
      </c>
      <c r="B3400" t="inlineStr">
        <is>
          <t>Procurement</t>
        </is>
      </c>
      <c r="D3400" t="inlineStr">
        <is>
          <t>TRIDENT II Mods - P-5 2 / Operating and Support Costs - PBCS Requalification</t>
        </is>
      </c>
      <c r="E3400" t="inlineStr">
        <is>
          <t>[ALT_VIEW]</t>
        </is>
      </c>
      <c r="F3400" t="inlineStr">
        <is>
          <t>1250 / TRIDENT II Mods</t>
        </is>
      </c>
      <c r="G3400" t="inlineStr">
        <is>
          <t>P-5</t>
        </is>
      </c>
      <c r="H3400" t="inlineStr">
        <is>
          <t>Support</t>
        </is>
      </c>
      <c r="I3400" t="n">
        <v>4</v>
      </c>
      <c r="K3400" t="inlineStr">
        <is>
          <t>USN</t>
        </is>
      </c>
      <c r="L3400" t="inlineStr">
        <is>
          <t>Combatant Ships</t>
        </is>
      </c>
      <c r="M3400" t="inlineStr">
        <is>
          <t>Submarines</t>
        </is>
      </c>
      <c r="S3400" t="n">
        <v>13800</v>
      </c>
      <c r="U3400" t="n">
        <v>13800</v>
      </c>
      <c r="AC3400">
        <f>IF(OR(E3400="",E3400="[PARENT]"),"ADD",IF(E3400="[ALT_VIEW]","ALT",""))</f>
        <v/>
      </c>
      <c r="AD3400">
        <f>IF(Y3400&lt;&gt;"",Y3400,IF(U3400&lt;&gt;"",U3400,S3400))</f>
        <v/>
      </c>
      <c r="AE3400">
        <f>IF(AB3400&lt;&gt;"",AB3400,Z3400)</f>
        <v/>
      </c>
      <c r="AF3400" t="inlineStr">
        <is>
          <t>P-5 Cost Analysis &gt; WPN LI 1250 &gt; 2.7 PBCS Requalification</t>
        </is>
      </c>
      <c r="AJ3400" t="inlineStr">
        <is>
          <t>PBCS Requalification</t>
        </is>
      </c>
    </row>
    <row r="3401">
      <c r="A3401" t="inlineStr">
        <is>
          <t>WPN</t>
        </is>
      </c>
      <c r="B3401" t="inlineStr">
        <is>
          <t>Procurement</t>
        </is>
      </c>
      <c r="D3401" t="inlineStr">
        <is>
          <t>TRIDENT II Mods - P-5 2 / Operating and Support Costs - Electronics</t>
        </is>
      </c>
      <c r="E3401" t="inlineStr">
        <is>
          <t>[ALT_VIEW]</t>
        </is>
      </c>
      <c r="F3401" t="inlineStr">
        <is>
          <t>1250 / TRIDENT II Mods</t>
        </is>
      </c>
      <c r="G3401" t="inlineStr">
        <is>
          <t>P-5</t>
        </is>
      </c>
      <c r="H3401" t="inlineStr">
        <is>
          <t>Support</t>
        </is>
      </c>
      <c r="I3401" t="n">
        <v>4</v>
      </c>
      <c r="K3401" t="inlineStr">
        <is>
          <t>USN</t>
        </is>
      </c>
      <c r="L3401" t="inlineStr">
        <is>
          <t>Combatant Ships</t>
        </is>
      </c>
      <c r="M3401" t="inlineStr">
        <is>
          <t>Submarines</t>
        </is>
      </c>
      <c r="S3401" t="n">
        <v>3551</v>
      </c>
      <c r="U3401" t="n">
        <v>3551</v>
      </c>
      <c r="AC3401">
        <f>IF(OR(E3401="",E3401="[PARENT]"),"ADD",IF(E3401="[ALT_VIEW]","ALT",""))</f>
        <v/>
      </c>
      <c r="AD3401">
        <f>IF(Y3401&lt;&gt;"",Y3401,IF(U3401&lt;&gt;"",U3401,S3401))</f>
        <v/>
      </c>
      <c r="AE3401">
        <f>IF(AB3401&lt;&gt;"",AB3401,Z3401)</f>
        <v/>
      </c>
      <c r="AF3401" t="inlineStr">
        <is>
          <t>P-5 Cost Analysis &gt; WPN LI 1250 &gt; 3.1 Electronics</t>
        </is>
      </c>
      <c r="AJ3401" t="inlineStr">
        <is>
          <t>Electronics</t>
        </is>
      </c>
    </row>
    <row r="3402">
      <c r="A3402" t="inlineStr">
        <is>
          <t>WPN</t>
        </is>
      </c>
      <c r="B3402" t="inlineStr">
        <is>
          <t>Procurement</t>
        </is>
      </c>
      <c r="D3402" t="inlineStr">
        <is>
          <t>TRIDENT II Mods - P-5 2 / Operating and Support Costs - Production Support</t>
        </is>
      </c>
      <c r="E3402" t="inlineStr">
        <is>
          <t>[ALT_VIEW]</t>
        </is>
      </c>
      <c r="F3402" t="inlineStr">
        <is>
          <t>1250 / TRIDENT II Mods</t>
        </is>
      </c>
      <c r="G3402" t="inlineStr">
        <is>
          <t>P-5</t>
        </is>
      </c>
      <c r="H3402" t="inlineStr">
        <is>
          <t>Support</t>
        </is>
      </c>
      <c r="I3402" t="n">
        <v>4</v>
      </c>
      <c r="K3402" t="inlineStr">
        <is>
          <t>USN</t>
        </is>
      </c>
      <c r="L3402" t="inlineStr">
        <is>
          <t>Combatant Ships</t>
        </is>
      </c>
      <c r="M3402" t="inlineStr">
        <is>
          <t>Submarines</t>
        </is>
      </c>
      <c r="S3402" t="n">
        <v>102294</v>
      </c>
      <c r="U3402" t="n">
        <v>102294</v>
      </c>
      <c r="AC3402">
        <f>IF(OR(E3402="",E3402="[PARENT]"),"ADD",IF(E3402="[ALT_VIEW]","ALT",""))</f>
        <v/>
      </c>
      <c r="AD3402">
        <f>IF(Y3402&lt;&gt;"",Y3402,IF(U3402&lt;&gt;"",U3402,S3402))</f>
        <v/>
      </c>
      <c r="AE3402">
        <f>IF(AB3402&lt;&gt;"",AB3402,Z3402)</f>
        <v/>
      </c>
      <c r="AF3402" t="inlineStr">
        <is>
          <t>P-5 Cost Analysis &gt; WPN LI 1250 &gt; 5.1 Production Support</t>
        </is>
      </c>
      <c r="AJ3402" t="inlineStr">
        <is>
          <t>Production Support</t>
        </is>
      </c>
    </row>
    <row r="3403">
      <c r="A3403" t="inlineStr">
        <is>
          <t>WPN</t>
        </is>
      </c>
      <c r="B3403" t="inlineStr">
        <is>
          <t>Procurement</t>
        </is>
      </c>
      <c r="D3403" t="inlineStr">
        <is>
          <t>TRIDENT II Mods - P-5 2 / Operating and Support Costs - Guidance Repair Parts</t>
        </is>
      </c>
      <c r="E3403" t="inlineStr">
        <is>
          <t>[ALT_VIEW]</t>
        </is>
      </c>
      <c r="F3403" t="inlineStr">
        <is>
          <t>1250 / TRIDENT II Mods</t>
        </is>
      </c>
      <c r="G3403" t="inlineStr">
        <is>
          <t>P-5</t>
        </is>
      </c>
      <c r="H3403" t="inlineStr">
        <is>
          <t>Support</t>
        </is>
      </c>
      <c r="I3403" t="n">
        <v>4</v>
      </c>
      <c r="K3403" t="inlineStr">
        <is>
          <t>USN</t>
        </is>
      </c>
      <c r="L3403" t="inlineStr">
        <is>
          <t>Combatant Ships</t>
        </is>
      </c>
      <c r="M3403" t="inlineStr">
        <is>
          <t>Submarines</t>
        </is>
      </c>
      <c r="S3403" t="n">
        <v>3612</v>
      </c>
      <c r="U3403" t="n">
        <v>3612</v>
      </c>
      <c r="AC3403">
        <f>IF(OR(E3403="",E3403="[PARENT]"),"ADD",IF(E3403="[ALT_VIEW]","ALT",""))</f>
        <v/>
      </c>
      <c r="AD3403">
        <f>IF(Y3403&lt;&gt;"",Y3403,IF(U3403&lt;&gt;"",U3403,S3403))</f>
        <v/>
      </c>
      <c r="AE3403">
        <f>IF(AB3403&lt;&gt;"",AB3403,Z3403)</f>
        <v/>
      </c>
      <c r="AF3403" t="inlineStr">
        <is>
          <t>P-5 Cost Analysis &gt; WPN LI 1250 &gt; 6.1 Guidance Repair Parts</t>
        </is>
      </c>
      <c r="AJ3403" t="inlineStr">
        <is>
          <t>Guidance Repair Parts</t>
        </is>
      </c>
    </row>
    <row r="3404">
      <c r="A3404" t="inlineStr">
        <is>
          <t>WPN</t>
        </is>
      </c>
      <c r="B3404" t="inlineStr">
        <is>
          <t>Procurement</t>
        </is>
      </c>
      <c r="D3404" t="inlineStr">
        <is>
          <t>TRIDENT II Mods - P-5 2 / Operating and Support Costs - SRM Chamber/Case Modernization</t>
        </is>
      </c>
      <c r="E3404" t="inlineStr">
        <is>
          <t>[ALT_VIEW]</t>
        </is>
      </c>
      <c r="F3404" t="inlineStr">
        <is>
          <t>1250 / TRIDENT II Mods</t>
        </is>
      </c>
      <c r="G3404" t="inlineStr">
        <is>
          <t>P-5</t>
        </is>
      </c>
      <c r="H3404" t="inlineStr">
        <is>
          <t>Support</t>
        </is>
      </c>
      <c r="I3404" t="n">
        <v>4</v>
      </c>
      <c r="K3404" t="inlineStr">
        <is>
          <t>USN</t>
        </is>
      </c>
      <c r="L3404" t="inlineStr">
        <is>
          <t>Combatant Ships</t>
        </is>
      </c>
      <c r="M3404" t="inlineStr">
        <is>
          <t>Submarines</t>
        </is>
      </c>
      <c r="S3404" t="n">
        <v>21500</v>
      </c>
      <c r="U3404" t="n">
        <v>21500</v>
      </c>
      <c r="AC3404">
        <f>IF(OR(E3404="",E3404="[PARENT]"),"ADD",IF(E3404="[ALT_VIEW]","ALT",""))</f>
        <v/>
      </c>
      <c r="AD3404">
        <f>IF(Y3404&lt;&gt;"",Y3404,IF(U3404&lt;&gt;"",U3404,S3404))</f>
        <v/>
      </c>
      <c r="AE3404">
        <f>IF(AB3404&lt;&gt;"",AB3404,Z3404)</f>
        <v/>
      </c>
      <c r="AF3404" t="inlineStr">
        <is>
          <t>P-5 Cost Analysis &gt; WPN LI 1250 &gt; 7.1 SRM Chamber/Case Modernization</t>
        </is>
      </c>
      <c r="AJ3404" t="inlineStr">
        <is>
          <t>SRM Chamber/Case Modernization</t>
        </is>
      </c>
    </row>
    <row r="3405">
      <c r="A3405" t="inlineStr">
        <is>
          <t>WPN</t>
        </is>
      </c>
      <c r="B3405" t="inlineStr">
        <is>
          <t>Procurement</t>
        </is>
      </c>
      <c r="D3405" t="inlineStr">
        <is>
          <t>TRIDENT II Mods - P-5 2 / Operating and Support Costs - SRM Igniter/Nozzle Modernization</t>
        </is>
      </c>
      <c r="E3405" t="inlineStr">
        <is>
          <t>[ALT_VIEW]</t>
        </is>
      </c>
      <c r="F3405" t="inlineStr">
        <is>
          <t>1250 / TRIDENT II Mods</t>
        </is>
      </c>
      <c r="G3405" t="inlineStr">
        <is>
          <t>P-5</t>
        </is>
      </c>
      <c r="H3405" t="inlineStr">
        <is>
          <t>Support</t>
        </is>
      </c>
      <c r="I3405" t="n">
        <v>4</v>
      </c>
      <c r="K3405" t="inlineStr">
        <is>
          <t>USN</t>
        </is>
      </c>
      <c r="L3405" t="inlineStr">
        <is>
          <t>Combatant Ships</t>
        </is>
      </c>
      <c r="M3405" t="inlineStr">
        <is>
          <t>Submarines</t>
        </is>
      </c>
      <c r="S3405" t="n">
        <v>17500</v>
      </c>
      <c r="U3405" t="n">
        <v>17500</v>
      </c>
      <c r="AC3405">
        <f>IF(OR(E3405="",E3405="[PARENT]"),"ADD",IF(E3405="[ALT_VIEW]","ALT",""))</f>
        <v/>
      </c>
      <c r="AD3405">
        <f>IF(Y3405&lt;&gt;"",Y3405,IF(U3405&lt;&gt;"",U3405,S3405))</f>
        <v/>
      </c>
      <c r="AE3405">
        <f>IF(AB3405&lt;&gt;"",AB3405,Z3405)</f>
        <v/>
      </c>
      <c r="AF3405" t="inlineStr">
        <is>
          <t>P-5 Cost Analysis &gt; WPN LI 1250 &gt; 7.2 SRM Igniter/Nozzle Modernization</t>
        </is>
      </c>
      <c r="AJ3405" t="inlineStr">
        <is>
          <t>SRM Igniter/Nozzle Modernization</t>
        </is>
      </c>
    </row>
    <row r="3406">
      <c r="A3406" t="inlineStr">
        <is>
          <t>WPN</t>
        </is>
      </c>
      <c r="B3406" t="inlineStr">
        <is>
          <t>Procurement</t>
        </is>
      </c>
      <c r="D3406" t="inlineStr">
        <is>
          <t>TRIDENT II Mods - P-5 2 / Operating and Support Costs - SRM Propellant/Energetics Modernization</t>
        </is>
      </c>
      <c r="E3406" t="inlineStr">
        <is>
          <t>[ALT_VIEW]</t>
        </is>
      </c>
      <c r="F3406" t="inlineStr">
        <is>
          <t>1250 / TRIDENT II Mods</t>
        </is>
      </c>
      <c r="G3406" t="inlineStr">
        <is>
          <t>P-5</t>
        </is>
      </c>
      <c r="H3406" t="inlineStr">
        <is>
          <t>Support</t>
        </is>
      </c>
      <c r="I3406" t="n">
        <v>4</v>
      </c>
      <c r="K3406" t="inlineStr">
        <is>
          <t>USN</t>
        </is>
      </c>
      <c r="L3406" t="inlineStr">
        <is>
          <t>Combatant Ships</t>
        </is>
      </c>
      <c r="M3406" t="inlineStr">
        <is>
          <t>Submarines</t>
        </is>
      </c>
      <c r="S3406" t="n">
        <v>25206</v>
      </c>
      <c r="U3406" t="n">
        <v>25206</v>
      </c>
      <c r="AC3406">
        <f>IF(OR(E3406="",E3406="[PARENT]"),"ADD",IF(E3406="[ALT_VIEW]","ALT",""))</f>
        <v/>
      </c>
      <c r="AD3406">
        <f>IF(Y3406&lt;&gt;"",Y3406,IF(U3406&lt;&gt;"",U3406,S3406))</f>
        <v/>
      </c>
      <c r="AE3406">
        <f>IF(AB3406&lt;&gt;"",AB3406,Z3406)</f>
        <v/>
      </c>
      <c r="AF3406" t="inlineStr">
        <is>
          <t>P-5 Cost Analysis &gt; WPN LI 1250 &gt; 7.3 SRM Propellant/Energetics Modernization</t>
        </is>
      </c>
      <c r="AJ3406" t="inlineStr">
        <is>
          <t>SRM Propellant/Energetics Modernization</t>
        </is>
      </c>
    </row>
    <row r="3407">
      <c r="A3407" t="inlineStr">
        <is>
          <t>WPN</t>
        </is>
      </c>
      <c r="B3407" t="inlineStr">
        <is>
          <t>Procurement</t>
        </is>
      </c>
      <c r="D3407" t="inlineStr">
        <is>
          <t>TRIDENT II Mods - P-5 2 / Operating and Support Costs - Capital Maintenance</t>
        </is>
      </c>
      <c r="E3407" t="inlineStr">
        <is>
          <t>[ALT_VIEW]</t>
        </is>
      </c>
      <c r="F3407" t="inlineStr">
        <is>
          <t>1250 / TRIDENT II Mods</t>
        </is>
      </c>
      <c r="G3407" t="inlineStr">
        <is>
          <t>P-5</t>
        </is>
      </c>
      <c r="H3407" t="inlineStr">
        <is>
          <t>Support</t>
        </is>
      </c>
      <c r="I3407" t="n">
        <v>4</v>
      </c>
      <c r="K3407" t="inlineStr">
        <is>
          <t>USN</t>
        </is>
      </c>
      <c r="L3407" t="inlineStr">
        <is>
          <t>Combatant Ships</t>
        </is>
      </c>
      <c r="M3407" t="inlineStr">
        <is>
          <t>Submarines</t>
        </is>
      </c>
      <c r="S3407" t="n">
        <v>8353</v>
      </c>
      <c r="U3407" t="n">
        <v>8353</v>
      </c>
      <c r="AC3407">
        <f>IF(OR(E3407="",E3407="[PARENT]"),"ADD",IF(E3407="[ALT_VIEW]","ALT",""))</f>
        <v/>
      </c>
      <c r="AD3407">
        <f>IF(Y3407&lt;&gt;"",Y3407,IF(U3407&lt;&gt;"",U3407,S3407))</f>
        <v/>
      </c>
      <c r="AE3407">
        <f>IF(AB3407&lt;&gt;"",AB3407,Z3407)</f>
        <v/>
      </c>
      <c r="AF3407" t="inlineStr">
        <is>
          <t>P-5 Cost Analysis &gt; WPN LI 1250 &gt; 8.1 Capital Maintenance</t>
        </is>
      </c>
      <c r="AJ3407" t="inlineStr">
        <is>
          <t>Capital Maintenance</t>
        </is>
      </c>
    </row>
    <row r="3408">
      <c r="A3408" t="inlineStr">
        <is>
          <t>WPN</t>
        </is>
      </c>
      <c r="B3408" t="inlineStr">
        <is>
          <t>Procurement</t>
        </is>
      </c>
      <c r="D3408" t="inlineStr">
        <is>
          <t>TRIDENT II Mods - P-5 3 / D5LE2 - Airframe</t>
        </is>
      </c>
      <c r="E3408" t="inlineStr">
        <is>
          <t>[ALT_VIEW]</t>
        </is>
      </c>
      <c r="F3408" t="inlineStr">
        <is>
          <t>1250 / TRIDENT II Mods</t>
        </is>
      </c>
      <c r="G3408" t="inlineStr">
        <is>
          <t>P-5</t>
        </is>
      </c>
      <c r="H3408" t="inlineStr">
        <is>
          <t>Support</t>
        </is>
      </c>
      <c r="I3408" t="n">
        <v>4</v>
      </c>
      <c r="K3408" t="inlineStr">
        <is>
          <t>USN</t>
        </is>
      </c>
      <c r="L3408" t="inlineStr">
        <is>
          <t>Combatant Ships</t>
        </is>
      </c>
      <c r="M3408" t="inlineStr">
        <is>
          <t>Submarines</t>
        </is>
      </c>
      <c r="S3408" t="n">
        <v>68771</v>
      </c>
      <c r="U3408" t="n">
        <v>68771</v>
      </c>
      <c r="AC3408">
        <f>IF(OR(E3408="",E3408="[PARENT]"),"ADD",IF(E3408="[ALT_VIEW]","ALT",""))</f>
        <v/>
      </c>
      <c r="AD3408">
        <f>IF(Y3408&lt;&gt;"",Y3408,IF(U3408&lt;&gt;"",U3408,S3408))</f>
        <v/>
      </c>
      <c r="AE3408">
        <f>IF(AB3408&lt;&gt;"",AB3408,Z3408)</f>
        <v/>
      </c>
      <c r="AF3408" t="inlineStr">
        <is>
          <t>P-5 Cost Analysis &gt; WPN LI 1250 &gt; 1.1 Airframe</t>
        </is>
      </c>
      <c r="AJ3408" t="inlineStr">
        <is>
          <t>Airframe</t>
        </is>
      </c>
    </row>
    <row r="3409">
      <c r="A3409" t="inlineStr">
        <is>
          <t>WPN</t>
        </is>
      </c>
      <c r="B3409" t="inlineStr">
        <is>
          <t>Procurement</t>
        </is>
      </c>
      <c r="D3409" t="inlineStr">
        <is>
          <t>TRIDENT II Mods - P-5 3 / D5LE2 - Propulsion</t>
        </is>
      </c>
      <c r="E3409" t="inlineStr">
        <is>
          <t>[ALT_VIEW]</t>
        </is>
      </c>
      <c r="F3409" t="inlineStr">
        <is>
          <t>1250 / TRIDENT II Mods</t>
        </is>
      </c>
      <c r="G3409" t="inlineStr">
        <is>
          <t>P-5</t>
        </is>
      </c>
      <c r="H3409" t="inlineStr">
        <is>
          <t>Support</t>
        </is>
      </c>
      <c r="I3409" t="n">
        <v>4</v>
      </c>
      <c r="K3409" t="inlineStr">
        <is>
          <t>USN</t>
        </is>
      </c>
      <c r="L3409" t="inlineStr">
        <is>
          <t>Combatant Ships</t>
        </is>
      </c>
      <c r="M3409" t="inlineStr">
        <is>
          <t>Submarines</t>
        </is>
      </c>
      <c r="S3409" t="n">
        <v>81839</v>
      </c>
      <c r="U3409" t="n">
        <v>81839</v>
      </c>
      <c r="AC3409">
        <f>IF(OR(E3409="",E3409="[PARENT]"),"ADD",IF(E3409="[ALT_VIEW]","ALT",""))</f>
        <v/>
      </c>
      <c r="AD3409">
        <f>IF(Y3409&lt;&gt;"",Y3409,IF(U3409&lt;&gt;"",U3409,S3409))</f>
        <v/>
      </c>
      <c r="AE3409">
        <f>IF(AB3409&lt;&gt;"",AB3409,Z3409)</f>
        <v/>
      </c>
      <c r="AF3409" t="inlineStr">
        <is>
          <t>P-5 Cost Analysis &gt; WPN LI 1250 &gt; 1.2 Propulsion</t>
        </is>
      </c>
      <c r="AJ3409" t="inlineStr">
        <is>
          <t>Propulsion</t>
        </is>
      </c>
    </row>
    <row r="3410">
      <c r="A3410" t="inlineStr">
        <is>
          <t>WPN</t>
        </is>
      </c>
      <c r="B3410" t="inlineStr">
        <is>
          <t>Procurement</t>
        </is>
      </c>
      <c r="D3410" t="inlineStr">
        <is>
          <t>TRIDENT II Mods - P-5 3 / D5LE2 - Electronics and Avionics</t>
        </is>
      </c>
      <c r="E3410" t="inlineStr">
        <is>
          <t>[ALT_VIEW]</t>
        </is>
      </c>
      <c r="F3410" t="inlineStr">
        <is>
          <t>1250 / TRIDENT II Mods</t>
        </is>
      </c>
      <c r="G3410" t="inlineStr">
        <is>
          <t>P-5</t>
        </is>
      </c>
      <c r="H3410" t="inlineStr">
        <is>
          <t>Support</t>
        </is>
      </c>
      <c r="I3410" t="n">
        <v>4</v>
      </c>
      <c r="K3410" t="inlineStr">
        <is>
          <t>USN</t>
        </is>
      </c>
      <c r="L3410" t="inlineStr">
        <is>
          <t>Combatant Ships</t>
        </is>
      </c>
      <c r="M3410" t="inlineStr">
        <is>
          <t>Submarines</t>
        </is>
      </c>
      <c r="S3410" t="n">
        <v>210278</v>
      </c>
      <c r="U3410" t="n">
        <v>210278</v>
      </c>
      <c r="AC3410">
        <f>IF(OR(E3410="",E3410="[PARENT]"),"ADD",IF(E3410="[ALT_VIEW]","ALT",""))</f>
        <v/>
      </c>
      <c r="AD3410">
        <f>IF(Y3410&lt;&gt;"",Y3410,IF(U3410&lt;&gt;"",U3410,S3410))</f>
        <v/>
      </c>
      <c r="AE3410">
        <f>IF(AB3410&lt;&gt;"",AB3410,Z3410)</f>
        <v/>
      </c>
      <c r="AF3410" t="inlineStr">
        <is>
          <t>P-5 Cost Analysis &gt; WPN LI 1250 &gt; 1.3 Electronics and Avionics</t>
        </is>
      </c>
      <c r="AJ3410" t="inlineStr">
        <is>
          <t>Electronics and Avionics</t>
        </is>
      </c>
    </row>
    <row r="3411">
      <c r="A3411" t="inlineStr">
        <is>
          <t>WPN</t>
        </is>
      </c>
      <c r="B3411" t="inlineStr">
        <is>
          <t>Procurement</t>
        </is>
      </c>
      <c r="D3411" t="inlineStr">
        <is>
          <t>TRIDENT II Mods - P-5 3 / D5LE2 - Controls</t>
        </is>
      </c>
      <c r="E3411" t="inlineStr">
        <is>
          <t>[ALT_VIEW]</t>
        </is>
      </c>
      <c r="F3411" t="inlineStr">
        <is>
          <t>1250 / TRIDENT II Mods</t>
        </is>
      </c>
      <c r="G3411" t="inlineStr">
        <is>
          <t>P-5</t>
        </is>
      </c>
      <c r="H3411" t="inlineStr">
        <is>
          <t>Support</t>
        </is>
      </c>
      <c r="I3411" t="n">
        <v>4</v>
      </c>
      <c r="K3411" t="inlineStr">
        <is>
          <t>USN</t>
        </is>
      </c>
      <c r="L3411" t="inlineStr">
        <is>
          <t>Combatant Ships</t>
        </is>
      </c>
      <c r="M3411" t="inlineStr">
        <is>
          <t>Submarines</t>
        </is>
      </c>
      <c r="S3411" t="n">
        <v>240255</v>
      </c>
      <c r="U3411" t="n">
        <v>240255</v>
      </c>
      <c r="AC3411">
        <f>IF(OR(E3411="",E3411="[PARENT]"),"ADD",IF(E3411="[ALT_VIEW]","ALT",""))</f>
        <v/>
      </c>
      <c r="AD3411">
        <f>IF(Y3411&lt;&gt;"",Y3411,IF(U3411&lt;&gt;"",U3411,S3411))</f>
        <v/>
      </c>
      <c r="AE3411">
        <f>IF(AB3411&lt;&gt;"",AB3411,Z3411)</f>
        <v/>
      </c>
      <c r="AF3411" t="inlineStr">
        <is>
          <t>P-5 Cost Analysis &gt; WPN LI 1250 &gt; 1.4 Controls</t>
        </is>
      </c>
      <c r="AJ3411" t="inlineStr">
        <is>
          <t>Controls</t>
        </is>
      </c>
    </row>
    <row r="3412">
      <c r="A3412" t="inlineStr">
        <is>
          <t>WPN</t>
        </is>
      </c>
      <c r="B3412" t="inlineStr">
        <is>
          <t>Procurement</t>
        </is>
      </c>
      <c r="D3412" t="inlineStr">
        <is>
          <t>TRIDENT II Mods - P-5 3 / D5LE2 - Ordnance</t>
        </is>
      </c>
      <c r="E3412" t="inlineStr">
        <is>
          <t>[ALT_VIEW]</t>
        </is>
      </c>
      <c r="F3412" t="inlineStr">
        <is>
          <t>1250 / TRIDENT II Mods</t>
        </is>
      </c>
      <c r="G3412" t="inlineStr">
        <is>
          <t>P-5</t>
        </is>
      </c>
      <c r="H3412" t="inlineStr">
        <is>
          <t>Support</t>
        </is>
      </c>
      <c r="I3412" t="n">
        <v>4</v>
      </c>
      <c r="K3412" t="inlineStr">
        <is>
          <t>USN</t>
        </is>
      </c>
      <c r="L3412" t="inlineStr">
        <is>
          <t>Combatant Ships</t>
        </is>
      </c>
      <c r="M3412" t="inlineStr">
        <is>
          <t>Submarines</t>
        </is>
      </c>
      <c r="S3412" t="n">
        <v>20184</v>
      </c>
      <c r="U3412" t="n">
        <v>20184</v>
      </c>
      <c r="AC3412">
        <f>IF(OR(E3412="",E3412="[PARENT]"),"ADD",IF(E3412="[ALT_VIEW]","ALT",""))</f>
        <v/>
      </c>
      <c r="AD3412">
        <f>IF(Y3412&lt;&gt;"",Y3412,IF(U3412&lt;&gt;"",U3412,S3412))</f>
        <v/>
      </c>
      <c r="AE3412">
        <f>IF(AB3412&lt;&gt;"",AB3412,Z3412)</f>
        <v/>
      </c>
      <c r="AF3412" t="inlineStr">
        <is>
          <t>P-5 Cost Analysis &gt; WPN LI 1250 &gt; 1.5 Ordnance</t>
        </is>
      </c>
      <c r="AJ3412" t="inlineStr">
        <is>
          <t>Ordnance</t>
        </is>
      </c>
    </row>
    <row r="3413">
      <c r="A3413" t="inlineStr">
        <is>
          <t>WPN</t>
        </is>
      </c>
      <c r="B3413" t="inlineStr">
        <is>
          <t>Procurement</t>
        </is>
      </c>
      <c r="D3413" t="inlineStr">
        <is>
          <t>TRIDENT II Mods - P-5 3 / D5LE2 - Test Missile Kit</t>
        </is>
      </c>
      <c r="E3413" t="inlineStr">
        <is>
          <t>[ALT_VIEW]</t>
        </is>
      </c>
      <c r="F3413" t="inlineStr">
        <is>
          <t>1250 / TRIDENT II Mods</t>
        </is>
      </c>
      <c r="G3413" t="inlineStr">
        <is>
          <t>P-5</t>
        </is>
      </c>
      <c r="H3413" t="inlineStr">
        <is>
          <t>Support</t>
        </is>
      </c>
      <c r="I3413" t="n">
        <v>4</v>
      </c>
      <c r="K3413" t="inlineStr">
        <is>
          <t>USN</t>
        </is>
      </c>
      <c r="L3413" t="inlineStr">
        <is>
          <t>Combatant Ships</t>
        </is>
      </c>
      <c r="M3413" t="inlineStr">
        <is>
          <t>Submarines</t>
        </is>
      </c>
      <c r="S3413" t="n">
        <v>146061</v>
      </c>
      <c r="U3413" t="n">
        <v>146061</v>
      </c>
      <c r="AC3413">
        <f>IF(OR(E3413="",E3413="[PARENT]"),"ADD",IF(E3413="[ALT_VIEW]","ALT",""))</f>
        <v/>
      </c>
      <c r="AD3413">
        <f>IF(Y3413&lt;&gt;"",Y3413,IF(U3413&lt;&gt;"",U3413,S3413))</f>
        <v/>
      </c>
      <c r="AE3413">
        <f>IF(AB3413&lt;&gt;"",AB3413,Z3413)</f>
        <v/>
      </c>
      <c r="AF3413" t="inlineStr">
        <is>
          <t>P-5 Cost Analysis &gt; WPN LI 1250 &gt; 1.6 Test Missile Kit</t>
        </is>
      </c>
      <c r="AJ3413" t="inlineStr">
        <is>
          <t>Test Missile Kit</t>
        </is>
      </c>
    </row>
    <row r="3414">
      <c r="A3414" t="inlineStr">
        <is>
          <t>WPN</t>
        </is>
      </c>
      <c r="B3414" t="inlineStr">
        <is>
          <t>Procurement</t>
        </is>
      </c>
      <c r="D3414" t="inlineStr">
        <is>
          <t>TRIDENT II Mods - P-5 3 / D5LE2 - Systems Engineering</t>
        </is>
      </c>
      <c r="E3414" t="inlineStr">
        <is>
          <t>[ALT_VIEW]</t>
        </is>
      </c>
      <c r="F3414" t="inlineStr">
        <is>
          <t>1250 / TRIDENT II Mods</t>
        </is>
      </c>
      <c r="G3414" t="inlineStr">
        <is>
          <t>P-5</t>
        </is>
      </c>
      <c r="H3414" t="inlineStr">
        <is>
          <t>Support</t>
        </is>
      </c>
      <c r="I3414" t="n">
        <v>4</v>
      </c>
      <c r="K3414" t="inlineStr">
        <is>
          <t>USN</t>
        </is>
      </c>
      <c r="L3414" t="inlineStr">
        <is>
          <t>Combatant Ships</t>
        </is>
      </c>
      <c r="M3414" t="inlineStr">
        <is>
          <t>Submarines</t>
        </is>
      </c>
      <c r="S3414" t="n">
        <v>120622</v>
      </c>
      <c r="U3414" t="n">
        <v>120622</v>
      </c>
      <c r="AC3414">
        <f>IF(OR(E3414="",E3414="[PARENT]"),"ADD",IF(E3414="[ALT_VIEW]","ALT",""))</f>
        <v/>
      </c>
      <c r="AD3414">
        <f>IF(Y3414&lt;&gt;"",Y3414,IF(U3414&lt;&gt;"",U3414,S3414))</f>
        <v/>
      </c>
      <c r="AE3414">
        <f>IF(AB3414&lt;&gt;"",AB3414,Z3414)</f>
        <v/>
      </c>
      <c r="AF3414" t="inlineStr">
        <is>
          <t>P-5 Cost Analysis &gt; WPN LI 1250 &gt; 1.7 Systems Engineering</t>
        </is>
      </c>
      <c r="AJ3414" t="inlineStr">
        <is>
          <t>Systems Engineering</t>
        </is>
      </c>
    </row>
    <row r="3415">
      <c r="A3415" t="inlineStr">
        <is>
          <t>WPN</t>
        </is>
      </c>
      <c r="B3415" t="inlineStr">
        <is>
          <t>Procurement</t>
        </is>
      </c>
      <c r="D3415" t="inlineStr">
        <is>
          <t>TRIDENT II Mods - P-5 3 / D5LE2 - Test and Evaluation</t>
        </is>
      </c>
      <c r="E3415" t="inlineStr">
        <is>
          <t>[ALT_VIEW]</t>
        </is>
      </c>
      <c r="F3415" t="inlineStr">
        <is>
          <t>1250 / TRIDENT II Mods</t>
        </is>
      </c>
      <c r="G3415" t="inlineStr">
        <is>
          <t>P-5</t>
        </is>
      </c>
      <c r="H3415" t="inlineStr">
        <is>
          <t>Support</t>
        </is>
      </c>
      <c r="I3415" t="n">
        <v>4</v>
      </c>
      <c r="K3415" t="inlineStr">
        <is>
          <t>USN</t>
        </is>
      </c>
      <c r="L3415" t="inlineStr">
        <is>
          <t>Combatant Ships</t>
        </is>
      </c>
      <c r="M3415" t="inlineStr">
        <is>
          <t>Submarines</t>
        </is>
      </c>
      <c r="S3415" t="n">
        <v>53474</v>
      </c>
      <c r="U3415" t="n">
        <v>53474</v>
      </c>
      <c r="AC3415">
        <f>IF(OR(E3415="",E3415="[PARENT]"),"ADD",IF(E3415="[ALT_VIEW]","ALT",""))</f>
        <v/>
      </c>
      <c r="AD3415">
        <f>IF(Y3415&lt;&gt;"",Y3415,IF(U3415&lt;&gt;"",U3415,S3415))</f>
        <v/>
      </c>
      <c r="AE3415">
        <f>IF(AB3415&lt;&gt;"",AB3415,Z3415)</f>
        <v/>
      </c>
      <c r="AF3415" t="inlineStr">
        <is>
          <t>P-5 Cost Analysis &gt; WPN LI 1250 &gt; 1.8 Test and Evaluation</t>
        </is>
      </c>
      <c r="AJ3415" t="inlineStr">
        <is>
          <t>Test and Evaluation</t>
        </is>
      </c>
    </row>
    <row r="3416">
      <c r="A3416" t="inlineStr">
        <is>
          <t>WPN</t>
        </is>
      </c>
      <c r="B3416" t="inlineStr">
        <is>
          <t>Procurement</t>
        </is>
      </c>
      <c r="D3416" t="inlineStr">
        <is>
          <t>TRIDENT II Mods - P-5 3 / D5LE2 - System Assembly</t>
        </is>
      </c>
      <c r="E3416" t="inlineStr">
        <is>
          <t>[ALT_VIEW]</t>
        </is>
      </c>
      <c r="F3416" t="inlineStr">
        <is>
          <t>1250 / TRIDENT II Mods</t>
        </is>
      </c>
      <c r="G3416" t="inlineStr">
        <is>
          <t>P-5</t>
        </is>
      </c>
      <c r="H3416" t="inlineStr">
        <is>
          <t>Support</t>
        </is>
      </c>
      <c r="I3416" t="n">
        <v>4</v>
      </c>
      <c r="K3416" t="inlineStr">
        <is>
          <t>USN</t>
        </is>
      </c>
      <c r="L3416" t="inlineStr">
        <is>
          <t>Combatant Ships</t>
        </is>
      </c>
      <c r="M3416" t="inlineStr">
        <is>
          <t>Submarines</t>
        </is>
      </c>
      <c r="S3416" t="n">
        <v>81782</v>
      </c>
      <c r="U3416" t="n">
        <v>81782</v>
      </c>
      <c r="AC3416">
        <f>IF(OR(E3416="",E3416="[PARENT]"),"ADD",IF(E3416="[ALT_VIEW]","ALT",""))</f>
        <v/>
      </c>
      <c r="AD3416">
        <f>IF(Y3416&lt;&gt;"",Y3416,IF(U3416&lt;&gt;"",U3416,S3416))</f>
        <v/>
      </c>
      <c r="AE3416">
        <f>IF(AB3416&lt;&gt;"",AB3416,Z3416)</f>
        <v/>
      </c>
      <c r="AF3416" t="inlineStr">
        <is>
          <t>P-5 Cost Analysis &gt; WPN LI 1250 &gt; 1.9 System Assembly</t>
        </is>
      </c>
      <c r="AJ3416" t="inlineStr">
        <is>
          <t>System Assembly</t>
        </is>
      </c>
    </row>
    <row r="3417">
      <c r="A3417" t="inlineStr">
        <is>
          <t>WPN</t>
        </is>
      </c>
      <c r="B3417" t="inlineStr">
        <is>
          <t>Procurement</t>
        </is>
      </c>
      <c r="D3417" t="inlineStr">
        <is>
          <t>TRIDENT II Mods - P-5 3 / D5LE2 - Training &amp; Support Equipment</t>
        </is>
      </c>
      <c r="E3417" t="inlineStr">
        <is>
          <t>[ALT_VIEW]</t>
        </is>
      </c>
      <c r="F3417" t="inlineStr">
        <is>
          <t>1250 / TRIDENT II Mods</t>
        </is>
      </c>
      <c r="G3417" t="inlineStr">
        <is>
          <t>P-5</t>
        </is>
      </c>
      <c r="H3417" t="inlineStr">
        <is>
          <t>Support</t>
        </is>
      </c>
      <c r="I3417" t="n">
        <v>4</v>
      </c>
      <c r="K3417" t="inlineStr">
        <is>
          <t>USN</t>
        </is>
      </c>
      <c r="L3417" t="inlineStr">
        <is>
          <t>Combatant Ships</t>
        </is>
      </c>
      <c r="M3417" t="inlineStr">
        <is>
          <t>Submarines</t>
        </is>
      </c>
      <c r="S3417" t="n">
        <v>37741</v>
      </c>
      <c r="U3417" t="n">
        <v>37741</v>
      </c>
      <c r="AC3417">
        <f>IF(OR(E3417="",E3417="[PARENT]"),"ADD",IF(E3417="[ALT_VIEW]","ALT",""))</f>
        <v/>
      </c>
      <c r="AD3417">
        <f>IF(Y3417&lt;&gt;"",Y3417,IF(U3417&lt;&gt;"",U3417,S3417))</f>
        <v/>
      </c>
      <c r="AE3417">
        <f>IF(AB3417&lt;&gt;"",AB3417,Z3417)</f>
        <v/>
      </c>
      <c r="AF3417" t="inlineStr">
        <is>
          <t>P-5 Cost Analysis &gt; WPN LI 1250 &gt; 1.10 Training &amp; Support Equipment</t>
        </is>
      </c>
      <c r="AJ3417" t="inlineStr">
        <is>
          <t>Training &amp; Support Equipment</t>
        </is>
      </c>
    </row>
    <row r="3418">
      <c r="A3418" t="inlineStr">
        <is>
          <t>WPN</t>
        </is>
      </c>
      <c r="B3418" t="inlineStr">
        <is>
          <t>Procurement</t>
        </is>
      </c>
      <c r="D3418" t="inlineStr">
        <is>
          <t>TRIDENT II Mods - P-5 3 / D5LE2 - Re-Entry Body Integration</t>
        </is>
      </c>
      <c r="E3418" t="inlineStr">
        <is>
          <t>[ALT_VIEW]</t>
        </is>
      </c>
      <c r="F3418" t="inlineStr">
        <is>
          <t>1250 / TRIDENT II Mods</t>
        </is>
      </c>
      <c r="G3418" t="inlineStr">
        <is>
          <t>P-5</t>
        </is>
      </c>
      <c r="H3418" t="inlineStr">
        <is>
          <t>Support</t>
        </is>
      </c>
      <c r="I3418" t="n">
        <v>4</v>
      </c>
      <c r="K3418" t="inlineStr">
        <is>
          <t>USN</t>
        </is>
      </c>
      <c r="L3418" t="inlineStr">
        <is>
          <t>Combatant Ships</t>
        </is>
      </c>
      <c r="M3418" t="inlineStr">
        <is>
          <t>Submarines</t>
        </is>
      </c>
      <c r="S3418" t="n">
        <v>48604</v>
      </c>
      <c r="U3418" t="n">
        <v>48604</v>
      </c>
      <c r="AC3418">
        <f>IF(OR(E3418="",E3418="[PARENT]"),"ADD",IF(E3418="[ALT_VIEW]","ALT",""))</f>
        <v/>
      </c>
      <c r="AD3418">
        <f>IF(Y3418&lt;&gt;"",Y3418,IF(U3418&lt;&gt;"",U3418,S3418))</f>
        <v/>
      </c>
      <c r="AE3418">
        <f>IF(AB3418&lt;&gt;"",AB3418,Z3418)</f>
        <v/>
      </c>
      <c r="AF3418" t="inlineStr">
        <is>
          <t>P-5 Cost Analysis &gt; WPN LI 1250 &gt; 1.11 Re-Entry Body Integration</t>
        </is>
      </c>
      <c r="AJ3418" t="inlineStr">
        <is>
          <t>Re-Entry Body Integration</t>
        </is>
      </c>
    </row>
    <row r="3419">
      <c r="A3419" t="inlineStr">
        <is>
          <t>WPN</t>
        </is>
      </c>
      <c r="B3419" t="inlineStr">
        <is>
          <t>Procurement</t>
        </is>
      </c>
      <c r="D3419" t="inlineStr">
        <is>
          <t>TRIDENT II Mods - P-5 3 / D5LE2 - Guidance - Systems Engineering</t>
        </is>
      </c>
      <c r="E3419" t="inlineStr">
        <is>
          <t>[ALT_VIEW]</t>
        </is>
      </c>
      <c r="F3419" t="inlineStr">
        <is>
          <t>1250 / TRIDENT II Mods</t>
        </is>
      </c>
      <c r="G3419" t="inlineStr">
        <is>
          <t>P-5</t>
        </is>
      </c>
      <c r="H3419" t="inlineStr">
        <is>
          <t>Support</t>
        </is>
      </c>
      <c r="I3419" t="n">
        <v>4</v>
      </c>
      <c r="K3419" t="inlineStr">
        <is>
          <t>USN</t>
        </is>
      </c>
      <c r="L3419" t="inlineStr">
        <is>
          <t>Combatant Ships</t>
        </is>
      </c>
      <c r="M3419" t="inlineStr">
        <is>
          <t>Submarines</t>
        </is>
      </c>
      <c r="S3419" t="n">
        <v>29049</v>
      </c>
      <c r="U3419" t="n">
        <v>29049</v>
      </c>
      <c r="AC3419">
        <f>IF(OR(E3419="",E3419="[PARENT]"),"ADD",IF(E3419="[ALT_VIEW]","ALT",""))</f>
        <v/>
      </c>
      <c r="AD3419">
        <f>IF(Y3419&lt;&gt;"",Y3419,IF(U3419&lt;&gt;"",U3419,S3419))</f>
        <v/>
      </c>
      <c r="AE3419">
        <f>IF(AB3419&lt;&gt;"",AB3419,Z3419)</f>
        <v/>
      </c>
      <c r="AF3419" t="inlineStr">
        <is>
          <t>P-5 Cost Analysis &gt; WPN LI 1250 &gt; 2.1 Guidance - Systems Engineering</t>
        </is>
      </c>
      <c r="AJ3419" t="inlineStr">
        <is>
          <t>Guidance - Systems Engineering</t>
        </is>
      </c>
    </row>
    <row r="3420">
      <c r="A3420" t="inlineStr">
        <is>
          <t>WPN</t>
        </is>
      </c>
      <c r="B3420" t="inlineStr">
        <is>
          <t>Procurement</t>
        </is>
      </c>
      <c r="D3420" t="inlineStr">
        <is>
          <t>TRIDENT II Mods - P-5 3 / D5LE2 - Guidance - Algorithms and Software</t>
        </is>
      </c>
      <c r="E3420" t="inlineStr">
        <is>
          <t>[ALT_VIEW]</t>
        </is>
      </c>
      <c r="F3420" t="inlineStr">
        <is>
          <t>1250 / TRIDENT II Mods</t>
        </is>
      </c>
      <c r="G3420" t="inlineStr">
        <is>
          <t>P-5</t>
        </is>
      </c>
      <c r="H3420" t="inlineStr">
        <is>
          <t>Support</t>
        </is>
      </c>
      <c r="I3420" t="n">
        <v>4</v>
      </c>
      <c r="K3420" t="inlineStr">
        <is>
          <t>USN</t>
        </is>
      </c>
      <c r="L3420" t="inlineStr">
        <is>
          <t>Combatant Ships</t>
        </is>
      </c>
      <c r="M3420" t="inlineStr">
        <is>
          <t>Submarines</t>
        </is>
      </c>
      <c r="S3420" t="n">
        <v>20155</v>
      </c>
      <c r="U3420" t="n">
        <v>20155</v>
      </c>
      <c r="AC3420">
        <f>IF(OR(E3420="",E3420="[PARENT]"),"ADD",IF(E3420="[ALT_VIEW]","ALT",""))</f>
        <v/>
      </c>
      <c r="AD3420">
        <f>IF(Y3420&lt;&gt;"",Y3420,IF(U3420&lt;&gt;"",U3420,S3420))</f>
        <v/>
      </c>
      <c r="AE3420">
        <f>IF(AB3420&lt;&gt;"",AB3420,Z3420)</f>
        <v/>
      </c>
      <c r="AF3420" t="inlineStr">
        <is>
          <t>P-5 Cost Analysis &gt; WPN LI 1250 &gt; 2.2 Guidance - Algorithms and Software</t>
        </is>
      </c>
      <c r="AJ3420" t="inlineStr">
        <is>
          <t>Guidance - Algorithms and Software</t>
        </is>
      </c>
    </row>
    <row r="3421">
      <c r="A3421" t="inlineStr">
        <is>
          <t>WPN</t>
        </is>
      </c>
      <c r="B3421" t="inlineStr">
        <is>
          <t>Procurement</t>
        </is>
      </c>
      <c r="D3421" t="inlineStr">
        <is>
          <t>TRIDENT II Mods - P-5 3 / D5LE2 - Guidance - System Hardware</t>
        </is>
      </c>
      <c r="E3421" t="inlineStr">
        <is>
          <t>[ALT_VIEW]</t>
        </is>
      </c>
      <c r="F3421" t="inlineStr">
        <is>
          <t>1250 / TRIDENT II Mods</t>
        </is>
      </c>
      <c r="G3421" t="inlineStr">
        <is>
          <t>P-5</t>
        </is>
      </c>
      <c r="H3421" t="inlineStr">
        <is>
          <t>Support</t>
        </is>
      </c>
      <c r="I3421" t="n">
        <v>4</v>
      </c>
      <c r="K3421" t="inlineStr">
        <is>
          <t>USN</t>
        </is>
      </c>
      <c r="L3421" t="inlineStr">
        <is>
          <t>Combatant Ships</t>
        </is>
      </c>
      <c r="M3421" t="inlineStr">
        <is>
          <t>Submarines</t>
        </is>
      </c>
      <c r="S3421" t="n">
        <v>95817</v>
      </c>
      <c r="U3421" t="n">
        <v>95817</v>
      </c>
      <c r="AC3421">
        <f>IF(OR(E3421="",E3421="[PARENT]"),"ADD",IF(E3421="[ALT_VIEW]","ALT",""))</f>
        <v/>
      </c>
      <c r="AD3421">
        <f>IF(Y3421&lt;&gt;"",Y3421,IF(U3421&lt;&gt;"",U3421,S3421))</f>
        <v/>
      </c>
      <c r="AE3421">
        <f>IF(AB3421&lt;&gt;"",AB3421,Z3421)</f>
        <v/>
      </c>
      <c r="AF3421" t="inlineStr">
        <is>
          <t>P-5 Cost Analysis &gt; WPN LI 1250 &gt; 2.3 Guidance - System Hardware</t>
        </is>
      </c>
      <c r="AJ3421" t="inlineStr">
        <is>
          <t>Guidance - System Hardware</t>
        </is>
      </c>
    </row>
    <row r="3422">
      <c r="A3422" t="inlineStr">
        <is>
          <t>WPN</t>
        </is>
      </c>
      <c r="B3422" t="inlineStr">
        <is>
          <t>Procurement</t>
        </is>
      </c>
      <c r="D3422" t="inlineStr">
        <is>
          <t>TRIDENT II Mods - P-5 3 / D5LE2 - Guidance - Radiation Hardened Parts</t>
        </is>
      </c>
      <c r="E3422" t="inlineStr">
        <is>
          <t>[ALT_VIEW]</t>
        </is>
      </c>
      <c r="F3422" t="inlineStr">
        <is>
          <t>1250 / TRIDENT II Mods</t>
        </is>
      </c>
      <c r="G3422" t="inlineStr">
        <is>
          <t>P-5</t>
        </is>
      </c>
      <c r="H3422" t="inlineStr">
        <is>
          <t>Support</t>
        </is>
      </c>
      <c r="I3422" t="n">
        <v>4</v>
      </c>
      <c r="K3422" t="inlineStr">
        <is>
          <t>USN</t>
        </is>
      </c>
      <c r="L3422" t="inlineStr">
        <is>
          <t>Combatant Ships</t>
        </is>
      </c>
      <c r="M3422" t="inlineStr">
        <is>
          <t>Submarines</t>
        </is>
      </c>
      <c r="S3422" t="n">
        <v>33332</v>
      </c>
      <c r="U3422" t="n">
        <v>33332</v>
      </c>
      <c r="AC3422">
        <f>IF(OR(E3422="",E3422="[PARENT]"),"ADD",IF(E3422="[ALT_VIEW]","ALT",""))</f>
        <v/>
      </c>
      <c r="AD3422">
        <f>IF(Y3422&lt;&gt;"",Y3422,IF(U3422&lt;&gt;"",U3422,S3422))</f>
        <v/>
      </c>
      <c r="AE3422">
        <f>IF(AB3422&lt;&gt;"",AB3422,Z3422)</f>
        <v/>
      </c>
      <c r="AF3422" t="inlineStr">
        <is>
          <t>P-5 Cost Analysis &gt; WPN LI 1250 &gt; 2.4 Guidance - Radiation Hardened Parts</t>
        </is>
      </c>
      <c r="AJ3422" t="inlineStr">
        <is>
          <t>Guidance - Radiation Hardened Parts</t>
        </is>
      </c>
    </row>
    <row r="3423">
      <c r="A3423" t="inlineStr">
        <is>
          <t>WPN</t>
        </is>
      </c>
      <c r="B3423" t="inlineStr">
        <is>
          <t>Procurement</t>
        </is>
      </c>
      <c r="D3423" t="inlineStr">
        <is>
          <t>TRIDENT II Mods - P-5 3 / D5LE2 - Guidance - Sensors</t>
        </is>
      </c>
      <c r="E3423" t="inlineStr">
        <is>
          <t>[ALT_VIEW]</t>
        </is>
      </c>
      <c r="F3423" t="inlineStr">
        <is>
          <t>1250 / TRIDENT II Mods</t>
        </is>
      </c>
      <c r="G3423" t="inlineStr">
        <is>
          <t>P-5</t>
        </is>
      </c>
      <c r="H3423" t="inlineStr">
        <is>
          <t>Support</t>
        </is>
      </c>
      <c r="I3423" t="n">
        <v>4</v>
      </c>
      <c r="K3423" t="inlineStr">
        <is>
          <t>USN</t>
        </is>
      </c>
      <c r="L3423" t="inlineStr">
        <is>
          <t>Combatant Ships</t>
        </is>
      </c>
      <c r="M3423" t="inlineStr">
        <is>
          <t>Submarines</t>
        </is>
      </c>
      <c r="S3423" t="n">
        <v>114860</v>
      </c>
      <c r="U3423" t="n">
        <v>114860</v>
      </c>
      <c r="AC3423">
        <f>IF(OR(E3423="",E3423="[PARENT]"),"ADD",IF(E3423="[ALT_VIEW]","ALT",""))</f>
        <v/>
      </c>
      <c r="AD3423">
        <f>IF(Y3423&lt;&gt;"",Y3423,IF(U3423&lt;&gt;"",U3423,S3423))</f>
        <v/>
      </c>
      <c r="AE3423">
        <f>IF(AB3423&lt;&gt;"",AB3423,Z3423)</f>
        <v/>
      </c>
      <c r="AF3423" t="inlineStr">
        <is>
          <t>P-5 Cost Analysis &gt; WPN LI 1250 &gt; 2.5 Guidance - Sensors</t>
        </is>
      </c>
      <c r="AJ3423" t="inlineStr">
        <is>
          <t>Guidance - Sensors</t>
        </is>
      </c>
    </row>
    <row r="3424">
      <c r="A3424" t="inlineStr">
        <is>
          <t>WPN</t>
        </is>
      </c>
      <c r="B3424" t="inlineStr">
        <is>
          <t>Procurement</t>
        </is>
      </c>
      <c r="D3424" t="inlineStr">
        <is>
          <t>TRIDENT II Mods - P-5 3 / D5LE2 - Guidance - Information Systems/Data Management</t>
        </is>
      </c>
      <c r="E3424" t="inlineStr">
        <is>
          <t>[ALT_VIEW]</t>
        </is>
      </c>
      <c r="F3424" t="inlineStr">
        <is>
          <t>1250 / TRIDENT II Mods</t>
        </is>
      </c>
      <c r="G3424" t="inlineStr">
        <is>
          <t>P-5</t>
        </is>
      </c>
      <c r="H3424" t="inlineStr">
        <is>
          <t>Support</t>
        </is>
      </c>
      <c r="I3424" t="n">
        <v>4</v>
      </c>
      <c r="K3424" t="inlineStr">
        <is>
          <t>USN</t>
        </is>
      </c>
      <c r="L3424" t="inlineStr">
        <is>
          <t>Combatant Ships</t>
        </is>
      </c>
      <c r="M3424" t="inlineStr">
        <is>
          <t>Submarines</t>
        </is>
      </c>
      <c r="S3424" t="n">
        <v>7167</v>
      </c>
      <c r="U3424" t="n">
        <v>7167</v>
      </c>
      <c r="AC3424">
        <f>IF(OR(E3424="",E3424="[PARENT]"),"ADD",IF(E3424="[ALT_VIEW]","ALT",""))</f>
        <v/>
      </c>
      <c r="AD3424">
        <f>IF(Y3424&lt;&gt;"",Y3424,IF(U3424&lt;&gt;"",U3424,S3424))</f>
        <v/>
      </c>
      <c r="AE3424">
        <f>IF(AB3424&lt;&gt;"",AB3424,Z3424)</f>
        <v/>
      </c>
      <c r="AF3424" t="inlineStr">
        <is>
          <t>P-5 Cost Analysis &gt; WPN LI 1250 &gt; 2.6 Guidance - Information Systems/Data Management</t>
        </is>
      </c>
      <c r="AJ3424" t="inlineStr">
        <is>
          <t>Guidance - Information Systems/Data Management</t>
        </is>
      </c>
    </row>
    <row r="3425">
      <c r="A3425" t="inlineStr">
        <is>
          <t>WPN</t>
        </is>
      </c>
      <c r="B3425" t="inlineStr">
        <is>
          <t>Procurement</t>
        </is>
      </c>
      <c r="D3425" t="inlineStr">
        <is>
          <t>TRIDENT II Mods - P-5 3 / D5LE2 - Guidance - Test Equipment</t>
        </is>
      </c>
      <c r="E3425" t="inlineStr">
        <is>
          <t>[ALT_VIEW]</t>
        </is>
      </c>
      <c r="F3425" t="inlineStr">
        <is>
          <t>1250 / TRIDENT II Mods</t>
        </is>
      </c>
      <c r="G3425" t="inlineStr">
        <is>
          <t>P-5</t>
        </is>
      </c>
      <c r="H3425" t="inlineStr">
        <is>
          <t>Support</t>
        </is>
      </c>
      <c r="I3425" t="n">
        <v>4</v>
      </c>
      <c r="K3425" t="inlineStr">
        <is>
          <t>USN</t>
        </is>
      </c>
      <c r="L3425" t="inlineStr">
        <is>
          <t>Combatant Ships</t>
        </is>
      </c>
      <c r="M3425" t="inlineStr">
        <is>
          <t>Submarines</t>
        </is>
      </c>
      <c r="S3425" t="n">
        <v>16599</v>
      </c>
      <c r="U3425" t="n">
        <v>16599</v>
      </c>
      <c r="AC3425">
        <f>IF(OR(E3425="",E3425="[PARENT]"),"ADD",IF(E3425="[ALT_VIEW]","ALT",""))</f>
        <v/>
      </c>
      <c r="AD3425">
        <f>IF(Y3425&lt;&gt;"",Y3425,IF(U3425&lt;&gt;"",U3425,S3425))</f>
        <v/>
      </c>
      <c r="AE3425">
        <f>IF(AB3425&lt;&gt;"",AB3425,Z3425)</f>
        <v/>
      </c>
      <c r="AF3425" t="inlineStr">
        <is>
          <t>P-5 Cost Analysis &gt; WPN LI 1250 &gt; 2.7 Guidance - Test Equipment</t>
        </is>
      </c>
      <c r="AJ3425" t="inlineStr">
        <is>
          <t>Guidance - Test Equipment</t>
        </is>
      </c>
    </row>
    <row r="3426">
      <c r="A3426" t="inlineStr">
        <is>
          <t>WPN</t>
        </is>
      </c>
      <c r="B3426" t="inlineStr">
        <is>
          <t>Procurement</t>
        </is>
      </c>
      <c r="D3426" t="inlineStr">
        <is>
          <t>TRIDENT II Mods - P-5 3 / D5LE2 - Guidance - Integration and Test</t>
        </is>
      </c>
      <c r="E3426" t="inlineStr">
        <is>
          <t>[ALT_VIEW]</t>
        </is>
      </c>
      <c r="F3426" t="inlineStr">
        <is>
          <t>1250 / TRIDENT II Mods</t>
        </is>
      </c>
      <c r="G3426" t="inlineStr">
        <is>
          <t>P-5</t>
        </is>
      </c>
      <c r="H3426" t="inlineStr">
        <is>
          <t>Support</t>
        </is>
      </c>
      <c r="I3426" t="n">
        <v>4</v>
      </c>
      <c r="K3426" t="inlineStr">
        <is>
          <t>USN</t>
        </is>
      </c>
      <c r="L3426" t="inlineStr">
        <is>
          <t>Combatant Ships</t>
        </is>
      </c>
      <c r="M3426" t="inlineStr">
        <is>
          <t>Submarines</t>
        </is>
      </c>
      <c r="S3426" t="n">
        <v>9206</v>
      </c>
      <c r="U3426" t="n">
        <v>9206</v>
      </c>
      <c r="AC3426">
        <f>IF(OR(E3426="",E3426="[PARENT]"),"ADD",IF(E3426="[ALT_VIEW]","ALT",""))</f>
        <v/>
      </c>
      <c r="AD3426">
        <f>IF(Y3426&lt;&gt;"",Y3426,IF(U3426&lt;&gt;"",U3426,S3426))</f>
        <v/>
      </c>
      <c r="AE3426">
        <f>IF(AB3426&lt;&gt;"",AB3426,Z3426)</f>
        <v/>
      </c>
      <c r="AF3426" t="inlineStr">
        <is>
          <t>P-5 Cost Analysis &gt; WPN LI 1250 &gt; 2.8 Guidance - Integration and Test</t>
        </is>
      </c>
      <c r="AJ3426" t="inlineStr">
        <is>
          <t>Guidance - Integration and Test</t>
        </is>
      </c>
    </row>
    <row r="3427">
      <c r="A3427" t="inlineStr">
        <is>
          <t>WPN</t>
        </is>
      </c>
      <c r="B3427" t="inlineStr">
        <is>
          <t>Procurement</t>
        </is>
      </c>
      <c r="D3427" t="inlineStr">
        <is>
          <t>TRIDENT II Mods - P-5 3 / D5LE2 - Fire Control</t>
        </is>
      </c>
      <c r="E3427" t="inlineStr">
        <is>
          <t>[ALT_VIEW]</t>
        </is>
      </c>
      <c r="F3427" t="inlineStr">
        <is>
          <t>1250 / TRIDENT II Mods</t>
        </is>
      </c>
      <c r="G3427" t="inlineStr">
        <is>
          <t>P-5</t>
        </is>
      </c>
      <c r="H3427" t="inlineStr">
        <is>
          <t>Support</t>
        </is>
      </c>
      <c r="I3427" t="n">
        <v>4</v>
      </c>
      <c r="K3427" t="inlineStr">
        <is>
          <t>USN</t>
        </is>
      </c>
      <c r="L3427" t="inlineStr">
        <is>
          <t>Combatant Ships</t>
        </is>
      </c>
      <c r="M3427" t="inlineStr">
        <is>
          <t>Submarines</t>
        </is>
      </c>
      <c r="S3427" t="n">
        <v>92777</v>
      </c>
      <c r="U3427" t="n">
        <v>92777</v>
      </c>
      <c r="AC3427">
        <f>IF(OR(E3427="",E3427="[PARENT]"),"ADD",IF(E3427="[ALT_VIEW]","ALT",""))</f>
        <v/>
      </c>
      <c r="AD3427">
        <f>IF(Y3427&lt;&gt;"",Y3427,IF(U3427&lt;&gt;"",U3427,S3427))</f>
        <v/>
      </c>
      <c r="AE3427">
        <f>IF(AB3427&lt;&gt;"",AB3427,Z3427)</f>
        <v/>
      </c>
      <c r="AF3427" t="inlineStr">
        <is>
          <t>P-5 Cost Analysis &gt; WPN LI 1250 &gt; 3.1 Fire Control</t>
        </is>
      </c>
      <c r="AJ3427" t="inlineStr">
        <is>
          <t>Fire Control</t>
        </is>
      </c>
    </row>
    <row r="3428">
      <c r="A3428" t="inlineStr">
        <is>
          <t>WPN</t>
        </is>
      </c>
      <c r="B3428" t="inlineStr">
        <is>
          <t>Procurement</t>
        </is>
      </c>
      <c r="D3428" t="inlineStr">
        <is>
          <t>TRIDENT II Mods - P-5 3 / D5LE2 - Launcher</t>
        </is>
      </c>
      <c r="E3428" t="inlineStr">
        <is>
          <t>[ALT_VIEW]</t>
        </is>
      </c>
      <c r="F3428" t="inlineStr">
        <is>
          <t>1250 / TRIDENT II Mods</t>
        </is>
      </c>
      <c r="G3428" t="inlineStr">
        <is>
          <t>P-5</t>
        </is>
      </c>
      <c r="H3428" t="inlineStr">
        <is>
          <t>Support</t>
        </is>
      </c>
      <c r="I3428" t="n">
        <v>4</v>
      </c>
      <c r="K3428" t="inlineStr">
        <is>
          <t>USN</t>
        </is>
      </c>
      <c r="L3428" t="inlineStr">
        <is>
          <t>Combatant Ships</t>
        </is>
      </c>
      <c r="M3428" t="inlineStr">
        <is>
          <t>Submarines</t>
        </is>
      </c>
      <c r="S3428" t="n">
        <v>23457</v>
      </c>
      <c r="U3428" t="n">
        <v>23457</v>
      </c>
      <c r="AC3428">
        <f>IF(OR(E3428="",E3428="[PARENT]"),"ADD",IF(E3428="[ALT_VIEW]","ALT",""))</f>
        <v/>
      </c>
      <c r="AD3428">
        <f>IF(Y3428&lt;&gt;"",Y3428,IF(U3428&lt;&gt;"",U3428,S3428))</f>
        <v/>
      </c>
      <c r="AE3428">
        <f>IF(AB3428&lt;&gt;"",AB3428,Z3428)</f>
        <v/>
      </c>
      <c r="AF3428" t="inlineStr">
        <is>
          <t>P-5 Cost Analysis &gt; WPN LI 1250 &gt; 3.2 Launcher</t>
        </is>
      </c>
      <c r="AJ3428" t="inlineStr">
        <is>
          <t>Launcher</t>
        </is>
      </c>
    </row>
    <row r="3429">
      <c r="A3429" t="inlineStr">
        <is>
          <t>WPN</t>
        </is>
      </c>
      <c r="B3429" t="inlineStr">
        <is>
          <t>Procurement</t>
        </is>
      </c>
      <c r="D3429" t="inlineStr">
        <is>
          <t>TRIDENT II Mods - P-5 3 / D5LE2 - Navigation</t>
        </is>
      </c>
      <c r="E3429" t="inlineStr">
        <is>
          <t>[ALT_VIEW]</t>
        </is>
      </c>
      <c r="F3429" t="inlineStr">
        <is>
          <t>1250 / TRIDENT II Mods</t>
        </is>
      </c>
      <c r="G3429" t="inlineStr">
        <is>
          <t>P-5</t>
        </is>
      </c>
      <c r="H3429" t="inlineStr">
        <is>
          <t>Support</t>
        </is>
      </c>
      <c r="I3429" t="n">
        <v>4</v>
      </c>
      <c r="K3429" t="inlineStr">
        <is>
          <t>USN</t>
        </is>
      </c>
      <c r="L3429" t="inlineStr">
        <is>
          <t>Combatant Ships</t>
        </is>
      </c>
      <c r="M3429" t="inlineStr">
        <is>
          <t>Submarines</t>
        </is>
      </c>
      <c r="S3429" t="n">
        <v>9736</v>
      </c>
      <c r="U3429" t="n">
        <v>9736</v>
      </c>
      <c r="AC3429">
        <f>IF(OR(E3429="",E3429="[PARENT]"),"ADD",IF(E3429="[ALT_VIEW]","ALT",""))</f>
        <v/>
      </c>
      <c r="AD3429">
        <f>IF(Y3429&lt;&gt;"",Y3429,IF(U3429&lt;&gt;"",U3429,S3429))</f>
        <v/>
      </c>
      <c r="AE3429">
        <f>IF(AB3429&lt;&gt;"",AB3429,Z3429)</f>
        <v/>
      </c>
      <c r="AF3429" t="inlineStr">
        <is>
          <t>P-5 Cost Analysis &gt; WPN LI 1250 &gt; 3.3 Navigation</t>
        </is>
      </c>
      <c r="AJ3429" t="inlineStr">
        <is>
          <t>Navigation</t>
        </is>
      </c>
    </row>
    <row r="3430">
      <c r="A3430" t="inlineStr">
        <is>
          <t>WPN</t>
        </is>
      </c>
      <c r="B3430" t="inlineStr">
        <is>
          <t>Procurement</t>
        </is>
      </c>
      <c r="D3430" t="inlineStr">
        <is>
          <t>TRIDENT II Mods - P-5 3 / D5LE2 - System Evaluation</t>
        </is>
      </c>
      <c r="E3430" t="inlineStr">
        <is>
          <t>[ALT_VIEW]</t>
        </is>
      </c>
      <c r="F3430" t="inlineStr">
        <is>
          <t>1250 / TRIDENT II Mods</t>
        </is>
      </c>
      <c r="G3430" t="inlineStr">
        <is>
          <t>P-5</t>
        </is>
      </c>
      <c r="H3430" t="inlineStr">
        <is>
          <t>Support</t>
        </is>
      </c>
      <c r="I3430" t="n">
        <v>4</v>
      </c>
      <c r="K3430" t="inlineStr">
        <is>
          <t>USN</t>
        </is>
      </c>
      <c r="L3430" t="inlineStr">
        <is>
          <t>Combatant Ships</t>
        </is>
      </c>
      <c r="M3430" t="inlineStr">
        <is>
          <t>Submarines</t>
        </is>
      </c>
      <c r="S3430" t="n">
        <v>52528</v>
      </c>
      <c r="U3430" t="n">
        <v>52528</v>
      </c>
      <c r="AC3430">
        <f>IF(OR(E3430="",E3430="[PARENT]"),"ADD",IF(E3430="[ALT_VIEW]","ALT",""))</f>
        <v/>
      </c>
      <c r="AD3430">
        <f>IF(Y3430&lt;&gt;"",Y3430,IF(U3430&lt;&gt;"",U3430,S3430))</f>
        <v/>
      </c>
      <c r="AE3430">
        <f>IF(AB3430&lt;&gt;"",AB3430,Z3430)</f>
        <v/>
      </c>
      <c r="AF3430" t="inlineStr">
        <is>
          <t>P-5 Cost Analysis &gt; WPN LI 1250 &gt; 4.1 System Evaluation</t>
        </is>
      </c>
      <c r="AJ3430" t="inlineStr">
        <is>
          <t>System Evaluation</t>
        </is>
      </c>
    </row>
    <row r="3431">
      <c r="A3431" t="inlineStr">
        <is>
          <t>WPN</t>
        </is>
      </c>
      <c r="B3431" t="inlineStr">
        <is>
          <t>Procurement</t>
        </is>
      </c>
      <c r="D3431" t="inlineStr">
        <is>
          <t>Standard Missile - P-5 1 / STANDARD MISSILE - SM-6 Block IA/IAU All Up Round Missile</t>
        </is>
      </c>
      <c r="E3431" t="inlineStr">
        <is>
          <t>[ALT_VIEW]</t>
        </is>
      </c>
      <c r="F3431" t="inlineStr">
        <is>
          <t>2234 / Standard Missile</t>
        </is>
      </c>
      <c r="G3431" t="inlineStr">
        <is>
          <t>P-5</t>
        </is>
      </c>
      <c r="H3431" t="inlineStr">
        <is>
          <t>Recurring</t>
        </is>
      </c>
      <c r="I3431" t="n">
        <v>4</v>
      </c>
      <c r="K3431" t="inlineStr">
        <is>
          <t>USN</t>
        </is>
      </c>
      <c r="L3431" t="inlineStr">
        <is>
          <t>Combatant Ships</t>
        </is>
      </c>
      <c r="M3431" t="inlineStr">
        <is>
          <t>Surface Combatants</t>
        </is>
      </c>
      <c r="S3431" t="n">
        <v>148400</v>
      </c>
      <c r="U3431" t="n">
        <v>148400</v>
      </c>
      <c r="AC3431">
        <f>IF(OR(E3431="",E3431="[PARENT]"),"ADD",IF(E3431="[ALT_VIEW]","ALT",""))</f>
        <v/>
      </c>
      <c r="AD3431">
        <f>IF(Y3431&lt;&gt;"",Y3431,IF(U3431&lt;&gt;"",U3431,S3431))</f>
        <v/>
      </c>
      <c r="AE3431">
        <f>IF(AB3431&lt;&gt;"",AB3431,Z3431)</f>
        <v/>
      </c>
      <c r="AF3431" t="inlineStr">
        <is>
          <t>P-5 Cost Analysis &gt; WPN LI 2234 &gt; 1.1.2 SM-6 Block IA/IAU All Up Round Missile</t>
        </is>
      </c>
      <c r="AJ3431" t="inlineStr">
        <is>
          <t>SM-6 Block IA/IAU All Up Round Missile</t>
        </is>
      </c>
    </row>
    <row r="3432">
      <c r="A3432" t="inlineStr">
        <is>
          <t>WPN</t>
        </is>
      </c>
      <c r="B3432" t="inlineStr">
        <is>
          <t>Procurement</t>
        </is>
      </c>
      <c r="D3432" t="inlineStr">
        <is>
          <t>Standard Missile - P-5 1 / STANDARD MISSILE - SM-6 Production Start Up</t>
        </is>
      </c>
      <c r="E3432" t="inlineStr">
        <is>
          <t>[ALT_VIEW]</t>
        </is>
      </c>
      <c r="F3432" t="inlineStr">
        <is>
          <t>2234 / Standard Missile</t>
        </is>
      </c>
      <c r="G3432" t="inlineStr">
        <is>
          <t>P-5</t>
        </is>
      </c>
      <c r="H3432" t="inlineStr">
        <is>
          <t>Recurring</t>
        </is>
      </c>
      <c r="I3432" t="n">
        <v>4</v>
      </c>
      <c r="K3432" t="inlineStr">
        <is>
          <t>USN</t>
        </is>
      </c>
      <c r="L3432" t="inlineStr">
        <is>
          <t>Combatant Ships</t>
        </is>
      </c>
      <c r="M3432" t="inlineStr">
        <is>
          <t>Surface Combatants</t>
        </is>
      </c>
      <c r="S3432" t="n">
        <v>30359</v>
      </c>
      <c r="U3432" t="n">
        <v>30359</v>
      </c>
      <c r="AC3432">
        <f>IF(OR(E3432="",E3432="[PARENT]"),"ADD",IF(E3432="[ALT_VIEW]","ALT",""))</f>
        <v/>
      </c>
      <c r="AD3432">
        <f>IF(Y3432&lt;&gt;"",Y3432,IF(U3432&lt;&gt;"",U3432,S3432))</f>
        <v/>
      </c>
      <c r="AE3432">
        <f>IF(AB3432&lt;&gt;"",AB3432,Z3432)</f>
        <v/>
      </c>
      <c r="AF3432" t="inlineStr">
        <is>
          <t>P-5 Cost Analysis &gt; WPN LI 2234 &gt; 1.1.7 SM-6 Production Start Up</t>
        </is>
      </c>
      <c r="AJ3432" t="inlineStr">
        <is>
          <t>SM-6 Production Start Up</t>
        </is>
      </c>
    </row>
    <row r="3433">
      <c r="A3433" t="inlineStr">
        <is>
          <t>WPN</t>
        </is>
      </c>
      <c r="B3433" t="inlineStr">
        <is>
          <t>Procurement</t>
        </is>
      </c>
      <c r="D3433" t="inlineStr">
        <is>
          <t>Standard Missile - P-5 1 / STANDARD MISSILE - Canister - SM-6 Block IA (Mk 21 Mod 4)</t>
        </is>
      </c>
      <c r="E3433" t="inlineStr">
        <is>
          <t>[ALT_VIEW]</t>
        </is>
      </c>
      <c r="F3433" t="inlineStr">
        <is>
          <t>2234 / Standard Missile</t>
        </is>
      </c>
      <c r="G3433" t="inlineStr">
        <is>
          <t>P-5</t>
        </is>
      </c>
      <c r="H3433" t="inlineStr">
        <is>
          <t>Recurring</t>
        </is>
      </c>
      <c r="I3433" t="n">
        <v>4</v>
      </c>
      <c r="K3433" t="inlineStr">
        <is>
          <t>USN</t>
        </is>
      </c>
      <c r="L3433" t="inlineStr">
        <is>
          <t>Combatant Ships</t>
        </is>
      </c>
      <c r="M3433" t="inlineStr">
        <is>
          <t>Surface Combatants</t>
        </is>
      </c>
      <c r="S3433" t="n">
        <v>10257</v>
      </c>
      <c r="U3433" t="n">
        <v>10257</v>
      </c>
      <c r="AC3433">
        <f>IF(OR(E3433="",E3433="[PARENT]"),"ADD",IF(E3433="[ALT_VIEW]","ALT",""))</f>
        <v/>
      </c>
      <c r="AD3433">
        <f>IF(Y3433&lt;&gt;"",Y3433,IF(U3433&lt;&gt;"",U3433,S3433))</f>
        <v/>
      </c>
      <c r="AE3433">
        <f>IF(AB3433&lt;&gt;"",AB3433,Z3433)</f>
        <v/>
      </c>
      <c r="AF3433" t="inlineStr">
        <is>
          <t>P-5 Cost Analysis &gt; WPN LI 2234 &gt; 1.1.8 Canister - SM-6 Block IA (Mk 21 Mod 4)</t>
        </is>
      </c>
      <c r="AJ3433" t="inlineStr">
        <is>
          <t>Canister - SM-6 Block IA (Mk 21 Mod 4)</t>
        </is>
      </c>
    </row>
    <row r="3434">
      <c r="A3434" t="inlineStr">
        <is>
          <t>WPN</t>
        </is>
      </c>
      <c r="B3434" t="inlineStr">
        <is>
          <t>Procurement</t>
        </is>
      </c>
      <c r="D3434" t="inlineStr">
        <is>
          <t>Standard Missile - P-5 1 / STANDARD MISSILE - SM-6 IAU Transition to Production (TTP)</t>
        </is>
      </c>
      <c r="E3434" t="inlineStr">
        <is>
          <t>[ALT_VIEW]</t>
        </is>
      </c>
      <c r="F3434" t="inlineStr">
        <is>
          <t>2234 / Standard Missile</t>
        </is>
      </c>
      <c r="G3434" t="inlineStr">
        <is>
          <t>P-5</t>
        </is>
      </c>
      <c r="H3434" t="inlineStr">
        <is>
          <t>Recurring</t>
        </is>
      </c>
      <c r="I3434" t="n">
        <v>4</v>
      </c>
      <c r="K3434" t="inlineStr">
        <is>
          <t>USN</t>
        </is>
      </c>
      <c r="L3434" t="inlineStr">
        <is>
          <t>Combatant Ships</t>
        </is>
      </c>
      <c r="M3434" t="inlineStr">
        <is>
          <t>Surface Combatants</t>
        </is>
      </c>
      <c r="S3434" t="n">
        <v>51000</v>
      </c>
      <c r="U3434" t="n">
        <v>51000</v>
      </c>
      <c r="AC3434">
        <f>IF(OR(E3434="",E3434="[PARENT]"),"ADD",IF(E3434="[ALT_VIEW]","ALT",""))</f>
        <v/>
      </c>
      <c r="AD3434">
        <f>IF(Y3434&lt;&gt;"",Y3434,IF(U3434&lt;&gt;"",U3434,S3434))</f>
        <v/>
      </c>
      <c r="AE3434">
        <f>IF(AB3434&lt;&gt;"",AB3434,Z3434)</f>
        <v/>
      </c>
      <c r="AF3434" t="inlineStr">
        <is>
          <t>P-5 Cost Analysis &gt; WPN LI 2234 &gt; 1.1.9 SM-6 IAU Transition to Production (TTP)</t>
        </is>
      </c>
      <c r="AJ3434" t="inlineStr">
        <is>
          <t>SM-6 IAU Transition to Production (TTP)</t>
        </is>
      </c>
    </row>
    <row r="3435">
      <c r="A3435" t="inlineStr">
        <is>
          <t>WPN</t>
        </is>
      </c>
      <c r="B3435" t="inlineStr">
        <is>
          <t>Procurement</t>
        </is>
      </c>
      <c r="D3435" t="inlineStr">
        <is>
          <t>Standard Missile - P-5 1 / STANDARD MISSILE - SM-6 BLK I/IA Production Engineering/Support</t>
        </is>
      </c>
      <c r="E3435" t="inlineStr">
        <is>
          <t>[ALT_VIEW]</t>
        </is>
      </c>
      <c r="F3435" t="inlineStr">
        <is>
          <t>2234 / Standard Missile</t>
        </is>
      </c>
      <c r="G3435" t="inlineStr">
        <is>
          <t>P-5</t>
        </is>
      </c>
      <c r="H3435" t="inlineStr">
        <is>
          <t>Support</t>
        </is>
      </c>
      <c r="I3435" t="n">
        <v>4</v>
      </c>
      <c r="K3435" t="inlineStr">
        <is>
          <t>USN</t>
        </is>
      </c>
      <c r="L3435" t="inlineStr">
        <is>
          <t>Combatant Ships</t>
        </is>
      </c>
      <c r="M3435" t="inlineStr">
        <is>
          <t>Surface Combatants</t>
        </is>
      </c>
      <c r="S3435" t="n">
        <v>28516</v>
      </c>
      <c r="U3435" t="n">
        <v>28516</v>
      </c>
      <c r="AC3435">
        <f>IF(OR(E3435="",E3435="[PARENT]"),"ADD",IF(E3435="[ALT_VIEW]","ALT",""))</f>
        <v/>
      </c>
      <c r="AD3435">
        <f>IF(Y3435&lt;&gt;"",Y3435,IF(U3435&lt;&gt;"",U3435,S3435))</f>
        <v/>
      </c>
      <c r="AE3435">
        <f>IF(AB3435&lt;&gt;"",AB3435,Z3435)</f>
        <v/>
      </c>
      <c r="AF3435" t="inlineStr">
        <is>
          <t>P-5 Cost Analysis &gt; WPN LI 2234 &gt; 2.1 SM-6 BLK I/IA Production Engineering/Support</t>
        </is>
      </c>
      <c r="AJ3435" t="inlineStr">
        <is>
          <t>SM-6 BLK I/IA Production Engineering/Support</t>
        </is>
      </c>
    </row>
    <row r="3436">
      <c r="A3436" t="inlineStr">
        <is>
          <t>WPN</t>
        </is>
      </c>
      <c r="B3436" t="inlineStr">
        <is>
          <t>Procurement</t>
        </is>
      </c>
      <c r="D3436" t="inlineStr">
        <is>
          <t>Standard Missile - P-5 1 / STANDARD MISSILE - SM-6 BLK I/IA Diminishing Manufacturing Sources</t>
        </is>
      </c>
      <c r="E3436" t="inlineStr">
        <is>
          <t>[ALT_VIEW]</t>
        </is>
      </c>
      <c r="F3436" t="inlineStr">
        <is>
          <t>2234 / Standard Missile</t>
        </is>
      </c>
      <c r="G3436" t="inlineStr">
        <is>
          <t>P-5</t>
        </is>
      </c>
      <c r="H3436" t="inlineStr">
        <is>
          <t>Support</t>
        </is>
      </c>
      <c r="I3436" t="n">
        <v>4</v>
      </c>
      <c r="K3436" t="inlineStr">
        <is>
          <t>USN</t>
        </is>
      </c>
      <c r="L3436" t="inlineStr">
        <is>
          <t>Combatant Ships</t>
        </is>
      </c>
      <c r="M3436" t="inlineStr">
        <is>
          <t>Surface Combatants</t>
        </is>
      </c>
      <c r="S3436" t="n">
        <v>24268</v>
      </c>
      <c r="U3436" t="n">
        <v>24268</v>
      </c>
      <c r="AC3436">
        <f>IF(OR(E3436="",E3436="[PARENT]"),"ADD",IF(E3436="[ALT_VIEW]","ALT",""))</f>
        <v/>
      </c>
      <c r="AD3436">
        <f>IF(Y3436&lt;&gt;"",Y3436,IF(U3436&lt;&gt;"",U3436,S3436))</f>
        <v/>
      </c>
      <c r="AE3436">
        <f>IF(AB3436&lt;&gt;"",AB3436,Z3436)</f>
        <v/>
      </c>
      <c r="AF3436" t="inlineStr">
        <is>
          <t>P-5 Cost Analysis &gt; WPN LI 2234 &gt; 2.4 SM-6 BLK I/IA Diminishing Manufacturing Sources</t>
        </is>
      </c>
      <c r="AJ3436" t="inlineStr">
        <is>
          <t>SM-6 BLK I/IA Diminishing Manufacturing Sources</t>
        </is>
      </c>
    </row>
    <row r="3437">
      <c r="A3437" t="inlineStr">
        <is>
          <t>WPN</t>
        </is>
      </c>
      <c r="B3437" t="inlineStr">
        <is>
          <t>Procurement</t>
        </is>
      </c>
      <c r="D3437" t="inlineStr">
        <is>
          <t>Standard Missile - P-5 1 / STANDARD MISSILE - SM-6 BLK I/IA Containers</t>
        </is>
      </c>
      <c r="E3437" t="inlineStr">
        <is>
          <t>[ALT_VIEW]</t>
        </is>
      </c>
      <c r="F3437" t="inlineStr">
        <is>
          <t>2234 / Standard Missile</t>
        </is>
      </c>
      <c r="G3437" t="inlineStr">
        <is>
          <t>P-5</t>
        </is>
      </c>
      <c r="H3437" t="inlineStr">
        <is>
          <t>Support</t>
        </is>
      </c>
      <c r="I3437" t="n">
        <v>4</v>
      </c>
      <c r="K3437" t="inlineStr">
        <is>
          <t>USN</t>
        </is>
      </c>
      <c r="L3437" t="inlineStr">
        <is>
          <t>Combatant Ships</t>
        </is>
      </c>
      <c r="M3437" t="inlineStr">
        <is>
          <t>Surface Combatants</t>
        </is>
      </c>
      <c r="S3437" t="n">
        <v>504</v>
      </c>
      <c r="U3437" t="n">
        <v>504</v>
      </c>
      <c r="AC3437">
        <f>IF(OR(E3437="",E3437="[PARENT]"),"ADD",IF(E3437="[ALT_VIEW]","ALT",""))</f>
        <v/>
      </c>
      <c r="AD3437">
        <f>IF(Y3437&lt;&gt;"",Y3437,IF(U3437&lt;&gt;"",U3437,S3437))</f>
        <v/>
      </c>
      <c r="AE3437">
        <f>IF(AB3437&lt;&gt;"",AB3437,Z3437)</f>
        <v/>
      </c>
      <c r="AF3437" t="inlineStr">
        <is>
          <t>P-5 Cost Analysis &gt; WPN LI 2234 &gt; 2.6 SM-6 BLK I/IA Containers</t>
        </is>
      </c>
      <c r="AJ3437" t="inlineStr">
        <is>
          <t>SM-6 BLK I/IA Containers</t>
        </is>
      </c>
    </row>
    <row r="3438">
      <c r="A3438" t="inlineStr">
        <is>
          <t>WPN</t>
        </is>
      </c>
      <c r="B3438" t="inlineStr">
        <is>
          <t>Procurement</t>
        </is>
      </c>
      <c r="D3438" t="inlineStr">
        <is>
          <t>Standard Missile - P-5 1 / STANDARD MISSILE - SM-6 BLK I/IA ILS/Fleet Documentation</t>
        </is>
      </c>
      <c r="E3438" t="inlineStr">
        <is>
          <t>[ALT_VIEW]</t>
        </is>
      </c>
      <c r="F3438" t="inlineStr">
        <is>
          <t>2234 / Standard Missile</t>
        </is>
      </c>
      <c r="G3438" t="inlineStr">
        <is>
          <t>P-5</t>
        </is>
      </c>
      <c r="H3438" t="inlineStr">
        <is>
          <t>Support</t>
        </is>
      </c>
      <c r="I3438" t="n">
        <v>4</v>
      </c>
      <c r="K3438" t="inlineStr">
        <is>
          <t>USN</t>
        </is>
      </c>
      <c r="L3438" t="inlineStr">
        <is>
          <t>Combatant Ships</t>
        </is>
      </c>
      <c r="M3438" t="inlineStr">
        <is>
          <t>Surface Combatants</t>
        </is>
      </c>
      <c r="S3438" t="n">
        <v>2019</v>
      </c>
      <c r="U3438" t="n">
        <v>2019</v>
      </c>
      <c r="AC3438">
        <f>IF(OR(E3438="",E3438="[PARENT]"),"ADD",IF(E3438="[ALT_VIEW]","ALT",""))</f>
        <v/>
      </c>
      <c r="AD3438">
        <f>IF(Y3438&lt;&gt;"",Y3438,IF(U3438&lt;&gt;"",U3438,S3438))</f>
        <v/>
      </c>
      <c r="AE3438">
        <f>IF(AB3438&lt;&gt;"",AB3438,Z3438)</f>
        <v/>
      </c>
      <c r="AF3438" t="inlineStr">
        <is>
          <t>P-5 Cost Analysis &gt; WPN LI 2234 &gt; 2.7 SM-6 BLK I/IA ILS/Fleet Documentation</t>
        </is>
      </c>
      <c r="AJ3438" t="inlineStr">
        <is>
          <t>SM-6 BLK I/IA ILS/Fleet Documentation</t>
        </is>
      </c>
    </row>
    <row r="3439">
      <c r="A3439" t="inlineStr">
        <is>
          <t>WPN</t>
        </is>
      </c>
      <c r="B3439" t="inlineStr">
        <is>
          <t>Procurement</t>
        </is>
      </c>
      <c r="D3439" t="inlineStr">
        <is>
          <t>LRASM - P-5 1 / LRASM C-1 - All Up Round (AUR)</t>
        </is>
      </c>
      <c r="E3439" t="inlineStr">
        <is>
          <t>[ALT_VIEW]</t>
        </is>
      </c>
      <c r="F3439" t="inlineStr">
        <is>
          <t>2291 / LRASM</t>
        </is>
      </c>
      <c r="G3439" t="inlineStr">
        <is>
          <t>P-5</t>
        </is>
      </c>
      <c r="H3439" t="inlineStr">
        <is>
          <t>Recurring</t>
        </is>
      </c>
      <c r="I3439" t="n">
        <v>4</v>
      </c>
      <c r="S3439" t="n">
        <v>92940</v>
      </c>
      <c r="U3439" t="n">
        <v>92940</v>
      </c>
      <c r="AC3439">
        <f>IF(OR(E3439="",E3439="[PARENT]"),"ADD",IF(E3439="[ALT_VIEW]","ALT",""))</f>
        <v/>
      </c>
      <c r="AD3439">
        <f>IF(Y3439&lt;&gt;"",Y3439,IF(U3439&lt;&gt;"",U3439,S3439))</f>
        <v/>
      </c>
      <c r="AE3439">
        <f>IF(AB3439&lt;&gt;"",AB3439,Z3439)</f>
        <v/>
      </c>
      <c r="AF3439" t="inlineStr">
        <is>
          <t>P-5 Cost Analysis &gt; WPN LI 2291 &gt; 1.1.1 All Up Round (AUR)</t>
        </is>
      </c>
      <c r="AJ3439" t="inlineStr">
        <is>
          <t>All Up Round (AUR)</t>
        </is>
      </c>
    </row>
    <row r="3440">
      <c r="A3440" t="inlineStr">
        <is>
          <t>WPN</t>
        </is>
      </c>
      <c r="B3440" t="inlineStr">
        <is>
          <t>Procurement</t>
        </is>
      </c>
      <c r="D3440" t="inlineStr">
        <is>
          <t>LRASM - P-5 1 / LRASM C-1 - Obsolescence</t>
        </is>
      </c>
      <c r="E3440" t="inlineStr">
        <is>
          <t>[ALT_VIEW]</t>
        </is>
      </c>
      <c r="F3440" t="inlineStr">
        <is>
          <t>2291 / LRASM</t>
        </is>
      </c>
      <c r="G3440" t="inlineStr">
        <is>
          <t>P-5</t>
        </is>
      </c>
      <c r="H3440" t="inlineStr">
        <is>
          <t>Non-Recurring</t>
        </is>
      </c>
      <c r="I3440" t="n">
        <v>4</v>
      </c>
      <c r="S3440" t="n">
        <v>929</v>
      </c>
      <c r="U3440" t="n">
        <v>929</v>
      </c>
      <c r="AC3440">
        <f>IF(OR(E3440="",E3440="[PARENT]"),"ADD",IF(E3440="[ALT_VIEW]","ALT",""))</f>
        <v/>
      </c>
      <c r="AD3440">
        <f>IF(Y3440&lt;&gt;"",Y3440,IF(U3440&lt;&gt;"",U3440,S3440))</f>
        <v/>
      </c>
      <c r="AE3440">
        <f>IF(AB3440&lt;&gt;"",AB3440,Z3440)</f>
        <v/>
      </c>
      <c r="AF3440" t="inlineStr">
        <is>
          <t>P-5 Cost Analysis &gt; WPN LI 2291 &gt; 2.1.1 Obsolescence</t>
        </is>
      </c>
      <c r="AJ3440" t="inlineStr">
        <is>
          <t>Obsolescence</t>
        </is>
      </c>
    </row>
    <row r="3441">
      <c r="A3441" t="inlineStr">
        <is>
          <t>WPN</t>
        </is>
      </c>
      <c r="B3441" t="inlineStr">
        <is>
          <t>Procurement</t>
        </is>
      </c>
      <c r="D3441" t="inlineStr">
        <is>
          <t>LRASM - P-5 1 / LRASM C-1 - Production Support</t>
        </is>
      </c>
      <c r="E3441" t="inlineStr">
        <is>
          <t>[ALT_VIEW]</t>
        </is>
      </c>
      <c r="F3441" t="inlineStr">
        <is>
          <t>2291 / LRASM</t>
        </is>
      </c>
      <c r="G3441" t="inlineStr">
        <is>
          <t>P-5</t>
        </is>
      </c>
      <c r="H3441" t="inlineStr">
        <is>
          <t>Support</t>
        </is>
      </c>
      <c r="I3441" t="n">
        <v>4</v>
      </c>
      <c r="S3441" t="n">
        <v>5100</v>
      </c>
      <c r="U3441" t="n">
        <v>5100</v>
      </c>
      <c r="AC3441">
        <f>IF(OR(E3441="",E3441="[PARENT]"),"ADD",IF(E3441="[ALT_VIEW]","ALT",""))</f>
        <v/>
      </c>
      <c r="AD3441">
        <f>IF(Y3441&lt;&gt;"",Y3441,IF(U3441&lt;&gt;"",U3441,S3441))</f>
        <v/>
      </c>
      <c r="AE3441">
        <f>IF(AB3441&lt;&gt;"",AB3441,Z3441)</f>
        <v/>
      </c>
      <c r="AF3441" t="inlineStr">
        <is>
          <t>P-5 Cost Analysis &gt; WPN LI 2291 &gt; 3.1 Production Support</t>
        </is>
      </c>
      <c r="AJ3441" t="inlineStr">
        <is>
          <t>Production Support</t>
        </is>
      </c>
    </row>
    <row r="3442">
      <c r="A3442" t="inlineStr">
        <is>
          <t>WPN</t>
        </is>
      </c>
      <c r="B3442" t="inlineStr">
        <is>
          <t>Procurement</t>
        </is>
      </c>
      <c r="D3442" t="inlineStr">
        <is>
          <t>LRASM - P-5 1 / LRASM C-1 - LRASM Operational Test Support</t>
        </is>
      </c>
      <c r="E3442" t="inlineStr">
        <is>
          <t>[ALT_VIEW]</t>
        </is>
      </c>
      <c r="F3442" t="inlineStr">
        <is>
          <t>2291 / LRASM</t>
        </is>
      </c>
      <c r="G3442" t="inlineStr">
        <is>
          <t>P-5</t>
        </is>
      </c>
      <c r="H3442" t="inlineStr">
        <is>
          <t>Support</t>
        </is>
      </c>
      <c r="I3442" t="n">
        <v>4</v>
      </c>
      <c r="S3442" t="n">
        <v>9652</v>
      </c>
      <c r="U3442" t="n">
        <v>9652</v>
      </c>
      <c r="AC3442">
        <f>IF(OR(E3442="",E3442="[PARENT]"),"ADD",IF(E3442="[ALT_VIEW]","ALT",""))</f>
        <v/>
      </c>
      <c r="AD3442">
        <f>IF(Y3442&lt;&gt;"",Y3442,IF(U3442&lt;&gt;"",U3442,S3442))</f>
        <v/>
      </c>
      <c r="AE3442">
        <f>IF(AB3442&lt;&gt;"",AB3442,Z3442)</f>
        <v/>
      </c>
      <c r="AF3442" t="inlineStr">
        <is>
          <t>P-5 Cost Analysis &gt; WPN LI 2291 &gt; 3.2 LRASM Operational Test Support</t>
        </is>
      </c>
      <c r="AJ3442" t="inlineStr">
        <is>
          <t>LRASM Operational Test Support</t>
        </is>
      </c>
    </row>
    <row r="3443">
      <c r="A3443" t="inlineStr">
        <is>
          <t>WPN</t>
        </is>
      </c>
      <c r="B3443" t="inlineStr">
        <is>
          <t>Procurement</t>
        </is>
      </c>
      <c r="D3443" t="inlineStr">
        <is>
          <t>LRASM - P-5 2 / LRASM C-3 - LRASM C-3 AUR</t>
        </is>
      </c>
      <c r="E3443" t="inlineStr">
        <is>
          <t>[ALT_VIEW]</t>
        </is>
      </c>
      <c r="F3443" t="inlineStr">
        <is>
          <t>2291 / LRASM</t>
        </is>
      </c>
      <c r="G3443" t="inlineStr">
        <is>
          <t>P-5</t>
        </is>
      </c>
      <c r="H3443" t="inlineStr">
        <is>
          <t>Recurring</t>
        </is>
      </c>
      <c r="I3443" t="n">
        <v>4</v>
      </c>
      <c r="S3443" t="n">
        <v>99742</v>
      </c>
      <c r="U3443" t="n">
        <v>99742</v>
      </c>
      <c r="AC3443">
        <f>IF(OR(E3443="",E3443="[PARENT]"),"ADD",IF(E3443="[ALT_VIEW]","ALT",""))</f>
        <v/>
      </c>
      <c r="AD3443">
        <f>IF(Y3443&lt;&gt;"",Y3443,IF(U3443&lt;&gt;"",U3443,S3443))</f>
        <v/>
      </c>
      <c r="AE3443">
        <f>IF(AB3443&lt;&gt;"",AB3443,Z3443)</f>
        <v/>
      </c>
      <c r="AF3443" t="inlineStr">
        <is>
          <t>P-5 Cost Analysis &gt; WPN LI 2291 &gt; 1.1.1 LRASM C-3 AUR</t>
        </is>
      </c>
      <c r="AJ3443" t="inlineStr">
        <is>
          <t>LRASM C-3 AUR</t>
        </is>
      </c>
    </row>
    <row r="3444">
      <c r="A3444" t="inlineStr">
        <is>
          <t>WPN</t>
        </is>
      </c>
      <c r="B3444" t="inlineStr">
        <is>
          <t>Procurement</t>
        </is>
      </c>
      <c r="D3444" t="inlineStr">
        <is>
          <t>LRASM - P-5 2 / LRASM C-3 - Radios</t>
        </is>
      </c>
      <c r="E3444" t="inlineStr">
        <is>
          <t>[ALT_VIEW]</t>
        </is>
      </c>
      <c r="F3444" t="inlineStr">
        <is>
          <t>2291 / LRASM</t>
        </is>
      </c>
      <c r="G3444" t="inlineStr">
        <is>
          <t>P-5</t>
        </is>
      </c>
      <c r="H3444" t="inlineStr">
        <is>
          <t>Recurring</t>
        </is>
      </c>
      <c r="I3444" t="n">
        <v>4</v>
      </c>
      <c r="S3444" t="n">
        <v>4654</v>
      </c>
      <c r="U3444" t="n">
        <v>4654</v>
      </c>
      <c r="AC3444">
        <f>IF(OR(E3444="",E3444="[PARENT]"),"ADD",IF(E3444="[ALT_VIEW]","ALT",""))</f>
        <v/>
      </c>
      <c r="AD3444">
        <f>IF(Y3444&lt;&gt;"",Y3444,IF(U3444&lt;&gt;"",U3444,S3444))</f>
        <v/>
      </c>
      <c r="AE3444">
        <f>IF(AB3444&lt;&gt;"",AB3444,Z3444)</f>
        <v/>
      </c>
      <c r="AF3444" t="inlineStr">
        <is>
          <t>P-5 Cost Analysis &gt; WPN LI 2291 &gt; 1.1.2 Radios</t>
        </is>
      </c>
      <c r="AJ3444" t="inlineStr">
        <is>
          <t>Radios</t>
        </is>
      </c>
    </row>
    <row r="3445">
      <c r="A3445" t="inlineStr">
        <is>
          <t>WPN</t>
        </is>
      </c>
      <c r="B3445" t="inlineStr">
        <is>
          <t>Procurement</t>
        </is>
      </c>
      <c r="D3445" t="inlineStr">
        <is>
          <t>LRASM - P-5 2 / LRASM C-3 - Contractor ECO</t>
        </is>
      </c>
      <c r="E3445" t="inlineStr">
        <is>
          <t>[ALT_VIEW]</t>
        </is>
      </c>
      <c r="F3445" t="inlineStr">
        <is>
          <t>2291 / LRASM</t>
        </is>
      </c>
      <c r="G3445" t="inlineStr">
        <is>
          <t>P-5</t>
        </is>
      </c>
      <c r="H3445" t="inlineStr">
        <is>
          <t>Recurring</t>
        </is>
      </c>
      <c r="I3445" t="n">
        <v>4</v>
      </c>
      <c r="S3445" t="n">
        <v>248</v>
      </c>
      <c r="U3445" t="n">
        <v>248</v>
      </c>
      <c r="AC3445">
        <f>IF(OR(E3445="",E3445="[PARENT]"),"ADD",IF(E3445="[ALT_VIEW]","ALT",""))</f>
        <v/>
      </c>
      <c r="AD3445">
        <f>IF(Y3445&lt;&gt;"",Y3445,IF(U3445&lt;&gt;"",U3445,S3445))</f>
        <v/>
      </c>
      <c r="AE3445">
        <f>IF(AB3445&lt;&gt;"",AB3445,Z3445)</f>
        <v/>
      </c>
      <c r="AF3445" t="inlineStr">
        <is>
          <t>P-5 Cost Analysis &gt; WPN LI 2291 &gt; 1.1.3 Contractor ECO</t>
        </is>
      </c>
      <c r="AJ3445" t="inlineStr">
        <is>
          <t>Contractor ECO</t>
        </is>
      </c>
    </row>
    <row r="3446">
      <c r="A3446" t="inlineStr">
        <is>
          <t>WPN</t>
        </is>
      </c>
      <c r="B3446" t="inlineStr">
        <is>
          <t>Procurement</t>
        </is>
      </c>
      <c r="D3446" t="inlineStr">
        <is>
          <t>LRASM - P-5 2 / LRASM C-3 - NRE / Obsolescence</t>
        </is>
      </c>
      <c r="E3446" t="inlineStr">
        <is>
          <t>[ALT_VIEW]</t>
        </is>
      </c>
      <c r="F3446" t="inlineStr">
        <is>
          <t>2291 / LRASM</t>
        </is>
      </c>
      <c r="G3446" t="inlineStr">
        <is>
          <t>P-5</t>
        </is>
      </c>
      <c r="H3446" t="inlineStr">
        <is>
          <t>Non-Recurring</t>
        </is>
      </c>
      <c r="I3446" t="n">
        <v>4</v>
      </c>
      <c r="S3446" t="n">
        <v>3039</v>
      </c>
      <c r="U3446" t="n">
        <v>3039</v>
      </c>
      <c r="AC3446">
        <f>IF(OR(E3446="",E3446="[PARENT]"),"ADD",IF(E3446="[ALT_VIEW]","ALT",""))</f>
        <v/>
      </c>
      <c r="AD3446">
        <f>IF(Y3446&lt;&gt;"",Y3446,IF(U3446&lt;&gt;"",U3446,S3446))</f>
        <v/>
      </c>
      <c r="AE3446">
        <f>IF(AB3446&lt;&gt;"",AB3446,Z3446)</f>
        <v/>
      </c>
      <c r="AF3446" t="inlineStr">
        <is>
          <t>P-5 Cost Analysis &gt; WPN LI 2291 &gt; 2.1.1 NRE / Obsolescence</t>
        </is>
      </c>
      <c r="AJ3446" t="inlineStr">
        <is>
          <t>NRE / Obsolescence</t>
        </is>
      </c>
    </row>
    <row r="3447">
      <c r="A3447" t="inlineStr">
        <is>
          <t>WPN</t>
        </is>
      </c>
      <c r="B3447" t="inlineStr">
        <is>
          <t>Procurement</t>
        </is>
      </c>
      <c r="D3447" t="inlineStr">
        <is>
          <t>LRASM - P-5 2 / LRASM C-3 - Tooling/Production Facilitization</t>
        </is>
      </c>
      <c r="E3447" t="inlineStr">
        <is>
          <t>[ALT_VIEW]</t>
        </is>
      </c>
      <c r="F3447" t="inlineStr">
        <is>
          <t>2291 / LRASM</t>
        </is>
      </c>
      <c r="G3447" t="inlineStr">
        <is>
          <t>P-5</t>
        </is>
      </c>
      <c r="H3447" t="inlineStr">
        <is>
          <t>Non-Recurring</t>
        </is>
      </c>
      <c r="I3447" t="n">
        <v>4</v>
      </c>
      <c r="S3447" t="n">
        <v>7161</v>
      </c>
      <c r="U3447" t="n">
        <v>7161</v>
      </c>
      <c r="AC3447">
        <f>IF(OR(E3447="",E3447="[PARENT]"),"ADD",IF(E3447="[ALT_VIEW]","ALT",""))</f>
        <v/>
      </c>
      <c r="AD3447">
        <f>IF(Y3447&lt;&gt;"",Y3447,IF(U3447&lt;&gt;"",U3447,S3447))</f>
        <v/>
      </c>
      <c r="AE3447">
        <f>IF(AB3447&lt;&gt;"",AB3447,Z3447)</f>
        <v/>
      </c>
      <c r="AF3447" t="inlineStr">
        <is>
          <t>P-5 Cost Analysis &gt; WPN LI 2291 &gt; 2.1.2 Tooling/Production Facilitization</t>
        </is>
      </c>
      <c r="AJ3447" t="inlineStr">
        <is>
          <t>Tooling/Production Facilitization</t>
        </is>
      </c>
    </row>
    <row r="3448">
      <c r="A3448" t="inlineStr">
        <is>
          <t>WPN</t>
        </is>
      </c>
      <c r="B3448" t="inlineStr">
        <is>
          <t>Procurement</t>
        </is>
      </c>
      <c r="D3448" t="inlineStr">
        <is>
          <t>LRASM - P-5 2 / LRASM C-3 - Telemetry Kits</t>
        </is>
      </c>
      <c r="E3448" t="inlineStr">
        <is>
          <t>[ALT_VIEW]</t>
        </is>
      </c>
      <c r="F3448" t="inlineStr">
        <is>
          <t>2291 / LRASM</t>
        </is>
      </c>
      <c r="G3448" t="inlineStr">
        <is>
          <t>P-5</t>
        </is>
      </c>
      <c r="H3448" t="inlineStr">
        <is>
          <t>Non-Recurring</t>
        </is>
      </c>
      <c r="I3448" t="n">
        <v>4</v>
      </c>
      <c r="S3448" t="n">
        <v>8023</v>
      </c>
      <c r="U3448" t="n">
        <v>8023</v>
      </c>
      <c r="AC3448">
        <f>IF(OR(E3448="",E3448="[PARENT]"),"ADD",IF(E3448="[ALT_VIEW]","ALT",""))</f>
        <v/>
      </c>
      <c r="AD3448">
        <f>IF(Y3448&lt;&gt;"",Y3448,IF(U3448&lt;&gt;"",U3448,S3448))</f>
        <v/>
      </c>
      <c r="AE3448">
        <f>IF(AB3448&lt;&gt;"",AB3448,Z3448)</f>
        <v/>
      </c>
      <c r="AF3448" t="inlineStr">
        <is>
          <t>P-5 Cost Analysis &gt; WPN LI 2291 &gt; 2.1.3 Telemetry Kits</t>
        </is>
      </c>
      <c r="AJ3448" t="inlineStr">
        <is>
          <t>Telemetry Kits</t>
        </is>
      </c>
    </row>
    <row r="3449">
      <c r="A3449" t="inlineStr">
        <is>
          <t>WPN</t>
        </is>
      </c>
      <c r="B3449" t="inlineStr">
        <is>
          <t>Procurement</t>
        </is>
      </c>
      <c r="D3449" t="inlineStr">
        <is>
          <t>LRASM - P-5 2 / LRASM C-3 - Production Support</t>
        </is>
      </c>
      <c r="E3449" t="inlineStr">
        <is>
          <t>[ALT_VIEW]</t>
        </is>
      </c>
      <c r="F3449" t="inlineStr">
        <is>
          <t>2291 / LRASM</t>
        </is>
      </c>
      <c r="G3449" t="inlineStr">
        <is>
          <t>P-5</t>
        </is>
      </c>
      <c r="H3449" t="inlineStr">
        <is>
          <t>Support</t>
        </is>
      </c>
      <c r="I3449" t="n">
        <v>4</v>
      </c>
      <c r="S3449" t="n">
        <v>9154</v>
      </c>
      <c r="U3449" t="n">
        <v>9154</v>
      </c>
      <c r="AC3449">
        <f>IF(OR(E3449="",E3449="[PARENT]"),"ADD",IF(E3449="[ALT_VIEW]","ALT",""))</f>
        <v/>
      </c>
      <c r="AD3449">
        <f>IF(Y3449&lt;&gt;"",Y3449,IF(U3449&lt;&gt;"",U3449,S3449))</f>
        <v/>
      </c>
      <c r="AE3449">
        <f>IF(AB3449&lt;&gt;"",AB3449,Z3449)</f>
        <v/>
      </c>
      <c r="AF3449" t="inlineStr">
        <is>
          <t>P-5 Cost Analysis &gt; WPN LI 2291 &gt; 3.1 Production Support</t>
        </is>
      </c>
      <c r="AJ3449" t="inlineStr">
        <is>
          <t>Production Support</t>
        </is>
      </c>
    </row>
    <row r="3450">
      <c r="A3450" t="inlineStr">
        <is>
          <t>WPN</t>
        </is>
      </c>
      <c r="B3450" t="inlineStr">
        <is>
          <t>Procurement</t>
        </is>
      </c>
      <c r="D3450" t="inlineStr">
        <is>
          <t>LRASM - P-5 2 / LRASM C-3 - Telemetry Kit Integration</t>
        </is>
      </c>
      <c r="E3450" t="inlineStr">
        <is>
          <t>[ALT_VIEW]</t>
        </is>
      </c>
      <c r="F3450" t="inlineStr">
        <is>
          <t>2291 / LRASM</t>
        </is>
      </c>
      <c r="G3450" t="inlineStr">
        <is>
          <t>P-5</t>
        </is>
      </c>
      <c r="H3450" t="inlineStr">
        <is>
          <t>Support</t>
        </is>
      </c>
      <c r="I3450" t="n">
        <v>4</v>
      </c>
      <c r="S3450" t="n">
        <v>2575</v>
      </c>
      <c r="U3450" t="n">
        <v>2575</v>
      </c>
      <c r="AC3450">
        <f>IF(OR(E3450="",E3450="[PARENT]"),"ADD",IF(E3450="[ALT_VIEW]","ALT",""))</f>
        <v/>
      </c>
      <c r="AD3450">
        <f>IF(Y3450&lt;&gt;"",Y3450,IF(U3450&lt;&gt;"",U3450,S3450))</f>
        <v/>
      </c>
      <c r="AE3450">
        <f>IF(AB3450&lt;&gt;"",AB3450,Z3450)</f>
        <v/>
      </c>
      <c r="AF3450" t="inlineStr">
        <is>
          <t>P-5 Cost Analysis &gt; WPN LI 2291 &gt; 3.2 Telemetry Kit Integration</t>
        </is>
      </c>
      <c r="AJ3450" t="inlineStr">
        <is>
          <t>Telemetry Kit Integration</t>
        </is>
      </c>
    </row>
    <row r="3451">
      <c r="A3451" t="inlineStr">
        <is>
          <t>WPN</t>
        </is>
      </c>
      <c r="B3451" t="inlineStr">
        <is>
          <t>Procurement</t>
        </is>
      </c>
      <c r="D3451" t="inlineStr">
        <is>
          <t>Evolved Sea Sparrow Missile (ESSM) - P-5 1 / ESSM - ESSM Block 2</t>
        </is>
      </c>
      <c r="E3451" t="inlineStr">
        <is>
          <t>[ALT_VIEW]</t>
        </is>
      </c>
      <c r="F3451" t="inlineStr">
        <is>
          <t>2307 / Evolved Sea Sparrow Missile (ESSM)</t>
        </is>
      </c>
      <c r="G3451" t="inlineStr">
        <is>
          <t>P-5</t>
        </is>
      </c>
      <c r="H3451" t="inlineStr">
        <is>
          <t>Recurring</t>
        </is>
      </c>
      <c r="I3451" t="n">
        <v>4</v>
      </c>
      <c r="S3451" t="n">
        <v>412055</v>
      </c>
      <c r="U3451" t="n">
        <v>412055</v>
      </c>
      <c r="AC3451">
        <f>IF(OR(E3451="",E3451="[PARENT]"),"ADD",IF(E3451="[ALT_VIEW]","ALT",""))</f>
        <v/>
      </c>
      <c r="AD3451">
        <f>IF(Y3451&lt;&gt;"",Y3451,IF(U3451&lt;&gt;"",U3451,S3451))</f>
        <v/>
      </c>
      <c r="AE3451">
        <f>IF(AB3451&lt;&gt;"",AB3451,Z3451)</f>
        <v/>
      </c>
      <c r="AF3451" t="inlineStr">
        <is>
          <t>P-5 Cost Analysis &gt; WPN LI 2307 &gt; 1.1.5 ESSM Block 2</t>
        </is>
      </c>
      <c r="AJ3451" t="inlineStr">
        <is>
          <t>ESSM Block 2</t>
        </is>
      </c>
    </row>
    <row r="3452">
      <c r="A3452" t="inlineStr">
        <is>
          <t>WPN</t>
        </is>
      </c>
      <c r="B3452" t="inlineStr">
        <is>
          <t>Procurement</t>
        </is>
      </c>
      <c r="D3452" t="inlineStr">
        <is>
          <t>Evolved Sea Sparrow Missile (ESSM) - P-5 1 / ESSM - Missile Obsolescence</t>
        </is>
      </c>
      <c r="E3452" t="inlineStr">
        <is>
          <t>[ALT_VIEW]</t>
        </is>
      </c>
      <c r="F3452" t="inlineStr">
        <is>
          <t>2307 / Evolved Sea Sparrow Missile (ESSM)</t>
        </is>
      </c>
      <c r="G3452" t="inlineStr">
        <is>
          <t>P-5</t>
        </is>
      </c>
      <c r="H3452" t="inlineStr">
        <is>
          <t>Recurring</t>
        </is>
      </c>
      <c r="I3452" t="n">
        <v>4</v>
      </c>
      <c r="S3452" t="n">
        <v>14155</v>
      </c>
      <c r="U3452" t="n">
        <v>14155</v>
      </c>
      <c r="AC3452">
        <f>IF(OR(E3452="",E3452="[PARENT]"),"ADD",IF(E3452="[ALT_VIEW]","ALT",""))</f>
        <v/>
      </c>
      <c r="AD3452">
        <f>IF(Y3452&lt;&gt;"",Y3452,IF(U3452&lt;&gt;"",U3452,S3452))</f>
        <v/>
      </c>
      <c r="AE3452">
        <f>IF(AB3452&lt;&gt;"",AB3452,Z3452)</f>
        <v/>
      </c>
      <c r="AF3452" t="inlineStr">
        <is>
          <t>P-5 Cost Analysis &gt; WPN LI 2307 &gt; 1.1.7 Missile Obsolescence</t>
        </is>
      </c>
      <c r="AJ3452" t="inlineStr">
        <is>
          <t>Missile Obsolescence</t>
        </is>
      </c>
    </row>
    <row r="3453">
      <c r="A3453" t="inlineStr">
        <is>
          <t>WPN</t>
        </is>
      </c>
      <c r="B3453" t="inlineStr">
        <is>
          <t>Procurement</t>
        </is>
      </c>
      <c r="D3453" t="inlineStr">
        <is>
          <t>Evolved Sea Sparrow Missile (ESSM) - P-5 1 / ESSM - MK 25 Quadpack Canisters</t>
        </is>
      </c>
      <c r="E3453" t="inlineStr">
        <is>
          <t>[ALT_VIEW]</t>
        </is>
      </c>
      <c r="F3453" t="inlineStr">
        <is>
          <t>2307 / Evolved Sea Sparrow Missile (ESSM)</t>
        </is>
      </c>
      <c r="G3453" t="inlineStr">
        <is>
          <t>P-5</t>
        </is>
      </c>
      <c r="H3453" t="inlineStr">
        <is>
          <t>Recurring</t>
        </is>
      </c>
      <c r="I3453" t="n">
        <v>4</v>
      </c>
      <c r="S3453" t="n">
        <v>47809</v>
      </c>
      <c r="U3453" t="n">
        <v>47809</v>
      </c>
      <c r="AC3453">
        <f>IF(OR(E3453="",E3453="[PARENT]"),"ADD",IF(E3453="[ALT_VIEW]","ALT",""))</f>
        <v/>
      </c>
      <c r="AD3453">
        <f>IF(Y3453&lt;&gt;"",Y3453,IF(U3453&lt;&gt;"",U3453,S3453))</f>
        <v/>
      </c>
      <c r="AE3453">
        <f>IF(AB3453&lt;&gt;"",AB3453,Z3453)</f>
        <v/>
      </c>
      <c r="AF3453" t="inlineStr">
        <is>
          <t>P-5 Cost Analysis &gt; WPN LI 2307 &gt; 2.1.1 MK 25 Quadpack Canisters</t>
        </is>
      </c>
      <c r="AJ3453" t="inlineStr">
        <is>
          <t>MK 25 Quadpack Canisters</t>
        </is>
      </c>
    </row>
    <row r="3454">
      <c r="A3454" t="inlineStr">
        <is>
          <t>WPN</t>
        </is>
      </c>
      <c r="B3454" t="inlineStr">
        <is>
          <t>Procurement</t>
        </is>
      </c>
      <c r="D3454" t="inlineStr">
        <is>
          <t>Evolved Sea Sparrow Missile (ESSM) - P-5 1 / ESSM - MK25 Mod 1 MK8 Bolts</t>
        </is>
      </c>
      <c r="E3454" t="inlineStr">
        <is>
          <t>[ALT_VIEW]</t>
        </is>
      </c>
      <c r="F3454" t="inlineStr">
        <is>
          <t>2307 / Evolved Sea Sparrow Missile (ESSM)</t>
        </is>
      </c>
      <c r="G3454" t="inlineStr">
        <is>
          <t>P-5</t>
        </is>
      </c>
      <c r="H3454" t="inlineStr">
        <is>
          <t>Recurring</t>
        </is>
      </c>
      <c r="I3454" t="n">
        <v>4</v>
      </c>
      <c r="S3454" t="n">
        <v>2040</v>
      </c>
      <c r="U3454" t="n">
        <v>2040</v>
      </c>
      <c r="AC3454">
        <f>IF(OR(E3454="",E3454="[PARENT]"),"ADD",IF(E3454="[ALT_VIEW]","ALT",""))</f>
        <v/>
      </c>
      <c r="AD3454">
        <f>IF(Y3454&lt;&gt;"",Y3454,IF(U3454&lt;&gt;"",U3454,S3454))</f>
        <v/>
      </c>
      <c r="AE3454">
        <f>IF(AB3454&lt;&gt;"",AB3454,Z3454)</f>
        <v/>
      </c>
      <c r="AF3454" t="inlineStr">
        <is>
          <t>P-5 Cost Analysis &gt; WPN LI 2307 &gt; 2.1.2 MK25 Mod 1 MK8 Bolts</t>
        </is>
      </c>
      <c r="AJ3454" t="inlineStr">
        <is>
          <t>MK25 Mod 1 MK8 Bolts</t>
        </is>
      </c>
    </row>
    <row r="3455">
      <c r="A3455" t="inlineStr">
        <is>
          <t>WPN</t>
        </is>
      </c>
      <c r="B3455" t="inlineStr">
        <is>
          <t>Procurement</t>
        </is>
      </c>
      <c r="D3455" t="inlineStr">
        <is>
          <t>Evolved Sea Sparrow Missile (ESSM) - P-5 1 / ESSM - MK 852 Mod 0 (Blk2 Shipping)</t>
        </is>
      </c>
      <c r="E3455" t="inlineStr">
        <is>
          <t>[ALT_VIEW]</t>
        </is>
      </c>
      <c r="F3455" t="inlineStr">
        <is>
          <t>2307 / Evolved Sea Sparrow Missile (ESSM)</t>
        </is>
      </c>
      <c r="G3455" t="inlineStr">
        <is>
          <t>P-5</t>
        </is>
      </c>
      <c r="H3455" t="inlineStr">
        <is>
          <t>Recurring</t>
        </is>
      </c>
      <c r="I3455" t="n">
        <v>4</v>
      </c>
      <c r="S3455" t="n">
        <v>1363</v>
      </c>
      <c r="U3455" t="n">
        <v>1363</v>
      </c>
      <c r="AC3455">
        <f>IF(OR(E3455="",E3455="[PARENT]"),"ADD",IF(E3455="[ALT_VIEW]","ALT",""))</f>
        <v/>
      </c>
      <c r="AD3455">
        <f>IF(Y3455&lt;&gt;"",Y3455,IF(U3455&lt;&gt;"",U3455,S3455))</f>
        <v/>
      </c>
      <c r="AE3455">
        <f>IF(AB3455&lt;&gt;"",AB3455,Z3455)</f>
        <v/>
      </c>
      <c r="AF3455" t="inlineStr">
        <is>
          <t>P-5 Cost Analysis &gt; WPN LI 2307 &gt; 2.1.3 MK 852 Mod 0 (Blk2 Shipping)</t>
        </is>
      </c>
      <c r="AJ3455" t="inlineStr">
        <is>
          <t>MK 852 Mod 0 (Blk2 Shipping)</t>
        </is>
      </c>
    </row>
    <row r="3456">
      <c r="A3456" t="inlineStr">
        <is>
          <t>WPN</t>
        </is>
      </c>
      <c r="B3456" t="inlineStr">
        <is>
          <t>Procurement</t>
        </is>
      </c>
      <c r="D3456" t="inlineStr">
        <is>
          <t>Evolved Sea Sparrow Missile (ESSM) - P-5 1 / ESSM - Producibility/Procurement Support</t>
        </is>
      </c>
      <c r="E3456" t="inlineStr">
        <is>
          <t>[ALT_VIEW]</t>
        </is>
      </c>
      <c r="F3456" t="inlineStr">
        <is>
          <t>2307 / Evolved Sea Sparrow Missile (ESSM)</t>
        </is>
      </c>
      <c r="G3456" t="inlineStr">
        <is>
          <t>P-5</t>
        </is>
      </c>
      <c r="H3456" t="inlineStr">
        <is>
          <t>Support</t>
        </is>
      </c>
      <c r="I3456" t="n">
        <v>4</v>
      </c>
      <c r="S3456" t="n">
        <v>12272</v>
      </c>
      <c r="U3456" t="n">
        <v>12272</v>
      </c>
      <c r="AC3456">
        <f>IF(OR(E3456="",E3456="[PARENT]"),"ADD",IF(E3456="[ALT_VIEW]","ALT",""))</f>
        <v/>
      </c>
      <c r="AD3456">
        <f>IF(Y3456&lt;&gt;"",Y3456,IF(U3456&lt;&gt;"",U3456,S3456))</f>
        <v/>
      </c>
      <c r="AE3456">
        <f>IF(AB3456&lt;&gt;"",AB3456,Z3456)</f>
        <v/>
      </c>
      <c r="AF3456" t="inlineStr">
        <is>
          <t>P-5 Cost Analysis &gt; WPN LI 2307 &gt; 4.6 Producibility/Procurement Support</t>
        </is>
      </c>
      <c r="AJ3456" t="inlineStr">
        <is>
          <t>Producibility/Procurement Support</t>
        </is>
      </c>
    </row>
    <row r="3457">
      <c r="A3457" t="inlineStr">
        <is>
          <t>WPN</t>
        </is>
      </c>
      <c r="B3457" t="inlineStr">
        <is>
          <t>Procurement</t>
        </is>
      </c>
      <c r="D3457" t="inlineStr">
        <is>
          <t>Evolved Sea Sparrow Missile (ESSM) - P-5 1 / ESSM - Security/Infrastructure Support</t>
        </is>
      </c>
      <c r="E3457" t="inlineStr">
        <is>
          <t>[ALT_VIEW]</t>
        </is>
      </c>
      <c r="F3457" t="inlineStr">
        <is>
          <t>2307 / Evolved Sea Sparrow Missile (ESSM)</t>
        </is>
      </c>
      <c r="G3457" t="inlineStr">
        <is>
          <t>P-5</t>
        </is>
      </c>
      <c r="H3457" t="inlineStr">
        <is>
          <t>Support</t>
        </is>
      </c>
      <c r="I3457" t="n">
        <v>4</v>
      </c>
      <c r="S3457" t="n">
        <v>10023</v>
      </c>
      <c r="U3457" t="n">
        <v>10023</v>
      </c>
      <c r="AC3457">
        <f>IF(OR(E3457="",E3457="[PARENT]"),"ADD",IF(E3457="[ALT_VIEW]","ALT",""))</f>
        <v/>
      </c>
      <c r="AD3457">
        <f>IF(Y3457&lt;&gt;"",Y3457,IF(U3457&lt;&gt;"",U3457,S3457))</f>
        <v/>
      </c>
      <c r="AE3457">
        <f>IF(AB3457&lt;&gt;"",AB3457,Z3457)</f>
        <v/>
      </c>
      <c r="AF3457" t="inlineStr">
        <is>
          <t>P-5 Cost Analysis &gt; WPN LI 2307 &gt; 4.8 Security/Infrastructure Support</t>
        </is>
      </c>
      <c r="AJ3457" t="inlineStr">
        <is>
          <t>Security/Infrastructure Support</t>
        </is>
      </c>
    </row>
    <row r="3458">
      <c r="A3458" t="inlineStr">
        <is>
          <t>WPN</t>
        </is>
      </c>
      <c r="B3458" t="inlineStr">
        <is>
          <t>Procurement</t>
        </is>
      </c>
      <c r="D3458" t="inlineStr">
        <is>
          <t>Evolved Sea Sparrow Missile (ESSM) - P-5 1 / ESSM - Configuration Management</t>
        </is>
      </c>
      <c r="E3458" t="inlineStr">
        <is>
          <t>[ALT_VIEW]</t>
        </is>
      </c>
      <c r="F3458" t="inlineStr">
        <is>
          <t>2307 / Evolved Sea Sparrow Missile (ESSM)</t>
        </is>
      </c>
      <c r="G3458" t="inlineStr">
        <is>
          <t>P-5</t>
        </is>
      </c>
      <c r="H3458" t="inlineStr">
        <is>
          <t>Support</t>
        </is>
      </c>
      <c r="I3458" t="n">
        <v>4</v>
      </c>
      <c r="S3458" t="n">
        <v>962</v>
      </c>
      <c r="U3458" t="n">
        <v>962</v>
      </c>
      <c r="AC3458">
        <f>IF(OR(E3458="",E3458="[PARENT]"),"ADD",IF(E3458="[ALT_VIEW]","ALT",""))</f>
        <v/>
      </c>
      <c r="AD3458">
        <f>IF(Y3458&lt;&gt;"",Y3458,IF(U3458&lt;&gt;"",U3458,S3458))</f>
        <v/>
      </c>
      <c r="AE3458">
        <f>IF(AB3458&lt;&gt;"",AB3458,Z3458)</f>
        <v/>
      </c>
      <c r="AF3458" t="inlineStr">
        <is>
          <t>P-5 Cost Analysis &gt; WPN LI 2307 &gt; 4.9 Configuration Management</t>
        </is>
      </c>
      <c r="AJ3458" t="inlineStr">
        <is>
          <t>Configuration Management</t>
        </is>
      </c>
    </row>
    <row r="3459">
      <c r="A3459" t="inlineStr">
        <is>
          <t>WPN</t>
        </is>
      </c>
      <c r="B3459" t="inlineStr">
        <is>
          <t>Procurement</t>
        </is>
      </c>
      <c r="D3459" t="inlineStr">
        <is>
          <t>Evolved Sea Sparrow Missile (ESSM) - P-5 1 / ESSM - Hardware/Maintenance Support</t>
        </is>
      </c>
      <c r="E3459" t="inlineStr">
        <is>
          <t>[ALT_VIEW]</t>
        </is>
      </c>
      <c r="F3459" t="inlineStr">
        <is>
          <t>2307 / Evolved Sea Sparrow Missile (ESSM)</t>
        </is>
      </c>
      <c r="G3459" t="inlineStr">
        <is>
          <t>P-5</t>
        </is>
      </c>
      <c r="H3459" t="inlineStr">
        <is>
          <t>Support</t>
        </is>
      </c>
      <c r="I3459" t="n">
        <v>4</v>
      </c>
      <c r="S3459" t="n">
        <v>2702</v>
      </c>
      <c r="U3459" t="n">
        <v>2702</v>
      </c>
      <c r="AC3459">
        <f>IF(OR(E3459="",E3459="[PARENT]"),"ADD",IF(E3459="[ALT_VIEW]","ALT",""))</f>
        <v/>
      </c>
      <c r="AD3459">
        <f>IF(Y3459&lt;&gt;"",Y3459,IF(U3459&lt;&gt;"",U3459,S3459))</f>
        <v/>
      </c>
      <c r="AE3459">
        <f>IF(AB3459&lt;&gt;"",AB3459,Z3459)</f>
        <v/>
      </c>
      <c r="AF3459" t="inlineStr">
        <is>
          <t>P-5 Cost Analysis &gt; WPN LI 2307 &gt; 4.10 Hardware/Maintenance Support</t>
        </is>
      </c>
      <c r="AJ3459" t="inlineStr">
        <is>
          <t>Hardware/Maintenance Support</t>
        </is>
      </c>
    </row>
    <row r="3460">
      <c r="A3460" t="inlineStr">
        <is>
          <t>WPN</t>
        </is>
      </c>
      <c r="B3460" t="inlineStr">
        <is>
          <t>Procurement</t>
        </is>
      </c>
      <c r="D3460" t="inlineStr">
        <is>
          <t>MK-48 Torpedo - P-5 1 / MK-48 Torpedo - Installation</t>
        </is>
      </c>
      <c r="E3460" t="inlineStr">
        <is>
          <t>[ALT_VIEW]</t>
        </is>
      </c>
      <c r="F3460" t="inlineStr">
        <is>
          <t>3117 / MK-48 Torpedo</t>
        </is>
      </c>
      <c r="G3460" t="inlineStr">
        <is>
          <t>P-5</t>
        </is>
      </c>
      <c r="H3460" t="inlineStr">
        <is>
          <t>Recurring</t>
        </is>
      </c>
      <c r="I3460" t="n">
        <v>4</v>
      </c>
      <c r="K3460" t="inlineStr">
        <is>
          <t>USN</t>
        </is>
      </c>
      <c r="L3460" t="inlineStr">
        <is>
          <t>Combatant Ships</t>
        </is>
      </c>
      <c r="M3460" t="inlineStr">
        <is>
          <t>Submarines</t>
        </is>
      </c>
      <c r="S3460" t="n">
        <v>6987</v>
      </c>
      <c r="U3460" t="n">
        <v>6987</v>
      </c>
      <c r="AC3460">
        <f>IF(OR(E3460="",E3460="[PARENT]"),"ADD",IF(E3460="[ALT_VIEW]","ALT",""))</f>
        <v/>
      </c>
      <c r="AD3460">
        <f>IF(Y3460&lt;&gt;"",Y3460,IF(U3460&lt;&gt;"",U3460,S3460))</f>
        <v/>
      </c>
      <c r="AE3460">
        <f>IF(AB3460&lt;&gt;"",AB3460,Z3460)</f>
        <v/>
      </c>
      <c r="AF3460" t="inlineStr">
        <is>
          <t>P-5 Cost Analysis &gt; WPN LI 3117 &gt; 1.1.4 Installation</t>
        </is>
      </c>
      <c r="AJ3460" t="inlineStr">
        <is>
          <t>Installation</t>
        </is>
      </c>
    </row>
    <row r="3461">
      <c r="A3461" t="inlineStr">
        <is>
          <t>WPN</t>
        </is>
      </c>
      <c r="B3461" t="inlineStr">
        <is>
          <t>Procurement</t>
        </is>
      </c>
      <c r="D3461" t="inlineStr">
        <is>
          <t>MK-48 Torpedo - P-5 1 / MK-48 Torpedo - Diminishing Manufacturing Sources</t>
        </is>
      </c>
      <c r="E3461" t="inlineStr">
        <is>
          <t>[ALT_VIEW]</t>
        </is>
      </c>
      <c r="F3461" t="inlineStr">
        <is>
          <t>3117 / MK-48 Torpedo</t>
        </is>
      </c>
      <c r="G3461" t="inlineStr">
        <is>
          <t>P-5</t>
        </is>
      </c>
      <c r="H3461" t="inlineStr">
        <is>
          <t>Recurring</t>
        </is>
      </c>
      <c r="I3461" t="n">
        <v>4</v>
      </c>
      <c r="K3461" t="inlineStr">
        <is>
          <t>USN</t>
        </is>
      </c>
      <c r="L3461" t="inlineStr">
        <is>
          <t>Combatant Ships</t>
        </is>
      </c>
      <c r="M3461" t="inlineStr">
        <is>
          <t>Submarines</t>
        </is>
      </c>
      <c r="S3461" t="n">
        <v>94</v>
      </c>
      <c r="U3461" t="n">
        <v>94</v>
      </c>
      <c r="AC3461">
        <f>IF(OR(E3461="",E3461="[PARENT]"),"ADD",IF(E3461="[ALT_VIEW]","ALT",""))</f>
        <v/>
      </c>
      <c r="AD3461">
        <f>IF(Y3461&lt;&gt;"",Y3461,IF(U3461&lt;&gt;"",U3461,S3461))</f>
        <v/>
      </c>
      <c r="AE3461">
        <f>IF(AB3461&lt;&gt;"",AB3461,Z3461)</f>
        <v/>
      </c>
      <c r="AF3461" t="inlineStr">
        <is>
          <t>P-5 Cost Analysis &gt; WPN LI 3117 &gt; 1.1.5 Diminishing Manufacturing Sources</t>
        </is>
      </c>
      <c r="AJ3461" t="inlineStr">
        <is>
          <t>Diminishing Manufacturing Sources</t>
        </is>
      </c>
    </row>
    <row r="3462">
      <c r="A3462" t="inlineStr">
        <is>
          <t>WPN</t>
        </is>
      </c>
      <c r="B3462" t="inlineStr">
        <is>
          <t>Procurement</t>
        </is>
      </c>
      <c r="D3462" t="inlineStr">
        <is>
          <t>Tomahawk Mods - P-3a - Other Production Support</t>
        </is>
      </c>
      <c r="E3462" t="inlineStr">
        <is>
          <t>[ALT_VIEW]</t>
        </is>
      </c>
      <c r="F3462" t="inlineStr">
        <is>
          <t>2301 / Tomahawk Mods</t>
        </is>
      </c>
      <c r="G3462" t="inlineStr">
        <is>
          <t>P-3a</t>
        </is>
      </c>
      <c r="H3462" t="inlineStr">
        <is>
          <t>Support</t>
        </is>
      </c>
      <c r="I3462" t="n">
        <v>4</v>
      </c>
      <c r="S3462" t="n">
        <v>6283</v>
      </c>
      <c r="U3462" t="n">
        <v>6283</v>
      </c>
      <c r="AC3462">
        <f>IF(OR(E3462="",E3462="[PARENT]"),"ADD",IF(E3462="[ALT_VIEW]","ALT",""))</f>
        <v/>
      </c>
      <c r="AD3462">
        <f>IF(Y3462&lt;&gt;"",Y3462,IF(U3462&lt;&gt;"",U3462,S3462))</f>
        <v/>
      </c>
      <c r="AE3462">
        <f>IF(AB3462&lt;&gt;"",AB3462,Z3462)</f>
        <v/>
      </c>
      <c r="AF3462" t="inlineStr">
        <is>
          <t>P-3a Cost Analysis &gt; WPN LI 2301 &gt; 6.1 Other Production Support</t>
        </is>
      </c>
      <c r="AJ3462" t="inlineStr">
        <is>
          <t>Other Production Support</t>
        </is>
      </c>
    </row>
    <row r="3463">
      <c r="A3463" t="inlineStr">
        <is>
          <t>OPN_BA1</t>
        </is>
      </c>
      <c r="B3463" t="inlineStr">
        <is>
          <t>Procurement</t>
        </is>
      </c>
      <c r="D3463" t="inlineStr">
        <is>
          <t>Ship Maintenance Repair and Modernization - P-5 1 / Ship Maint Repair &amp; Mod - U.S. Pacific Fleet Ship Availabilities (101 entries)</t>
        </is>
      </c>
      <c r="E3463" t="inlineStr">
        <is>
          <t>[ALT_VIEW]</t>
        </is>
      </c>
      <c r="F3463" t="inlineStr">
        <is>
          <t>26 / Ship Maintenance Repair and Modernization</t>
        </is>
      </c>
      <c r="G3463" t="inlineStr">
        <is>
          <t>P-5</t>
        </is>
      </c>
      <c r="H3463" t="inlineStr">
        <is>
          <t>Recurring</t>
        </is>
      </c>
      <c r="I3463" t="n">
        <v>2</v>
      </c>
      <c r="S3463" t="n">
        <v>1306538</v>
      </c>
      <c r="U3463" t="n">
        <v>1306538</v>
      </c>
      <c r="AC3463">
        <f>IF(OR(E3463="",E3463="[PARENT]"),"ADD",IF(E3463="[ALT_VIEW]","ALT",""))</f>
        <v/>
      </c>
      <c r="AD3463">
        <f>IF(Y3463&lt;&gt;"",Y3463,IF(U3463&lt;&gt;"",U3463,S3463))</f>
        <v/>
      </c>
      <c r="AE3463">
        <f>IF(AB3463&lt;&gt;"",AB3463,Z3463)</f>
        <v/>
      </c>
      <c r="AF3463" t="inlineStr">
        <is>
          <t>P-5 Cost Analysis &gt; OPN_BA1 LI 1000 &gt;  U.S. Pacific Fleet Ship Availabilities (101 entries)</t>
        </is>
      </c>
      <c r="AJ3463" t="inlineStr">
        <is>
          <t>U.S. Pacific Fleet Ship Availabilities (101 entries)</t>
        </is>
      </c>
    </row>
    <row r="3464">
      <c r="A3464" t="inlineStr">
        <is>
          <t>OPN_BA1</t>
        </is>
      </c>
      <c r="B3464" t="inlineStr">
        <is>
          <t>Procurement</t>
        </is>
      </c>
      <c r="D3464" t="inlineStr">
        <is>
          <t>Ship Maintenance Repair and Modernization - P-5 1 / Ship Maint Repair &amp; Mod - U.S. Fleet Forces Ship Availabilities (139 entries)</t>
        </is>
      </c>
      <c r="E3464" t="inlineStr">
        <is>
          <t>[ALT_VIEW]</t>
        </is>
      </c>
      <c r="F3464" t="inlineStr">
        <is>
          <t>26 / Ship Maintenance Repair and Modernization</t>
        </is>
      </c>
      <c r="G3464" t="inlineStr">
        <is>
          <t>P-5</t>
        </is>
      </c>
      <c r="H3464" t="inlineStr">
        <is>
          <t>Recurring</t>
        </is>
      </c>
      <c r="I3464" t="n">
        <v>2</v>
      </c>
      <c r="S3464" t="n">
        <v>1086082</v>
      </c>
      <c r="U3464" t="n">
        <v>1086082</v>
      </c>
      <c r="AC3464">
        <f>IF(OR(E3464="",E3464="[PARENT]"),"ADD",IF(E3464="[ALT_VIEW]","ALT",""))</f>
        <v/>
      </c>
      <c r="AD3464">
        <f>IF(Y3464&lt;&gt;"",Y3464,IF(U3464&lt;&gt;"",U3464,S3464))</f>
        <v/>
      </c>
      <c r="AE3464">
        <f>IF(AB3464&lt;&gt;"",AB3464,Z3464)</f>
        <v/>
      </c>
      <c r="AF3464" t="inlineStr">
        <is>
          <t>P-5 Cost Analysis &gt; OPN_BA1 LI 1000 &gt;  U.S. Fleet Forces Ship Availabilities (139 entries)</t>
        </is>
      </c>
      <c r="AJ3464" t="inlineStr">
        <is>
          <t>U.S. Fleet Forces Ship Availabilities (139 entries)</t>
        </is>
      </c>
    </row>
    <row r="3465">
      <c r="A3465" t="inlineStr">
        <is>
          <t>OPN_BA1</t>
        </is>
      </c>
      <c r="B3465" t="inlineStr">
        <is>
          <t>Procurement</t>
        </is>
      </c>
      <c r="D3465" t="inlineStr">
        <is>
          <t>DDG Mod - P-3a - DDG Modernization HME (GEDMS)</t>
        </is>
      </c>
      <c r="E3465" t="inlineStr">
        <is>
          <t>[ALT_VIEW]</t>
        </is>
      </c>
      <c r="F3465" t="inlineStr">
        <is>
          <t>5 / DDG Mod</t>
        </is>
      </c>
      <c r="G3465" t="inlineStr">
        <is>
          <t>P-3a</t>
        </is>
      </c>
      <c r="H3465" t="inlineStr">
        <is>
          <t>Recurring</t>
        </is>
      </c>
      <c r="I3465" t="n">
        <v>4</v>
      </c>
      <c r="K3465" t="inlineStr">
        <is>
          <t>USN</t>
        </is>
      </c>
      <c r="L3465" t="inlineStr">
        <is>
          <t>Combatant Ships</t>
        </is>
      </c>
      <c r="M3465" t="inlineStr">
        <is>
          <t>Surface Combatants</t>
        </is>
      </c>
      <c r="S3465" t="n">
        <v>24122</v>
      </c>
      <c r="U3465" t="n">
        <v>24122</v>
      </c>
      <c r="AC3465">
        <f>IF(OR(E3465="",E3465="[PARENT]"),"ADD",IF(E3465="[ALT_VIEW]","ALT",""))</f>
        <v/>
      </c>
      <c r="AD3465">
        <f>IF(Y3465&lt;&gt;"",Y3465,IF(U3465&lt;&gt;"",U3465,S3465))</f>
        <v/>
      </c>
      <c r="AE3465">
        <f>IF(AB3465&lt;&gt;"",AB3465,Z3465)</f>
        <v/>
      </c>
      <c r="AF3465" t="inlineStr">
        <is>
          <t>P-3a Cost Analysis &gt; OPN_BA1 LI 0900 &gt; DM001 DDG Modernization HME (GEDMS)</t>
        </is>
      </c>
      <c r="AJ3465" t="inlineStr">
        <is>
          <t>DDG Modernization HME (GEDMS)</t>
        </is>
      </c>
    </row>
    <row r="3466">
      <c r="A3466" t="inlineStr">
        <is>
          <t>OPN_BA1</t>
        </is>
      </c>
      <c r="B3466" t="inlineStr">
        <is>
          <t>Procurement</t>
        </is>
      </c>
      <c r="D3466" t="inlineStr">
        <is>
          <t>DDG Mod - P-3a - DDG Modernization HME (MCS/DCS)</t>
        </is>
      </c>
      <c r="E3466" t="inlineStr">
        <is>
          <t>[ALT_VIEW]</t>
        </is>
      </c>
      <c r="F3466" t="inlineStr">
        <is>
          <t>5 / DDG Mod</t>
        </is>
      </c>
      <c r="G3466" t="inlineStr">
        <is>
          <t>P-3a</t>
        </is>
      </c>
      <c r="H3466" t="inlineStr">
        <is>
          <t>Recurring</t>
        </is>
      </c>
      <c r="I3466" t="n">
        <v>4</v>
      </c>
      <c r="K3466" t="inlineStr">
        <is>
          <t>USN</t>
        </is>
      </c>
      <c r="L3466" t="inlineStr">
        <is>
          <t>Combatant Ships</t>
        </is>
      </c>
      <c r="M3466" t="inlineStr">
        <is>
          <t>Surface Combatants</t>
        </is>
      </c>
      <c r="S3466" t="n">
        <v>45949</v>
      </c>
      <c r="U3466" t="n">
        <v>45949</v>
      </c>
      <c r="AC3466">
        <f>IF(OR(E3466="",E3466="[PARENT]"),"ADD",IF(E3466="[ALT_VIEW]","ALT",""))</f>
        <v/>
      </c>
      <c r="AD3466">
        <f>IF(Y3466&lt;&gt;"",Y3466,IF(U3466&lt;&gt;"",U3466,S3466))</f>
        <v/>
      </c>
      <c r="AE3466">
        <f>IF(AB3466&lt;&gt;"",AB3466,Z3466)</f>
        <v/>
      </c>
      <c r="AF3466" t="inlineStr">
        <is>
          <t>P-3a Cost Analysis &gt; OPN_BA1 LI 0900 &gt; DM001 DDG Modernization HME (MCS/DCS)</t>
        </is>
      </c>
      <c r="AJ3466" t="inlineStr">
        <is>
          <t>DDG Modernization HME (MCS/DCS)</t>
        </is>
      </c>
    </row>
    <row r="3467">
      <c r="A3467" t="inlineStr">
        <is>
          <t>OPN_BA1</t>
        </is>
      </c>
      <c r="B3467" t="inlineStr">
        <is>
          <t>Procurement</t>
        </is>
      </c>
      <c r="D3467" t="inlineStr">
        <is>
          <t>DDG Mod - P-3a - DDG Modernization HME (DVSS)</t>
        </is>
      </c>
      <c r="E3467" t="inlineStr">
        <is>
          <t>[ALT_VIEW]</t>
        </is>
      </c>
      <c r="F3467" t="inlineStr">
        <is>
          <t>5 / DDG Mod</t>
        </is>
      </c>
      <c r="G3467" t="inlineStr">
        <is>
          <t>P-3a</t>
        </is>
      </c>
      <c r="H3467" t="inlineStr">
        <is>
          <t>Recurring</t>
        </is>
      </c>
      <c r="I3467" t="n">
        <v>4</v>
      </c>
      <c r="K3467" t="inlineStr">
        <is>
          <t>USN</t>
        </is>
      </c>
      <c r="L3467" t="inlineStr">
        <is>
          <t>Combatant Ships</t>
        </is>
      </c>
      <c r="M3467" t="inlineStr">
        <is>
          <t>Surface Combatants</t>
        </is>
      </c>
      <c r="S3467" t="n">
        <v>2917</v>
      </c>
      <c r="U3467" t="n">
        <v>2917</v>
      </c>
      <c r="AC3467">
        <f>IF(OR(E3467="",E3467="[PARENT]"),"ADD",IF(E3467="[ALT_VIEW]","ALT",""))</f>
        <v/>
      </c>
      <c r="AD3467">
        <f>IF(Y3467&lt;&gt;"",Y3467,IF(U3467&lt;&gt;"",U3467,S3467))</f>
        <v/>
      </c>
      <c r="AE3467">
        <f>IF(AB3467&lt;&gt;"",AB3467,Z3467)</f>
        <v/>
      </c>
      <c r="AF3467" t="inlineStr">
        <is>
          <t>P-3a Cost Analysis &gt; OPN_BA1 LI 0900 &gt; DM001 DDG Modernization HME (DVSS)</t>
        </is>
      </c>
      <c r="AJ3467" t="inlineStr">
        <is>
          <t>DDG Modernization HME (DVSS)</t>
        </is>
      </c>
    </row>
    <row r="3468">
      <c r="A3468" t="inlineStr">
        <is>
          <t>OPN_BA1</t>
        </is>
      </c>
      <c r="B3468" t="inlineStr">
        <is>
          <t>Procurement</t>
        </is>
      </c>
      <c r="D3468" t="inlineStr">
        <is>
          <t>DDG Mod - P-3a - DDG Modernization HME (Wireless Communications)</t>
        </is>
      </c>
      <c r="E3468" t="inlineStr">
        <is>
          <t>[ALT_VIEW]</t>
        </is>
      </c>
      <c r="F3468" t="inlineStr">
        <is>
          <t>5 / DDG Mod</t>
        </is>
      </c>
      <c r="G3468" t="inlineStr">
        <is>
          <t>P-3a</t>
        </is>
      </c>
      <c r="H3468" t="inlineStr">
        <is>
          <t>Recurring</t>
        </is>
      </c>
      <c r="I3468" t="n">
        <v>4</v>
      </c>
      <c r="K3468" t="inlineStr">
        <is>
          <t>USN</t>
        </is>
      </c>
      <c r="L3468" t="inlineStr">
        <is>
          <t>Combatant Ships</t>
        </is>
      </c>
      <c r="M3468" t="inlineStr">
        <is>
          <t>Surface Combatants</t>
        </is>
      </c>
      <c r="S3468" t="n">
        <v>732</v>
      </c>
      <c r="U3468" t="n">
        <v>732</v>
      </c>
      <c r="AC3468">
        <f>IF(OR(E3468="",E3468="[PARENT]"),"ADD",IF(E3468="[ALT_VIEW]","ALT",""))</f>
        <v/>
      </c>
      <c r="AD3468">
        <f>IF(Y3468&lt;&gt;"",Y3468,IF(U3468&lt;&gt;"",U3468,S3468))</f>
        <v/>
      </c>
      <c r="AE3468">
        <f>IF(AB3468&lt;&gt;"",AB3468,Z3468)</f>
        <v/>
      </c>
      <c r="AF3468" t="inlineStr">
        <is>
          <t>P-3a Cost Analysis &gt; OPN_BA1 LI 0900 &gt; DM001 DDG Modernization HME (Wireless Communications)</t>
        </is>
      </c>
      <c r="AJ3468" t="inlineStr">
        <is>
          <t>DDG Modernization HME (Wireless Communications)</t>
        </is>
      </c>
    </row>
    <row r="3469">
      <c r="A3469" t="inlineStr">
        <is>
          <t>OPN_BA3</t>
        </is>
      </c>
      <c r="B3469" t="inlineStr">
        <is>
          <t>Procurement</t>
        </is>
      </c>
      <c r="D3469" t="inlineStr">
        <is>
          <t>Sonobuoys - All Types - P-5 1 / Sonobuoys All Types - AN/SSQ-36 (BT)</t>
        </is>
      </c>
      <c r="E3469" t="inlineStr">
        <is>
          <t>[ALT_VIEW]</t>
        </is>
      </c>
      <c r="F3469" t="inlineStr">
        <is>
          <t>112 / Sonobuoys - All Types</t>
        </is>
      </c>
      <c r="G3469" t="inlineStr">
        <is>
          <t>P-5</t>
        </is>
      </c>
      <c r="H3469" t="inlineStr">
        <is>
          <t>Recurring</t>
        </is>
      </c>
      <c r="I3469" t="n">
        <v>6</v>
      </c>
      <c r="S3469" t="n">
        <v>1590</v>
      </c>
      <c r="U3469" t="n">
        <v>1590</v>
      </c>
      <c r="AC3469">
        <f>IF(OR(E3469="",E3469="[PARENT]"),"ADD",IF(E3469="[ALT_VIEW]","ALT",""))</f>
        <v/>
      </c>
      <c r="AD3469">
        <f>IF(Y3469&lt;&gt;"",Y3469,IF(U3469&lt;&gt;"",U3469,S3469))</f>
        <v/>
      </c>
      <c r="AE3469">
        <f>IF(AB3469&lt;&gt;"",AB3469,Z3469)</f>
        <v/>
      </c>
      <c r="AF3469" t="inlineStr">
        <is>
          <t>P-5 Cost Analysis &gt; OPN_BA3 LI 4048 &gt; 1.1.1 AN/SSQ-36 (BT)</t>
        </is>
      </c>
      <c r="AJ3469" t="inlineStr">
        <is>
          <t>AN/SSQ-36 (BT)</t>
        </is>
      </c>
    </row>
    <row r="3470">
      <c r="A3470" t="inlineStr">
        <is>
          <t>OPN_BA3</t>
        </is>
      </c>
      <c r="B3470" t="inlineStr">
        <is>
          <t>Procurement</t>
        </is>
      </c>
      <c r="D3470" t="inlineStr">
        <is>
          <t>Sonobuoys - All Types - P-5 1 / Sonobuoys All Types - AN/SSQ-53 (DIFAR)</t>
        </is>
      </c>
      <c r="E3470" t="inlineStr">
        <is>
          <t>[ALT_VIEW]</t>
        </is>
      </c>
      <c r="F3470" t="inlineStr">
        <is>
          <t>112 / Sonobuoys - All Types</t>
        </is>
      </c>
      <c r="G3470" t="inlineStr">
        <is>
          <t>P-5</t>
        </is>
      </c>
      <c r="H3470" t="inlineStr">
        <is>
          <t>Recurring</t>
        </is>
      </c>
      <c r="I3470" t="n">
        <v>6</v>
      </c>
      <c r="S3470" t="n">
        <v>124802</v>
      </c>
      <c r="U3470" t="n">
        <v>124802</v>
      </c>
      <c r="AC3470">
        <f>IF(OR(E3470="",E3470="[PARENT]"),"ADD",IF(E3470="[ALT_VIEW]","ALT",""))</f>
        <v/>
      </c>
      <c r="AD3470">
        <f>IF(Y3470&lt;&gt;"",Y3470,IF(U3470&lt;&gt;"",U3470,S3470))</f>
        <v/>
      </c>
      <c r="AE3470">
        <f>IF(AB3470&lt;&gt;"",AB3470,Z3470)</f>
        <v/>
      </c>
      <c r="AF3470" t="inlineStr">
        <is>
          <t>P-5 Cost Analysis &gt; OPN_BA3 LI 4048 &gt; 1.1.2 AN/SSQ-53 (DIFAR)</t>
        </is>
      </c>
      <c r="AJ3470" t="inlineStr">
        <is>
          <t>AN/SSQ-53 (DIFAR)</t>
        </is>
      </c>
    </row>
    <row r="3471">
      <c r="A3471" t="inlineStr">
        <is>
          <t>OPN_BA3</t>
        </is>
      </c>
      <c r="B3471" t="inlineStr">
        <is>
          <t>Procurement</t>
        </is>
      </c>
      <c r="D3471" t="inlineStr">
        <is>
          <t>Sonobuoys - All Types - P-5 1 / Sonobuoys All Types - AN/SSQ-62 (DICASS)</t>
        </is>
      </c>
      <c r="E3471" t="inlineStr">
        <is>
          <t>[ALT_VIEW]</t>
        </is>
      </c>
      <c r="F3471" t="inlineStr">
        <is>
          <t>112 / Sonobuoys - All Types</t>
        </is>
      </c>
      <c r="G3471" t="inlineStr">
        <is>
          <t>P-5</t>
        </is>
      </c>
      <c r="H3471" t="inlineStr">
        <is>
          <t>Recurring</t>
        </is>
      </c>
      <c r="I3471" t="n">
        <v>6</v>
      </c>
      <c r="S3471" t="n">
        <v>27347</v>
      </c>
      <c r="U3471" t="n">
        <v>27347</v>
      </c>
      <c r="AC3471">
        <f>IF(OR(E3471="",E3471="[PARENT]"),"ADD",IF(E3471="[ALT_VIEW]","ALT",""))</f>
        <v/>
      </c>
      <c r="AD3471">
        <f>IF(Y3471&lt;&gt;"",Y3471,IF(U3471&lt;&gt;"",U3471,S3471))</f>
        <v/>
      </c>
      <c r="AE3471">
        <f>IF(AB3471&lt;&gt;"",AB3471,Z3471)</f>
        <v/>
      </c>
      <c r="AF3471" t="inlineStr">
        <is>
          <t>P-5 Cost Analysis &gt; OPN_BA3 LI 4048 &gt; 1.1.3 AN/SSQ-62 (DICASS)</t>
        </is>
      </c>
      <c r="AJ3471" t="inlineStr">
        <is>
          <t>AN/SSQ-62 (DICASS)</t>
        </is>
      </c>
    </row>
    <row r="3472">
      <c r="A3472" t="inlineStr">
        <is>
          <t>OPN_BA3</t>
        </is>
      </c>
      <c r="B3472" t="inlineStr">
        <is>
          <t>Procurement</t>
        </is>
      </c>
      <c r="D3472" t="inlineStr">
        <is>
          <t>Sonobuoys - All Types - P-5 1 / Sonobuoys All Types - AN/SSQ-101 (Multi-static Coherent Receiver)</t>
        </is>
      </c>
      <c r="E3472" t="inlineStr">
        <is>
          <t>[ALT_VIEW]</t>
        </is>
      </c>
      <c r="F3472" t="inlineStr">
        <is>
          <t>112 / Sonobuoys - All Types</t>
        </is>
      </c>
      <c r="G3472" t="inlineStr">
        <is>
          <t>P-5</t>
        </is>
      </c>
      <c r="H3472" t="inlineStr">
        <is>
          <t>Recurring</t>
        </is>
      </c>
      <c r="I3472" t="n">
        <v>6</v>
      </c>
      <c r="S3472" t="n">
        <v>18624</v>
      </c>
      <c r="U3472" t="n">
        <v>18624</v>
      </c>
      <c r="AC3472">
        <f>IF(OR(E3472="",E3472="[PARENT]"),"ADD",IF(E3472="[ALT_VIEW]","ALT",""))</f>
        <v/>
      </c>
      <c r="AD3472">
        <f>IF(Y3472&lt;&gt;"",Y3472,IF(U3472&lt;&gt;"",U3472,S3472))</f>
        <v/>
      </c>
      <c r="AE3472">
        <f>IF(AB3472&lt;&gt;"",AB3472,Z3472)</f>
        <v/>
      </c>
      <c r="AF3472" t="inlineStr">
        <is>
          <t>P-5 Cost Analysis &gt; OPN_BA3 LI 4048 &gt; 2.1.1 AN/SSQ-101 (Multi-static Coherent Receiver)</t>
        </is>
      </c>
      <c r="AJ3472" t="inlineStr">
        <is>
          <t>AN/SSQ-101 (Multi-static Coherent Receiver)</t>
        </is>
      </c>
    </row>
    <row r="3473">
      <c r="A3473" t="inlineStr">
        <is>
          <t>OPN_BA3</t>
        </is>
      </c>
      <c r="B3473" t="inlineStr">
        <is>
          <t>Procurement</t>
        </is>
      </c>
      <c r="D3473" t="inlineStr">
        <is>
          <t>Sonobuoys - All Types - P-5 1 / Sonobuoys All Types - AN/SSQ-125B (Multi-static Coherent Source)</t>
        </is>
      </c>
      <c r="E3473" t="inlineStr">
        <is>
          <t>[ALT_VIEW]</t>
        </is>
      </c>
      <c r="F3473" t="inlineStr">
        <is>
          <t>112 / Sonobuoys - All Types</t>
        </is>
      </c>
      <c r="G3473" t="inlineStr">
        <is>
          <t>P-5</t>
        </is>
      </c>
      <c r="H3473" t="inlineStr">
        <is>
          <t>Recurring</t>
        </is>
      </c>
      <c r="I3473" t="n">
        <v>6</v>
      </c>
      <c r="S3473" t="n">
        <v>64766</v>
      </c>
      <c r="U3473" t="n">
        <v>64766</v>
      </c>
      <c r="AC3473">
        <f>IF(OR(E3473="",E3473="[PARENT]"),"ADD",IF(E3473="[ALT_VIEW]","ALT",""))</f>
        <v/>
      </c>
      <c r="AD3473">
        <f>IF(Y3473&lt;&gt;"",Y3473,IF(U3473&lt;&gt;"",U3473,S3473))</f>
        <v/>
      </c>
      <c r="AE3473">
        <f>IF(AB3473&lt;&gt;"",AB3473,Z3473)</f>
        <v/>
      </c>
      <c r="AF3473" t="inlineStr">
        <is>
          <t>P-5 Cost Analysis &gt; OPN_BA3 LI 4048 &gt; 2.1.3 AN/SSQ-125B (Multi-static Coherent Source)</t>
        </is>
      </c>
      <c r="AJ3473" t="inlineStr">
        <is>
          <t>AN/SSQ-125B (Multi-static Coherent Source)</t>
        </is>
      </c>
    </row>
    <row r="3474">
      <c r="A3474" t="inlineStr">
        <is>
          <t>OPN_BA3</t>
        </is>
      </c>
      <c r="B3474" t="inlineStr">
        <is>
          <t>Procurement</t>
        </is>
      </c>
      <c r="D3474" t="inlineStr">
        <is>
          <t>Sonobuoys - All Types - P-5 1 / Sonobuoys All Types - Acceptance Testing - Common</t>
        </is>
      </c>
      <c r="E3474" t="inlineStr">
        <is>
          <t>[ALT_VIEW]</t>
        </is>
      </c>
      <c r="F3474" t="inlineStr">
        <is>
          <t>112 / Sonobuoys - All Types</t>
        </is>
      </c>
      <c r="G3474" t="inlineStr">
        <is>
          <t>P-5</t>
        </is>
      </c>
      <c r="H3474" t="inlineStr">
        <is>
          <t>Support</t>
        </is>
      </c>
      <c r="I3474" t="n">
        <v>6</v>
      </c>
      <c r="S3474" t="n">
        <v>3474</v>
      </c>
      <c r="U3474" t="n">
        <v>3474</v>
      </c>
      <c r="AC3474">
        <f>IF(OR(E3474="",E3474="[PARENT]"),"ADD",IF(E3474="[ALT_VIEW]","ALT",""))</f>
        <v/>
      </c>
      <c r="AD3474">
        <f>IF(Y3474&lt;&gt;"",Y3474,IF(U3474&lt;&gt;"",U3474,S3474))</f>
        <v/>
      </c>
      <c r="AE3474">
        <f>IF(AB3474&lt;&gt;"",AB3474,Z3474)</f>
        <v/>
      </c>
      <c r="AF3474" t="inlineStr">
        <is>
          <t>P-5 Cost Analysis &gt; OPN_BA3 LI 4048 &gt; 4.1.1 Acceptance Testing - Common</t>
        </is>
      </c>
      <c r="AJ3474" t="inlineStr">
        <is>
          <t>Acceptance Testing - Common</t>
        </is>
      </c>
    </row>
    <row r="3475">
      <c r="A3475" t="inlineStr">
        <is>
          <t>OPN_BA3</t>
        </is>
      </c>
      <c r="B3475" t="inlineStr">
        <is>
          <t>Procurement</t>
        </is>
      </c>
      <c r="D3475" t="inlineStr">
        <is>
          <t>Sonobuoys - All Types - P-5 1 / Sonobuoys All Types - Acceptance Testing - Multi-static</t>
        </is>
      </c>
      <c r="E3475" t="inlineStr">
        <is>
          <t>[ALT_VIEW]</t>
        </is>
      </c>
      <c r="F3475" t="inlineStr">
        <is>
          <t>112 / Sonobuoys - All Types</t>
        </is>
      </c>
      <c r="G3475" t="inlineStr">
        <is>
          <t>P-5</t>
        </is>
      </c>
      <c r="H3475" t="inlineStr">
        <is>
          <t>Support</t>
        </is>
      </c>
      <c r="I3475" t="n">
        <v>6</v>
      </c>
      <c r="S3475" t="n">
        <v>4041</v>
      </c>
      <c r="U3475" t="n">
        <v>4041</v>
      </c>
      <c r="AC3475">
        <f>IF(OR(E3475="",E3475="[PARENT]"),"ADD",IF(E3475="[ALT_VIEW]","ALT",""))</f>
        <v/>
      </c>
      <c r="AD3475">
        <f>IF(Y3475&lt;&gt;"",Y3475,IF(U3475&lt;&gt;"",U3475,S3475))</f>
        <v/>
      </c>
      <c r="AE3475">
        <f>IF(AB3475&lt;&gt;"",AB3475,Z3475)</f>
        <v/>
      </c>
      <c r="AF3475" t="inlineStr">
        <is>
          <t>P-5 Cost Analysis &gt; OPN_BA3 LI 4048 &gt; 4.1.2 Acceptance Testing - Multi-static</t>
        </is>
      </c>
      <c r="AJ3475" t="inlineStr">
        <is>
          <t>Acceptance Testing - Multi-static</t>
        </is>
      </c>
    </row>
    <row r="3476">
      <c r="A3476" t="inlineStr">
        <is>
          <t>OPN_BA3</t>
        </is>
      </c>
      <c r="B3476" t="inlineStr">
        <is>
          <t>Procurement</t>
        </is>
      </c>
      <c r="D3476" t="inlineStr">
        <is>
          <t>Sonobuoys - All Types - P-5 1 / Sonobuoys All Types - Production Engineering - Common</t>
        </is>
      </c>
      <c r="E3476" t="inlineStr">
        <is>
          <t>[ALT_VIEW]</t>
        </is>
      </c>
      <c r="F3476" t="inlineStr">
        <is>
          <t>112 / Sonobuoys - All Types</t>
        </is>
      </c>
      <c r="G3476" t="inlineStr">
        <is>
          <t>P-5</t>
        </is>
      </c>
      <c r="H3476" t="inlineStr">
        <is>
          <t>Support</t>
        </is>
      </c>
      <c r="I3476" t="n">
        <v>6</v>
      </c>
      <c r="S3476" t="n">
        <v>2626</v>
      </c>
      <c r="U3476" t="n">
        <v>2626</v>
      </c>
      <c r="AC3476">
        <f>IF(OR(E3476="",E3476="[PARENT]"),"ADD",IF(E3476="[ALT_VIEW]","ALT",""))</f>
        <v/>
      </c>
      <c r="AD3476">
        <f>IF(Y3476&lt;&gt;"",Y3476,IF(U3476&lt;&gt;"",U3476,S3476))</f>
        <v/>
      </c>
      <c r="AE3476">
        <f>IF(AB3476&lt;&gt;"",AB3476,Z3476)</f>
        <v/>
      </c>
      <c r="AF3476" t="inlineStr">
        <is>
          <t>P-5 Cost Analysis &gt; OPN_BA3 LI 4048 &gt; 6.1 Production Engineering - Common</t>
        </is>
      </c>
      <c r="AJ3476" t="inlineStr">
        <is>
          <t>Production Engineering - Common</t>
        </is>
      </c>
    </row>
    <row r="3477">
      <c r="A3477" t="inlineStr">
        <is>
          <t>OPN_BA3</t>
        </is>
      </c>
      <c r="B3477" t="inlineStr">
        <is>
          <t>Procurement</t>
        </is>
      </c>
      <c r="D3477" t="inlineStr">
        <is>
          <t>Sonobuoys - All Types - P-5 1 / Sonobuoys All Types - Production Engineering - Multi-static</t>
        </is>
      </c>
      <c r="E3477" t="inlineStr">
        <is>
          <t>[ALT_VIEW]</t>
        </is>
      </c>
      <c r="F3477" t="inlineStr">
        <is>
          <t>112 / Sonobuoys - All Types</t>
        </is>
      </c>
      <c r="G3477" t="inlineStr">
        <is>
          <t>P-5</t>
        </is>
      </c>
      <c r="H3477" t="inlineStr">
        <is>
          <t>Support</t>
        </is>
      </c>
      <c r="I3477" t="n">
        <v>6</v>
      </c>
      <c r="S3477" t="n">
        <v>2638</v>
      </c>
      <c r="U3477" t="n">
        <v>2638</v>
      </c>
      <c r="AC3477">
        <f>IF(OR(E3477="",E3477="[PARENT]"),"ADD",IF(E3477="[ALT_VIEW]","ALT",""))</f>
        <v/>
      </c>
      <c r="AD3477">
        <f>IF(Y3477&lt;&gt;"",Y3477,IF(U3477&lt;&gt;"",U3477,S3477))</f>
        <v/>
      </c>
      <c r="AE3477">
        <f>IF(AB3477&lt;&gt;"",AB3477,Z3477)</f>
        <v/>
      </c>
      <c r="AF3477" t="inlineStr">
        <is>
          <t>P-5 Cost Analysis &gt; OPN_BA3 LI 4048 &gt; 6.2 Production Engineering - Multi-static</t>
        </is>
      </c>
      <c r="AJ3477" t="inlineStr">
        <is>
          <t>Production Engineering - Multi-static</t>
        </is>
      </c>
    </row>
    <row r="3478">
      <c r="A3478" t="inlineStr">
        <is>
          <t>OPN_BA2</t>
        </is>
      </c>
      <c r="B3478" t="inlineStr">
        <is>
          <t>Procurement</t>
        </is>
      </c>
      <c r="D3478" t="inlineStr">
        <is>
          <t>CANES - P-3a Mod 1 / CANES Afloat - CANES - Afloat NonOrganic</t>
        </is>
      </c>
      <c r="E3478" t="inlineStr">
        <is>
          <t>[ALT_VIEW]</t>
        </is>
      </c>
      <c r="F3478" t="inlineStr">
        <is>
          <t>2915 / CANES</t>
        </is>
      </c>
      <c r="G3478" t="inlineStr">
        <is>
          <t>P-3a</t>
        </is>
      </c>
      <c r="H3478" t="inlineStr">
        <is>
          <t>Recurring</t>
        </is>
      </c>
      <c r="I3478" t="n">
        <v>4</v>
      </c>
      <c r="S3478" t="n">
        <v>29319</v>
      </c>
      <c r="U3478" t="n">
        <v>29319</v>
      </c>
      <c r="AC3478">
        <f>IF(OR(E3478="",E3478="[PARENT]"),"ADD",IF(E3478="[ALT_VIEW]","ALT",""))</f>
        <v/>
      </c>
      <c r="AD3478">
        <f>IF(Y3478&lt;&gt;"",Y3478,IF(U3478&lt;&gt;"",U3478,S3478))</f>
        <v/>
      </c>
      <c r="AE3478">
        <f>IF(AB3478&lt;&gt;"",AB3478,Z3478)</f>
        <v/>
      </c>
      <c r="AF3478" t="inlineStr">
        <is>
          <t>P-3a Cost Analysis &gt; OPN_BA2 LI 2915 &gt; 1.1.1 CANES - Afloat NonOrganic</t>
        </is>
      </c>
      <c r="AJ3478" t="inlineStr">
        <is>
          <t>CANES - Afloat NonOrganic</t>
        </is>
      </c>
    </row>
    <row r="3479">
      <c r="A3479" t="inlineStr">
        <is>
          <t>OPN_BA2</t>
        </is>
      </c>
      <c r="B3479" t="inlineStr">
        <is>
          <t>Procurement</t>
        </is>
      </c>
      <c r="D3479" t="inlineStr">
        <is>
          <t>CANES - P-3a Mod 1 / CANES Afloat - CANES - Afloat Technical Insertion NonOrganic</t>
        </is>
      </c>
      <c r="E3479" t="inlineStr">
        <is>
          <t>[ALT_VIEW]</t>
        </is>
      </c>
      <c r="F3479" t="inlineStr">
        <is>
          <t>2915 / CANES</t>
        </is>
      </c>
      <c r="G3479" t="inlineStr">
        <is>
          <t>P-3a</t>
        </is>
      </c>
      <c r="H3479" t="inlineStr">
        <is>
          <t>Recurring</t>
        </is>
      </c>
      <c r="I3479" t="n">
        <v>4</v>
      </c>
      <c r="S3479" t="n">
        <v>103568</v>
      </c>
      <c r="U3479" t="n">
        <v>103568</v>
      </c>
      <c r="AC3479">
        <f>IF(OR(E3479="",E3479="[PARENT]"),"ADD",IF(E3479="[ALT_VIEW]","ALT",""))</f>
        <v/>
      </c>
      <c r="AD3479">
        <f>IF(Y3479&lt;&gt;"",Y3479,IF(U3479&lt;&gt;"",U3479,S3479))</f>
        <v/>
      </c>
      <c r="AE3479">
        <f>IF(AB3479&lt;&gt;"",AB3479,Z3479)</f>
        <v/>
      </c>
      <c r="AF3479" t="inlineStr">
        <is>
          <t>P-3a Cost Analysis &gt; OPN_BA2 LI 2915 &gt; 1.1.2 CANES - Afloat Technical Insertion NonOrganic</t>
        </is>
      </c>
      <c r="AJ3479" t="inlineStr">
        <is>
          <t>CANES - Afloat Technical Insertion NonOrganic</t>
        </is>
      </c>
    </row>
    <row r="3480">
      <c r="A3480" t="inlineStr">
        <is>
          <t>OPN_BA2</t>
        </is>
      </c>
      <c r="B3480" t="inlineStr">
        <is>
          <t>Procurement</t>
        </is>
      </c>
      <c r="D3480" t="inlineStr">
        <is>
          <t>CANES - P-3a Mod 1 / CANES Afloat - Agile Enclave - NonOrganic</t>
        </is>
      </c>
      <c r="E3480" t="inlineStr">
        <is>
          <t>[ALT_VIEW]</t>
        </is>
      </c>
      <c r="F3480" t="inlineStr">
        <is>
          <t>2915 / CANES</t>
        </is>
      </c>
      <c r="G3480" t="inlineStr">
        <is>
          <t>P-3a</t>
        </is>
      </c>
      <c r="H3480" t="inlineStr">
        <is>
          <t>Recurring</t>
        </is>
      </c>
      <c r="I3480" t="n">
        <v>4</v>
      </c>
      <c r="S3480" t="n">
        <v>162831</v>
      </c>
      <c r="U3480" t="n">
        <v>162831</v>
      </c>
      <c r="AC3480">
        <f>IF(OR(E3480="",E3480="[PARENT]"),"ADD",IF(E3480="[ALT_VIEW]","ALT",""))</f>
        <v/>
      </c>
      <c r="AD3480">
        <f>IF(Y3480&lt;&gt;"",Y3480,IF(U3480&lt;&gt;"",U3480,S3480))</f>
        <v/>
      </c>
      <c r="AE3480">
        <f>IF(AB3480&lt;&gt;"",AB3480,Z3480)</f>
        <v/>
      </c>
      <c r="AF3480" t="inlineStr">
        <is>
          <t>P-3a Cost Analysis &gt; OPN_BA2 LI 2915 &gt; 1.1.3 Agile Enclave - NonOrganic</t>
        </is>
      </c>
      <c r="AJ3480" t="inlineStr">
        <is>
          <t>Agile Enclave - NonOrganic</t>
        </is>
      </c>
    </row>
    <row r="3481">
      <c r="A3481" t="inlineStr">
        <is>
          <t>OPN_BA2</t>
        </is>
      </c>
      <c r="B3481" t="inlineStr">
        <is>
          <t>Procurement</t>
        </is>
      </c>
      <c r="D3481" t="inlineStr">
        <is>
          <t>CANES - P-3a Mod 1 / CANES Afloat - Production Support + Design Service Agent</t>
        </is>
      </c>
      <c r="E3481" t="inlineStr">
        <is>
          <t>[ALT_VIEW]</t>
        </is>
      </c>
      <c r="F3481" t="inlineStr">
        <is>
          <t>2915 / CANES</t>
        </is>
      </c>
      <c r="G3481" t="inlineStr">
        <is>
          <t>P-3a</t>
        </is>
      </c>
      <c r="H3481" t="inlineStr">
        <is>
          <t>Support</t>
        </is>
      </c>
      <c r="I3481" t="n">
        <v>4</v>
      </c>
      <c r="S3481" t="n">
        <v>22264</v>
      </c>
      <c r="U3481" t="n">
        <v>22264</v>
      </c>
      <c r="AC3481">
        <f>IF(OR(E3481="",E3481="[PARENT]"),"ADD",IF(E3481="[ALT_VIEW]","ALT",""))</f>
        <v/>
      </c>
      <c r="AD3481">
        <f>IF(Y3481&lt;&gt;"",Y3481,IF(U3481&lt;&gt;"",U3481,S3481))</f>
        <v/>
      </c>
      <c r="AE3481">
        <f>IF(AB3481&lt;&gt;"",AB3481,Z3481)</f>
        <v/>
      </c>
      <c r="AF3481" t="inlineStr">
        <is>
          <t>P-3a Cost Analysis &gt; OPN_BA2 LI 2915 &gt;  Production Support + Design Service Agent</t>
        </is>
      </c>
      <c r="AJ3481" t="inlineStr">
        <is>
          <t>Production Support + Design Service Agent</t>
        </is>
      </c>
    </row>
    <row r="3482">
      <c r="A3482" t="inlineStr">
        <is>
          <t>OPN_BA2</t>
        </is>
      </c>
      <c r="B3482" t="inlineStr">
        <is>
          <t>Procurement</t>
        </is>
      </c>
      <c r="D3482" t="inlineStr">
        <is>
          <t>CANES - P-3a Mod 1 / CANES Afloat - Installation</t>
        </is>
      </c>
      <c r="E3482" t="inlineStr">
        <is>
          <t>[ALT_VIEW]</t>
        </is>
      </c>
      <c r="F3482" t="inlineStr">
        <is>
          <t>2915 / CANES</t>
        </is>
      </c>
      <c r="G3482" t="inlineStr">
        <is>
          <t>P-3a</t>
        </is>
      </c>
      <c r="H3482" t="inlineStr">
        <is>
          <t>Installation</t>
        </is>
      </c>
      <c r="I3482" t="n">
        <v>4</v>
      </c>
      <c r="S3482" t="n">
        <v>212426</v>
      </c>
      <c r="U3482" t="n">
        <v>212426</v>
      </c>
      <c r="AC3482">
        <f>IF(OR(E3482="",E3482="[PARENT]"),"ADD",IF(E3482="[ALT_VIEW]","ALT",""))</f>
        <v/>
      </c>
      <c r="AD3482">
        <f>IF(Y3482&lt;&gt;"",Y3482,IF(U3482&lt;&gt;"",U3482,S3482))</f>
        <v/>
      </c>
      <c r="AE3482">
        <f>IF(AB3482&lt;&gt;"",AB3482,Z3482)</f>
        <v/>
      </c>
      <c r="AF3482" t="inlineStr">
        <is>
          <t>P-3a Cost Analysis &gt; OPN_BA2 LI 2915 &gt;  Installation</t>
        </is>
      </c>
      <c r="AJ3482" t="inlineStr">
        <is>
          <t>Installation</t>
        </is>
      </c>
    </row>
    <row r="3483">
      <c r="A3483" t="inlineStr">
        <is>
          <t>OPN_BA2</t>
        </is>
      </c>
      <c r="B3483" t="inlineStr">
        <is>
          <t>Procurement</t>
        </is>
      </c>
      <c r="D3483" t="inlineStr">
        <is>
          <t>CANES - P-3a Mod 2 / CANES Ashore - CANES - Ashore Technical Insertion NonOrganic</t>
        </is>
      </c>
      <c r="E3483" t="inlineStr">
        <is>
          <t>[ALT_VIEW]</t>
        </is>
      </c>
      <c r="F3483" t="inlineStr">
        <is>
          <t>2915 / CANES</t>
        </is>
      </c>
      <c r="G3483" t="inlineStr">
        <is>
          <t>P-3a</t>
        </is>
      </c>
      <c r="H3483" t="inlineStr">
        <is>
          <t>Recurring</t>
        </is>
      </c>
      <c r="I3483" t="n">
        <v>4</v>
      </c>
      <c r="S3483" t="n">
        <v>3677</v>
      </c>
      <c r="U3483" t="n">
        <v>3677</v>
      </c>
      <c r="AC3483">
        <f>IF(OR(E3483="",E3483="[PARENT]"),"ADD",IF(E3483="[ALT_VIEW]","ALT",""))</f>
        <v/>
      </c>
      <c r="AD3483">
        <f>IF(Y3483&lt;&gt;"",Y3483,IF(U3483&lt;&gt;"",U3483,S3483))</f>
        <v/>
      </c>
      <c r="AE3483">
        <f>IF(AB3483&lt;&gt;"",AB3483,Z3483)</f>
        <v/>
      </c>
      <c r="AF3483" t="inlineStr">
        <is>
          <t>P-3a Cost Analysis &gt; OPN_BA2 LI 2915 &gt; 1.1.1 CANES - Ashore Technical Insertion NonOrganic</t>
        </is>
      </c>
      <c r="AJ3483" t="inlineStr">
        <is>
          <t>CANES - Ashore Technical Insertion NonOrganic</t>
        </is>
      </c>
    </row>
    <row r="3484">
      <c r="A3484" t="inlineStr">
        <is>
          <t>OPN_BA2</t>
        </is>
      </c>
      <c r="B3484" t="inlineStr">
        <is>
          <t>Procurement</t>
        </is>
      </c>
      <c r="D3484" t="inlineStr">
        <is>
          <t>CANES - P-3a Mod 2 / CANES Ashore - Support + Installation</t>
        </is>
      </c>
      <c r="E3484" t="inlineStr">
        <is>
          <t>[ALT_VIEW]</t>
        </is>
      </c>
      <c r="F3484" t="inlineStr">
        <is>
          <t>2915 / CANES</t>
        </is>
      </c>
      <c r="G3484" t="inlineStr">
        <is>
          <t>P-3a</t>
        </is>
      </c>
      <c r="H3484" t="inlineStr">
        <is>
          <t>Support</t>
        </is>
      </c>
      <c r="I3484" t="n">
        <v>4</v>
      </c>
      <c r="S3484" t="n">
        <v>239</v>
      </c>
      <c r="U3484" t="n">
        <v>239</v>
      </c>
      <c r="AC3484">
        <f>IF(OR(E3484="",E3484="[PARENT]"),"ADD",IF(E3484="[ALT_VIEW]","ALT",""))</f>
        <v/>
      </c>
      <c r="AD3484">
        <f>IF(Y3484&lt;&gt;"",Y3484,IF(U3484&lt;&gt;"",U3484,S3484))</f>
        <v/>
      </c>
      <c r="AE3484">
        <f>IF(AB3484&lt;&gt;"",AB3484,Z3484)</f>
        <v/>
      </c>
      <c r="AF3484" t="inlineStr">
        <is>
          <t>P-3a Cost Analysis &gt; OPN_BA2 LI 2915 &gt;  Support + Installation</t>
        </is>
      </c>
      <c r="AJ3484" t="inlineStr">
        <is>
          <t>Support + Installation</t>
        </is>
      </c>
    </row>
    <row r="3485">
      <c r="A3485" t="inlineStr">
        <is>
          <t>OPN_BA2</t>
        </is>
      </c>
      <c r="B3485" t="inlineStr">
        <is>
          <t>Procurement</t>
        </is>
      </c>
      <c r="D3485" t="inlineStr">
        <is>
          <t>SSN Acoustic Equipment - P-40a - Towed Systems</t>
        </is>
      </c>
      <c r="E3485" t="inlineStr">
        <is>
          <t>[ALT_VIEW]</t>
        </is>
      </c>
      <c r="F3485" t="inlineStr">
        <is>
          <t>2150 / SSN Acoustic Equipment</t>
        </is>
      </c>
      <c r="G3485" t="inlineStr">
        <is>
          <t>P-40a</t>
        </is>
      </c>
      <c r="H3485" t="inlineStr">
        <is>
          <t>Recurring</t>
        </is>
      </c>
      <c r="I3485" t="n">
        <v>4</v>
      </c>
      <c r="K3485" t="inlineStr">
        <is>
          <t>USN</t>
        </is>
      </c>
      <c r="L3485" t="inlineStr">
        <is>
          <t>Combatant Ships</t>
        </is>
      </c>
      <c r="M3485" t="inlineStr">
        <is>
          <t>Submarines</t>
        </is>
      </c>
      <c r="S3485" t="n">
        <v>70011</v>
      </c>
      <c r="U3485" t="n">
        <v>70011</v>
      </c>
      <c r="AC3485">
        <f>IF(OR(E3485="",E3485="[PARENT]"),"ADD",IF(E3485="[ALT_VIEW]","ALT",""))</f>
        <v/>
      </c>
      <c r="AD3485">
        <f>IF(Y3485&lt;&gt;"",Y3485,IF(U3485&lt;&gt;"",U3485,S3485))</f>
        <v/>
      </c>
      <c r="AE3485">
        <f>IF(AB3485&lt;&gt;"",AB3485,Z3485)</f>
        <v/>
      </c>
      <c r="AF3485" t="inlineStr">
        <is>
          <t>P-40a Cost Analysis &gt; OPN_BA2 LI 2150 &gt; SA102 Towed Systems</t>
        </is>
      </c>
      <c r="AJ3485" t="inlineStr">
        <is>
          <t>Towed Systems</t>
        </is>
      </c>
    </row>
    <row r="3486">
      <c r="A3486" t="inlineStr">
        <is>
          <t>OPN_BA2</t>
        </is>
      </c>
      <c r="B3486" t="inlineStr">
        <is>
          <t>Procurement</t>
        </is>
      </c>
      <c r="D3486" t="inlineStr">
        <is>
          <t>SSN Acoustic Equipment - P-40a - TB-34A Fatline Towed Arrays</t>
        </is>
      </c>
      <c r="E3486" t="inlineStr">
        <is>
          <t>[ALT_VIEW]</t>
        </is>
      </c>
      <c r="F3486" t="inlineStr">
        <is>
          <t>2150 / SSN Acoustic Equipment</t>
        </is>
      </c>
      <c r="G3486" t="inlineStr">
        <is>
          <t>P-40a</t>
        </is>
      </c>
      <c r="H3486" t="inlineStr">
        <is>
          <t>Recurring</t>
        </is>
      </c>
      <c r="I3486" t="n">
        <v>4</v>
      </c>
      <c r="K3486" t="inlineStr">
        <is>
          <t>USN</t>
        </is>
      </c>
      <c r="L3486" t="inlineStr">
        <is>
          <t>Combatant Ships</t>
        </is>
      </c>
      <c r="M3486" t="inlineStr">
        <is>
          <t>Submarines</t>
        </is>
      </c>
      <c r="S3486" t="n">
        <v>7461</v>
      </c>
      <c r="U3486" t="n">
        <v>7461</v>
      </c>
      <c r="AC3486">
        <f>IF(OR(E3486="",E3486="[PARENT]"),"ADD",IF(E3486="[ALT_VIEW]","ALT",""))</f>
        <v/>
      </c>
      <c r="AD3486">
        <f>IF(Y3486&lt;&gt;"",Y3486,IF(U3486&lt;&gt;"",U3486,S3486))</f>
        <v/>
      </c>
      <c r="AE3486">
        <f>IF(AB3486&lt;&gt;"",AB3486,Z3486)</f>
        <v/>
      </c>
      <c r="AF3486" t="inlineStr">
        <is>
          <t>P-40a Cost Analysis &gt; OPN_BA2 LI 2150 &gt; SA102-1.1 TB-34A Fatline Towed Arrays</t>
        </is>
      </c>
      <c r="AJ3486" t="inlineStr">
        <is>
          <t>TB-34A Fatline Towed Arrays</t>
        </is>
      </c>
    </row>
    <row r="3487">
      <c r="A3487" t="inlineStr">
        <is>
          <t>OPN_BA2</t>
        </is>
      </c>
      <c r="B3487" t="inlineStr">
        <is>
          <t>Procurement</t>
        </is>
      </c>
      <c r="D3487" t="inlineStr">
        <is>
          <t>SSN Acoustic Equipment - P-40a - TB-29C Thin Line Towed Arrays</t>
        </is>
      </c>
      <c r="E3487" t="inlineStr">
        <is>
          <t>[ALT_VIEW]</t>
        </is>
      </c>
      <c r="F3487" t="inlineStr">
        <is>
          <t>2150 / SSN Acoustic Equipment</t>
        </is>
      </c>
      <c r="G3487" t="inlineStr">
        <is>
          <t>P-40a</t>
        </is>
      </c>
      <c r="H3487" t="inlineStr">
        <is>
          <t>Recurring</t>
        </is>
      </c>
      <c r="I3487" t="n">
        <v>4</v>
      </c>
      <c r="K3487" t="inlineStr">
        <is>
          <t>USN</t>
        </is>
      </c>
      <c r="L3487" t="inlineStr">
        <is>
          <t>Combatant Ships</t>
        </is>
      </c>
      <c r="M3487" t="inlineStr">
        <is>
          <t>Submarines</t>
        </is>
      </c>
      <c r="S3487" t="n">
        <v>20078</v>
      </c>
      <c r="U3487" t="n">
        <v>20078</v>
      </c>
      <c r="AC3487">
        <f>IF(OR(E3487="",E3487="[PARENT]"),"ADD",IF(E3487="[ALT_VIEW]","ALT",""))</f>
        <v/>
      </c>
      <c r="AD3487">
        <f>IF(Y3487&lt;&gt;"",Y3487,IF(U3487&lt;&gt;"",U3487,S3487))</f>
        <v/>
      </c>
      <c r="AE3487">
        <f>IF(AB3487&lt;&gt;"",AB3487,Z3487)</f>
        <v/>
      </c>
      <c r="AF3487" t="inlineStr">
        <is>
          <t>P-40a Cost Analysis &gt; OPN_BA2 LI 2150 &gt; SA102-1.2 TB-29C Thin Line Towed Arrays</t>
        </is>
      </c>
      <c r="AJ3487" t="inlineStr">
        <is>
          <t>TB-29C Thin Line Towed Arrays</t>
        </is>
      </c>
    </row>
    <row r="3488">
      <c r="A3488" t="inlineStr">
        <is>
          <t>OPN_BA2</t>
        </is>
      </c>
      <c r="B3488" t="inlineStr">
        <is>
          <t>Procurement</t>
        </is>
      </c>
      <c r="D3488" t="inlineStr">
        <is>
          <t>SSN Acoustic Equipment - P-40a - Towed Array Refurbishment &amp; Upgrades</t>
        </is>
      </c>
      <c r="E3488" t="inlineStr">
        <is>
          <t>[ALT_VIEW]</t>
        </is>
      </c>
      <c r="F3488" t="inlineStr">
        <is>
          <t>2150 / SSN Acoustic Equipment</t>
        </is>
      </c>
      <c r="G3488" t="inlineStr">
        <is>
          <t>P-40a</t>
        </is>
      </c>
      <c r="H3488" t="inlineStr">
        <is>
          <t>Recurring</t>
        </is>
      </c>
      <c r="I3488" t="n">
        <v>4</v>
      </c>
      <c r="K3488" t="inlineStr">
        <is>
          <t>USN</t>
        </is>
      </c>
      <c r="L3488" t="inlineStr">
        <is>
          <t>Combatant Ships</t>
        </is>
      </c>
      <c r="M3488" t="inlineStr">
        <is>
          <t>Submarines</t>
        </is>
      </c>
      <c r="S3488" t="n">
        <v>33618</v>
      </c>
      <c r="U3488" t="n">
        <v>33618</v>
      </c>
      <c r="AC3488">
        <f>IF(OR(E3488="",E3488="[PARENT]"),"ADD",IF(E3488="[ALT_VIEW]","ALT",""))</f>
        <v/>
      </c>
      <c r="AD3488">
        <f>IF(Y3488&lt;&gt;"",Y3488,IF(U3488&lt;&gt;"",U3488,S3488))</f>
        <v/>
      </c>
      <c r="AE3488">
        <f>IF(AB3488&lt;&gt;"",AB3488,Z3488)</f>
        <v/>
      </c>
      <c r="AF3488" t="inlineStr">
        <is>
          <t>P-40a Cost Analysis &gt; OPN_BA2 LI 2150 &gt; SA102-1.3 Towed Array Refurbishment &amp; Upgrades</t>
        </is>
      </c>
      <c r="AJ3488" t="inlineStr">
        <is>
          <t>Towed Array Refurbishment &amp; Upgrades</t>
        </is>
      </c>
    </row>
    <row r="3489">
      <c r="A3489" t="inlineStr">
        <is>
          <t>OPN_BA2</t>
        </is>
      </c>
      <c r="B3489" t="inlineStr">
        <is>
          <t>Procurement</t>
        </is>
      </c>
      <c r="D3489" t="inlineStr">
        <is>
          <t>SSN Acoustic Equipment - P-40a - Towed Array Handler System Upgrade</t>
        </is>
      </c>
      <c r="E3489" t="inlineStr">
        <is>
          <t>[ALT_VIEW]</t>
        </is>
      </c>
      <c r="F3489" t="inlineStr">
        <is>
          <t>2150 / SSN Acoustic Equipment</t>
        </is>
      </c>
      <c r="G3489" t="inlineStr">
        <is>
          <t>P-40a</t>
        </is>
      </c>
      <c r="H3489" t="inlineStr">
        <is>
          <t>Recurring</t>
        </is>
      </c>
      <c r="I3489" t="n">
        <v>4</v>
      </c>
      <c r="K3489" t="inlineStr">
        <is>
          <t>USN</t>
        </is>
      </c>
      <c r="L3489" t="inlineStr">
        <is>
          <t>Combatant Ships</t>
        </is>
      </c>
      <c r="M3489" t="inlineStr">
        <is>
          <t>Submarines</t>
        </is>
      </c>
      <c r="S3489" t="n">
        <v>8854</v>
      </c>
      <c r="U3489" t="n">
        <v>8854</v>
      </c>
      <c r="AC3489">
        <f>IF(OR(E3489="",E3489="[PARENT]"),"ADD",IF(E3489="[ALT_VIEW]","ALT",""))</f>
        <v/>
      </c>
      <c r="AD3489">
        <f>IF(Y3489&lt;&gt;"",Y3489,IF(U3489&lt;&gt;"",U3489,S3489))</f>
        <v/>
      </c>
      <c r="AE3489">
        <f>IF(AB3489&lt;&gt;"",AB3489,Z3489)</f>
        <v/>
      </c>
      <c r="AF3489" t="inlineStr">
        <is>
          <t>P-40a Cost Analysis &gt; OPN_BA2 LI 2150 &gt; SA102-1.4 Towed Array Handler System Upgrade</t>
        </is>
      </c>
      <c r="AJ3489" t="inlineStr">
        <is>
          <t>Towed Array Handler System Upgrade</t>
        </is>
      </c>
    </row>
    <row r="3490">
      <c r="A3490" t="inlineStr">
        <is>
          <t>OPN_BA2</t>
        </is>
      </c>
      <c r="B3490" t="inlineStr">
        <is>
          <t>Procurement</t>
        </is>
      </c>
      <c r="D3490" t="inlineStr">
        <is>
          <t>SSN Acoustic Equipment - P-40a - Hull Sensors (VA Unique Sensor)</t>
        </is>
      </c>
      <c r="E3490" t="inlineStr">
        <is>
          <t>[ALT_VIEW]</t>
        </is>
      </c>
      <c r="F3490" t="inlineStr">
        <is>
          <t>2150 / SSN Acoustic Equipment</t>
        </is>
      </c>
      <c r="G3490" t="inlineStr">
        <is>
          <t>P-40a</t>
        </is>
      </c>
      <c r="H3490" t="inlineStr">
        <is>
          <t>Recurring</t>
        </is>
      </c>
      <c r="I3490" t="n">
        <v>4</v>
      </c>
      <c r="K3490" t="inlineStr">
        <is>
          <t>USN</t>
        </is>
      </c>
      <c r="L3490" t="inlineStr">
        <is>
          <t>Combatant Ships</t>
        </is>
      </c>
      <c r="M3490" t="inlineStr">
        <is>
          <t>Submarines</t>
        </is>
      </c>
      <c r="S3490" t="n">
        <v>14593</v>
      </c>
      <c r="U3490" t="n">
        <v>14593</v>
      </c>
      <c r="AC3490">
        <f>IF(OR(E3490="",E3490="[PARENT]"),"ADD",IF(E3490="[ALT_VIEW]","ALT",""))</f>
        <v/>
      </c>
      <c r="AD3490">
        <f>IF(Y3490&lt;&gt;"",Y3490,IF(U3490&lt;&gt;"",U3490,S3490))</f>
        <v/>
      </c>
      <c r="AE3490">
        <f>IF(AB3490&lt;&gt;"",AB3490,Z3490)</f>
        <v/>
      </c>
      <c r="AF3490" t="inlineStr">
        <is>
          <t>P-40a Cost Analysis &gt; OPN_BA2 LI 2150 &gt; SA106 Hull Sensors (VA Unique Sensor)</t>
        </is>
      </c>
      <c r="AJ3490" t="inlineStr">
        <is>
          <t>Hull Sensors (VA Unique Sensor)</t>
        </is>
      </c>
    </row>
    <row r="3491">
      <c r="A3491" t="inlineStr">
        <is>
          <t>OPN_BA2</t>
        </is>
      </c>
      <c r="B3491" t="inlineStr">
        <is>
          <t>Procurement</t>
        </is>
      </c>
      <c r="D3491" t="inlineStr">
        <is>
          <t>SSN Acoustic Equipment - P-40a - Block Changes</t>
        </is>
      </c>
      <c r="E3491" t="inlineStr">
        <is>
          <t>[ALT_VIEW]</t>
        </is>
      </c>
      <c r="F3491" t="inlineStr">
        <is>
          <t>2150 / SSN Acoustic Equipment</t>
        </is>
      </c>
      <c r="G3491" t="inlineStr">
        <is>
          <t>P-40a</t>
        </is>
      </c>
      <c r="H3491" t="inlineStr">
        <is>
          <t>Recurring</t>
        </is>
      </c>
      <c r="I3491" t="n">
        <v>4</v>
      </c>
      <c r="K3491" t="inlineStr">
        <is>
          <t>USN</t>
        </is>
      </c>
      <c r="L3491" t="inlineStr">
        <is>
          <t>Combatant Ships</t>
        </is>
      </c>
      <c r="M3491" t="inlineStr">
        <is>
          <t>Submarines</t>
        </is>
      </c>
      <c r="S3491" t="n">
        <v>5645</v>
      </c>
      <c r="U3491" t="n">
        <v>5645</v>
      </c>
      <c r="AC3491">
        <f>IF(OR(E3491="",E3491="[PARENT]"),"ADD",IF(E3491="[ALT_VIEW]","ALT",""))</f>
        <v/>
      </c>
      <c r="AD3491">
        <f>IF(Y3491&lt;&gt;"",Y3491,IF(U3491&lt;&gt;"",U3491,S3491))</f>
        <v/>
      </c>
      <c r="AE3491">
        <f>IF(AB3491&lt;&gt;"",AB3491,Z3491)</f>
        <v/>
      </c>
      <c r="AF3491" t="inlineStr">
        <is>
          <t>P-40a Cost Analysis &gt; OPN_BA2 LI 2150 &gt; SA201 Block Changes</t>
        </is>
      </c>
      <c r="AJ3491" t="inlineStr">
        <is>
          <t>Block Changes</t>
        </is>
      </c>
    </row>
    <row r="3492">
      <c r="A3492" t="inlineStr">
        <is>
          <t>OPN_BA2</t>
        </is>
      </c>
      <c r="B3492" t="inlineStr">
        <is>
          <t>Procurement</t>
        </is>
      </c>
      <c r="D3492" t="inlineStr">
        <is>
          <t>SSN Acoustic Equipment - P-40a - Production/Engineering Support</t>
        </is>
      </c>
      <c r="E3492" t="inlineStr">
        <is>
          <t>[ALT_VIEW]</t>
        </is>
      </c>
      <c r="F3492" t="inlineStr">
        <is>
          <t>2150 / SSN Acoustic Equipment</t>
        </is>
      </c>
      <c r="G3492" t="inlineStr">
        <is>
          <t>P-40a</t>
        </is>
      </c>
      <c r="H3492" t="inlineStr">
        <is>
          <t>Support</t>
        </is>
      </c>
      <c r="I3492" t="n">
        <v>4</v>
      </c>
      <c r="K3492" t="inlineStr">
        <is>
          <t>USN</t>
        </is>
      </c>
      <c r="L3492" t="inlineStr">
        <is>
          <t>Combatant Ships</t>
        </is>
      </c>
      <c r="M3492" t="inlineStr">
        <is>
          <t>Submarines</t>
        </is>
      </c>
      <c r="S3492" t="n">
        <v>42374</v>
      </c>
      <c r="U3492" t="n">
        <v>42374</v>
      </c>
      <c r="AC3492">
        <f>IF(OR(E3492="",E3492="[PARENT]"),"ADD",IF(E3492="[ALT_VIEW]","ALT",""))</f>
        <v/>
      </c>
      <c r="AD3492">
        <f>IF(Y3492&lt;&gt;"",Y3492,IF(U3492&lt;&gt;"",U3492,S3492))</f>
        <v/>
      </c>
      <c r="AE3492">
        <f>IF(AB3492&lt;&gt;"",AB3492,Z3492)</f>
        <v/>
      </c>
      <c r="AF3492" t="inlineStr">
        <is>
          <t>P-40a Cost Analysis &gt; OPN_BA2 LI 2150 &gt; SA202 Production/Engineering Support</t>
        </is>
      </c>
      <c r="AJ3492" t="inlineStr">
        <is>
          <t>Production/Engineering Support</t>
        </is>
      </c>
    </row>
    <row r="3493">
      <c r="A3493" t="inlineStr">
        <is>
          <t>OPN_BA2</t>
        </is>
      </c>
      <c r="B3493" t="inlineStr">
        <is>
          <t>Procurement</t>
        </is>
      </c>
      <c r="D3493" t="inlineStr">
        <is>
          <t>SSN Acoustic Equipment - P-40a - COTS Supportability Upgrades</t>
        </is>
      </c>
      <c r="E3493" t="inlineStr">
        <is>
          <t>[ALT_VIEW]</t>
        </is>
      </c>
      <c r="F3493" t="inlineStr">
        <is>
          <t>2150 / SSN Acoustic Equipment</t>
        </is>
      </c>
      <c r="G3493" t="inlineStr">
        <is>
          <t>P-40a</t>
        </is>
      </c>
      <c r="H3493" t="inlineStr">
        <is>
          <t>Recurring</t>
        </is>
      </c>
      <c r="I3493" t="n">
        <v>4</v>
      </c>
      <c r="K3493" t="inlineStr">
        <is>
          <t>USN</t>
        </is>
      </c>
      <c r="L3493" t="inlineStr">
        <is>
          <t>Combatant Ships</t>
        </is>
      </c>
      <c r="M3493" t="inlineStr">
        <is>
          <t>Submarines</t>
        </is>
      </c>
      <c r="S3493" t="n">
        <v>74582</v>
      </c>
      <c r="U3493" t="n">
        <v>74582</v>
      </c>
      <c r="AC3493">
        <f>IF(OR(E3493="",E3493="[PARENT]"),"ADD",IF(E3493="[ALT_VIEW]","ALT",""))</f>
        <v/>
      </c>
      <c r="AD3493">
        <f>IF(Y3493&lt;&gt;"",Y3493,IF(U3493&lt;&gt;"",U3493,S3493))</f>
        <v/>
      </c>
      <c r="AE3493">
        <f>IF(AB3493&lt;&gt;"",AB3493,Z3493)</f>
        <v/>
      </c>
      <c r="AF3493" t="inlineStr">
        <is>
          <t>P-40a Cost Analysis &gt; OPN_BA2 LI 2150 &gt; SA303 COTS Supportability Upgrades</t>
        </is>
      </c>
      <c r="AJ3493" t="inlineStr">
        <is>
          <t>COTS Supportability Upgrades</t>
        </is>
      </c>
    </row>
    <row r="3494">
      <c r="A3494" t="inlineStr">
        <is>
          <t>OPN_BA2</t>
        </is>
      </c>
      <c r="B3494" t="inlineStr">
        <is>
          <t>Procurement</t>
        </is>
      </c>
      <c r="D3494" t="inlineStr">
        <is>
          <t>SSN Acoustic Equipment - P-40a - Initial Training</t>
        </is>
      </c>
      <c r="E3494" t="inlineStr">
        <is>
          <t>[ALT_VIEW]</t>
        </is>
      </c>
      <c r="F3494" t="inlineStr">
        <is>
          <t>2150 / SSN Acoustic Equipment</t>
        </is>
      </c>
      <c r="G3494" t="inlineStr">
        <is>
          <t>P-40a</t>
        </is>
      </c>
      <c r="H3494" t="inlineStr">
        <is>
          <t>Support</t>
        </is>
      </c>
      <c r="I3494" t="n">
        <v>4</v>
      </c>
      <c r="K3494" t="inlineStr">
        <is>
          <t>USN</t>
        </is>
      </c>
      <c r="L3494" t="inlineStr">
        <is>
          <t>Combatant Ships</t>
        </is>
      </c>
      <c r="M3494" t="inlineStr">
        <is>
          <t>Submarines</t>
        </is>
      </c>
      <c r="S3494" t="n">
        <v>2920</v>
      </c>
      <c r="U3494" t="n">
        <v>2920</v>
      </c>
      <c r="AC3494">
        <f>IF(OR(E3494="",E3494="[PARENT]"),"ADD",IF(E3494="[ALT_VIEW]","ALT",""))</f>
        <v/>
      </c>
      <c r="AD3494">
        <f>IF(Y3494&lt;&gt;"",Y3494,IF(U3494&lt;&gt;"",U3494,S3494))</f>
        <v/>
      </c>
      <c r="AE3494">
        <f>IF(AB3494&lt;&gt;"",AB3494,Z3494)</f>
        <v/>
      </c>
      <c r="AF3494" t="inlineStr">
        <is>
          <t>P-40a Cost Analysis &gt; OPN_BA2 LI 2150 &gt; SA401 Initial Training</t>
        </is>
      </c>
      <c r="AJ3494" t="inlineStr">
        <is>
          <t>Initial Training</t>
        </is>
      </c>
    </row>
    <row r="3495">
      <c r="A3495" t="inlineStr">
        <is>
          <t>OPN_BA2</t>
        </is>
      </c>
      <c r="B3495" t="inlineStr">
        <is>
          <t>Procurement</t>
        </is>
      </c>
      <c r="D3495" t="inlineStr">
        <is>
          <t>AN/SLQ-32 - P-5a - SEWIP Block 1B2</t>
        </is>
      </c>
      <c r="E3495" t="inlineStr">
        <is>
          <t>[ALT_VIEW]</t>
        </is>
      </c>
      <c r="F3495" t="inlineStr">
        <is>
          <t>2312 / AN/SLQ-32</t>
        </is>
      </c>
      <c r="G3495" t="inlineStr">
        <is>
          <t>P-5a</t>
        </is>
      </c>
      <c r="H3495" t="inlineStr">
        <is>
          <t>Recurring</t>
        </is>
      </c>
      <c r="I3495" t="n">
        <v>4</v>
      </c>
      <c r="S3495" t="n">
        <v>1271</v>
      </c>
      <c r="U3495" t="n">
        <v>1271</v>
      </c>
      <c r="AC3495">
        <f>IF(OR(E3495="",E3495="[PARENT]"),"ADD",IF(E3495="[ALT_VIEW]","ALT",""))</f>
        <v/>
      </c>
      <c r="AD3495">
        <f>IF(Y3495&lt;&gt;"",Y3495,IF(U3495&lt;&gt;"",U3495,S3495))</f>
        <v/>
      </c>
      <c r="AE3495">
        <f>IF(AB3495&lt;&gt;"",AB3495,Z3495)</f>
        <v/>
      </c>
      <c r="AF3495" t="inlineStr">
        <is>
          <t>P-5a Cost Analysis &gt; OPN_BA2 LI 2312 &gt; TC959 SEWIP Block 1B2</t>
        </is>
      </c>
      <c r="AJ3495" t="inlineStr">
        <is>
          <t>SEWIP Block 1B2</t>
        </is>
      </c>
    </row>
    <row r="3496">
      <c r="A3496" t="inlineStr">
        <is>
          <t>OPN_BA2</t>
        </is>
      </c>
      <c r="B3496" t="inlineStr">
        <is>
          <t>Procurement</t>
        </is>
      </c>
      <c r="D3496" t="inlineStr">
        <is>
          <t>AN/SLQ-32 - P-5a - SEWIP Block 2 Lite</t>
        </is>
      </c>
      <c r="E3496" t="inlineStr">
        <is>
          <t>[ALT_VIEW]</t>
        </is>
      </c>
      <c r="F3496" t="inlineStr">
        <is>
          <t>2312 / AN/SLQ-32</t>
        </is>
      </c>
      <c r="G3496" t="inlineStr">
        <is>
          <t>P-5a</t>
        </is>
      </c>
      <c r="H3496" t="inlineStr">
        <is>
          <t>Recurring</t>
        </is>
      </c>
      <c r="I3496" t="n">
        <v>4</v>
      </c>
      <c r="S3496" t="n">
        <v>15630</v>
      </c>
      <c r="U3496" t="n">
        <v>15630</v>
      </c>
      <c r="AC3496">
        <f>IF(OR(E3496="",E3496="[PARENT]"),"ADD",IF(E3496="[ALT_VIEW]","ALT",""))</f>
        <v/>
      </c>
      <c r="AD3496">
        <f>IF(Y3496&lt;&gt;"",Y3496,IF(U3496&lt;&gt;"",U3496,S3496))</f>
        <v/>
      </c>
      <c r="AE3496">
        <f>IF(AB3496&lt;&gt;"",AB3496,Z3496)</f>
        <v/>
      </c>
      <c r="AF3496" t="inlineStr">
        <is>
          <t>P-5a Cost Analysis &gt; OPN_BA2 LI 2312 &gt; TC959 SEWIP Block 2 Lite</t>
        </is>
      </c>
      <c r="AJ3496" t="inlineStr">
        <is>
          <t>SEWIP Block 2 Lite</t>
        </is>
      </c>
    </row>
    <row r="3497">
      <c r="A3497" t="inlineStr">
        <is>
          <t>OPN_BA2</t>
        </is>
      </c>
      <c r="B3497" t="inlineStr">
        <is>
          <t>Procurement</t>
        </is>
      </c>
      <c r="D3497" t="inlineStr">
        <is>
          <t>AN/SLQ-32 - P-5a - SEWIP CPS and CDS for Lite</t>
        </is>
      </c>
      <c r="E3497" t="inlineStr">
        <is>
          <t>[ALT_VIEW]</t>
        </is>
      </c>
      <c r="F3497" t="inlineStr">
        <is>
          <t>2312 / AN/SLQ-32</t>
        </is>
      </c>
      <c r="G3497" t="inlineStr">
        <is>
          <t>P-5a</t>
        </is>
      </c>
      <c r="H3497" t="inlineStr">
        <is>
          <t>Recurring</t>
        </is>
      </c>
      <c r="I3497" t="n">
        <v>4</v>
      </c>
      <c r="S3497" t="n">
        <v>1545</v>
      </c>
      <c r="U3497" t="n">
        <v>1545</v>
      </c>
      <c r="AC3497">
        <f>IF(OR(E3497="",E3497="[PARENT]"),"ADD",IF(E3497="[ALT_VIEW]","ALT",""))</f>
        <v/>
      </c>
      <c r="AD3497">
        <f>IF(Y3497&lt;&gt;"",Y3497,IF(U3497&lt;&gt;"",U3497,S3497))</f>
        <v/>
      </c>
      <c r="AE3497">
        <f>IF(AB3497&lt;&gt;"",AB3497,Z3497)</f>
        <v/>
      </c>
      <c r="AF3497" t="inlineStr">
        <is>
          <t>P-5a Cost Analysis &gt; OPN_BA2 LI 2312 &gt; TC959 SEWIP CPS and CDS for Lite</t>
        </is>
      </c>
      <c r="AJ3497" t="inlineStr">
        <is>
          <t>SEWIP CPS and CDS for Lite</t>
        </is>
      </c>
    </row>
    <row r="3498">
      <c r="A3498" t="inlineStr">
        <is>
          <t>OPN_BA2</t>
        </is>
      </c>
      <c r="B3498" t="inlineStr">
        <is>
          <t>Procurement</t>
        </is>
      </c>
      <c r="D3498" t="inlineStr">
        <is>
          <t>AN/SLQ-32 - P-5a - SEWIP Production Support + ECPs + Spares</t>
        </is>
      </c>
      <c r="E3498" t="inlineStr">
        <is>
          <t>[ALT_VIEW]</t>
        </is>
      </c>
      <c r="F3498" t="inlineStr">
        <is>
          <t>2312 / AN/SLQ-32</t>
        </is>
      </c>
      <c r="G3498" t="inlineStr">
        <is>
          <t>P-5a</t>
        </is>
      </c>
      <c r="H3498" t="inlineStr">
        <is>
          <t>Support</t>
        </is>
      </c>
      <c r="I3498" t="n">
        <v>4</v>
      </c>
      <c r="S3498" t="n">
        <v>2934</v>
      </c>
      <c r="U3498" t="n">
        <v>2934</v>
      </c>
      <c r="AC3498">
        <f>IF(OR(E3498="",E3498="[PARENT]"),"ADD",IF(E3498="[ALT_VIEW]","ALT",""))</f>
        <v/>
      </c>
      <c r="AD3498">
        <f>IF(Y3498&lt;&gt;"",Y3498,IF(U3498&lt;&gt;"",U3498,S3498))</f>
        <v/>
      </c>
      <c r="AE3498">
        <f>IF(AB3498&lt;&gt;"",AB3498,Z3498)</f>
        <v/>
      </c>
      <c r="AF3498" t="inlineStr">
        <is>
          <t>P-5a Cost Analysis &gt; OPN_BA2 LI 2312 &gt; TC959 SEWIP Production Support + ECPs + Spares</t>
        </is>
      </c>
      <c r="AJ3498" t="inlineStr">
        <is>
          <t>SEWIP Production Support + ECPs + Spares</t>
        </is>
      </c>
    </row>
    <row r="3499">
      <c r="A3499" t="inlineStr">
        <is>
          <t>OPN_BA2</t>
        </is>
      </c>
      <c r="B3499" t="inlineStr">
        <is>
          <t>Procurement</t>
        </is>
      </c>
      <c r="D3499" t="inlineStr">
        <is>
          <t>AN/SLQ-32 - P-5a - Solid State PSI - High Band Transmit/Receive</t>
        </is>
      </c>
      <c r="E3499" t="inlineStr">
        <is>
          <t>[ALT_VIEW]</t>
        </is>
      </c>
      <c r="F3499" t="inlineStr">
        <is>
          <t>2312 / AN/SLQ-32</t>
        </is>
      </c>
      <c r="G3499" t="inlineStr">
        <is>
          <t>P-5a</t>
        </is>
      </c>
      <c r="H3499" t="inlineStr">
        <is>
          <t>Recurring</t>
        </is>
      </c>
      <c r="I3499" t="n">
        <v>4</v>
      </c>
      <c r="S3499" t="n">
        <v>875</v>
      </c>
      <c r="U3499" t="n">
        <v>875</v>
      </c>
      <c r="AC3499">
        <f>IF(OR(E3499="",E3499="[PARENT]"),"ADD",IF(E3499="[ALT_VIEW]","ALT",""))</f>
        <v/>
      </c>
      <c r="AD3499">
        <f>IF(Y3499&lt;&gt;"",Y3499,IF(U3499&lt;&gt;"",U3499,S3499))</f>
        <v/>
      </c>
      <c r="AE3499">
        <f>IF(AB3499&lt;&gt;"",AB3499,Z3499)</f>
        <v/>
      </c>
      <c r="AF3499" t="inlineStr">
        <is>
          <t>P-5a Cost Analysis &gt; OPN_BA2 LI 2312 &gt; TC961 Solid State PSI - High Band Transmit/Receive</t>
        </is>
      </c>
      <c r="AJ3499" t="inlineStr">
        <is>
          <t>Solid State PSI - High Band Transmit/Receive</t>
        </is>
      </c>
    </row>
    <row r="3500">
      <c r="A3500" t="inlineStr">
        <is>
          <t>OPN_BA2</t>
        </is>
      </c>
      <c r="B3500" t="inlineStr">
        <is>
          <t>Procurement</t>
        </is>
      </c>
      <c r="D3500" t="inlineStr">
        <is>
          <t>AN/SLQ-32 - P-5a - Solid State PSI - Engineering Support</t>
        </is>
      </c>
      <c r="E3500" t="inlineStr">
        <is>
          <t>[ALT_VIEW]</t>
        </is>
      </c>
      <c r="F3500" t="inlineStr">
        <is>
          <t>2312 / AN/SLQ-32</t>
        </is>
      </c>
      <c r="G3500" t="inlineStr">
        <is>
          <t>P-5a</t>
        </is>
      </c>
      <c r="H3500" t="inlineStr">
        <is>
          <t>Support</t>
        </is>
      </c>
      <c r="I3500" t="n">
        <v>4</v>
      </c>
      <c r="S3500" t="n">
        <v>1284</v>
      </c>
      <c r="U3500" t="n">
        <v>1284</v>
      </c>
      <c r="AC3500">
        <f>IF(OR(E3500="",E3500="[PARENT]"),"ADD",IF(E3500="[ALT_VIEW]","ALT",""))</f>
        <v/>
      </c>
      <c r="AD3500">
        <f>IF(Y3500&lt;&gt;"",Y3500,IF(U3500&lt;&gt;"",U3500,S3500))</f>
        <v/>
      </c>
      <c r="AE3500">
        <f>IF(AB3500&lt;&gt;"",AB3500,Z3500)</f>
        <v/>
      </c>
      <c r="AF3500" t="inlineStr">
        <is>
          <t>P-5a Cost Analysis &gt; OPN_BA2 LI 2312 &gt; TC961 Solid State PSI - Engineering Support</t>
        </is>
      </c>
      <c r="AJ3500" t="inlineStr">
        <is>
          <t>Solid State PSI - Engineering Support</t>
        </is>
      </c>
    </row>
    <row r="3501">
      <c r="A3501" t="inlineStr">
        <is>
          <t>OPN_BA2</t>
        </is>
      </c>
      <c r="B3501" t="inlineStr">
        <is>
          <t>Procurement</t>
        </is>
      </c>
      <c r="D3501" t="inlineStr">
        <is>
          <t>AN/SLQ-32 - P-5a - RMA/INT Kit Procurement (no install)</t>
        </is>
      </c>
      <c r="E3501" t="inlineStr">
        <is>
          <t>[ALT_VIEW]</t>
        </is>
      </c>
      <c r="F3501" t="inlineStr">
        <is>
          <t>2312 / AN/SLQ-32</t>
        </is>
      </c>
      <c r="G3501" t="inlineStr">
        <is>
          <t>P-5a</t>
        </is>
      </c>
      <c r="H3501" t="inlineStr">
        <is>
          <t>Recurring</t>
        </is>
      </c>
      <c r="I3501" t="n">
        <v>4</v>
      </c>
      <c r="S3501" t="n">
        <v>5160</v>
      </c>
      <c r="U3501" t="n">
        <v>5160</v>
      </c>
      <c r="AC3501">
        <f>IF(OR(E3501="",E3501="[PARENT]"),"ADD",IF(E3501="[ALT_VIEW]","ALT",""))</f>
        <v/>
      </c>
      <c r="AD3501">
        <f>IF(Y3501&lt;&gt;"",Y3501,IF(U3501&lt;&gt;"",U3501,S3501))</f>
        <v/>
      </c>
      <c r="AE3501">
        <f>IF(AB3501&lt;&gt;"",AB3501,Z3501)</f>
        <v/>
      </c>
      <c r="AF3501" t="inlineStr">
        <is>
          <t>P-5a Cost Analysis &gt; OPN_BA2 LI 2312 &gt; TC962 RMA/INT Kit Procurement (no install)</t>
        </is>
      </c>
      <c r="AJ3501" t="inlineStr">
        <is>
          <t>RMA/INT Kit Procurement (no install)</t>
        </is>
      </c>
    </row>
    <row r="3502">
      <c r="A3502" t="inlineStr">
        <is>
          <t>OPN_BA2</t>
        </is>
      </c>
      <c r="B3502" t="inlineStr">
        <is>
          <t>Procurement</t>
        </is>
      </c>
      <c r="D3502" t="inlineStr">
        <is>
          <t>AN/SLQ-32 - P-5a - Environmental Kit Procurement (no install)</t>
        </is>
      </c>
      <c r="E3502" t="inlineStr">
        <is>
          <t>[ALT_VIEW]</t>
        </is>
      </c>
      <c r="F3502" t="inlineStr">
        <is>
          <t>2312 / AN/SLQ-32</t>
        </is>
      </c>
      <c r="G3502" t="inlineStr">
        <is>
          <t>P-5a</t>
        </is>
      </c>
      <c r="H3502" t="inlineStr">
        <is>
          <t>Recurring</t>
        </is>
      </c>
      <c r="I3502" t="n">
        <v>4</v>
      </c>
      <c r="S3502" t="n">
        <v>849</v>
      </c>
      <c r="U3502" t="n">
        <v>849</v>
      </c>
      <c r="AC3502">
        <f>IF(OR(E3502="",E3502="[PARENT]"),"ADD",IF(E3502="[ALT_VIEW]","ALT",""))</f>
        <v/>
      </c>
      <c r="AD3502">
        <f>IF(Y3502&lt;&gt;"",Y3502,IF(U3502&lt;&gt;"",U3502,S3502))</f>
        <v/>
      </c>
      <c r="AE3502">
        <f>IF(AB3502&lt;&gt;"",AB3502,Z3502)</f>
        <v/>
      </c>
      <c r="AF3502" t="inlineStr">
        <is>
          <t>P-5a Cost Analysis &gt; OPN_BA2 LI 2312 &gt; TC962 Environmental Kit Procurement (no install)</t>
        </is>
      </c>
      <c r="AJ3502" t="inlineStr">
        <is>
          <t>Environmental Kit Procurement (no install)</t>
        </is>
      </c>
    </row>
    <row r="3503">
      <c r="A3503" t="inlineStr">
        <is>
          <t>OPN_BA2</t>
        </is>
      </c>
      <c r="B3503" t="inlineStr">
        <is>
          <t>Procurement</t>
        </is>
      </c>
      <c r="D3503" t="inlineStr">
        <is>
          <t>AN/SLQ-32 - P-5a - Obsolescence Kit Procurement (no install)</t>
        </is>
      </c>
      <c r="E3503" t="inlineStr">
        <is>
          <t>[ALT_VIEW]</t>
        </is>
      </c>
      <c r="F3503" t="inlineStr">
        <is>
          <t>2312 / AN/SLQ-32</t>
        </is>
      </c>
      <c r="G3503" t="inlineStr">
        <is>
          <t>P-5a</t>
        </is>
      </c>
      <c r="H3503" t="inlineStr">
        <is>
          <t>Recurring</t>
        </is>
      </c>
      <c r="I3503" t="n">
        <v>4</v>
      </c>
      <c r="S3503" t="n">
        <v>8240</v>
      </c>
      <c r="U3503" t="n">
        <v>8240</v>
      </c>
      <c r="AC3503">
        <f>IF(OR(E3503="",E3503="[PARENT]"),"ADD",IF(E3503="[ALT_VIEW]","ALT",""))</f>
        <v/>
      </c>
      <c r="AD3503">
        <f>IF(Y3503&lt;&gt;"",Y3503,IF(U3503&lt;&gt;"",U3503,S3503))</f>
        <v/>
      </c>
      <c r="AE3503">
        <f>IF(AB3503&lt;&gt;"",AB3503,Z3503)</f>
        <v/>
      </c>
      <c r="AF3503" t="inlineStr">
        <is>
          <t>P-5a Cost Analysis &gt; OPN_BA2 LI 2312 &gt; TC962 Obsolescence Kit Procurement (no install)</t>
        </is>
      </c>
      <c r="AJ3503" t="inlineStr">
        <is>
          <t>Obsolescence Kit Procurement (no install)</t>
        </is>
      </c>
    </row>
    <row r="3504">
      <c r="A3504" t="inlineStr">
        <is>
          <t>OPN_BA2</t>
        </is>
      </c>
      <c r="B3504" t="inlineStr">
        <is>
          <t>Procurement</t>
        </is>
      </c>
      <c r="D3504" t="inlineStr">
        <is>
          <t>AN/SLQ-32 - P-5a - AAPA Kit Procurement</t>
        </is>
      </c>
      <c r="E3504" t="inlineStr">
        <is>
          <t>[ALT_VIEW]</t>
        </is>
      </c>
      <c r="F3504" t="inlineStr">
        <is>
          <t>2312 / AN/SLQ-32</t>
        </is>
      </c>
      <c r="G3504" t="inlineStr">
        <is>
          <t>P-5a</t>
        </is>
      </c>
      <c r="H3504" t="inlineStr">
        <is>
          <t>Recurring</t>
        </is>
      </c>
      <c r="I3504" t="n">
        <v>4</v>
      </c>
      <c r="S3504" t="n">
        <v>38676</v>
      </c>
      <c r="U3504" t="n">
        <v>38676</v>
      </c>
      <c r="AC3504">
        <f>IF(OR(E3504="",E3504="[PARENT]"),"ADD",IF(E3504="[ALT_VIEW]","ALT",""))</f>
        <v/>
      </c>
      <c r="AD3504">
        <f>IF(Y3504&lt;&gt;"",Y3504,IF(U3504&lt;&gt;"",U3504,S3504))</f>
        <v/>
      </c>
      <c r="AE3504">
        <f>IF(AB3504&lt;&gt;"",AB3504,Z3504)</f>
        <v/>
      </c>
      <c r="AF3504" t="inlineStr">
        <is>
          <t>P-5a Cost Analysis &gt; OPN_BA2 LI 2312 &gt; TC962 AAPA Kit Procurement</t>
        </is>
      </c>
      <c r="AJ3504" t="inlineStr">
        <is>
          <t>AAPA Kit Procurement</t>
        </is>
      </c>
    </row>
    <row r="3505">
      <c r="A3505" t="inlineStr">
        <is>
          <t>OPN_BA2</t>
        </is>
      </c>
      <c r="B3505" t="inlineStr">
        <is>
          <t>Procurement</t>
        </is>
      </c>
      <c r="D3505" t="inlineStr">
        <is>
          <t>AN/SLQ-32 - P-5a - AN/SLQ-32(V)6 Test Sets</t>
        </is>
      </c>
      <c r="E3505" t="inlineStr">
        <is>
          <t>[ALT_VIEW]</t>
        </is>
      </c>
      <c r="F3505" t="inlineStr">
        <is>
          <t>2312 / AN/SLQ-32</t>
        </is>
      </c>
      <c r="G3505" t="inlineStr">
        <is>
          <t>P-5a</t>
        </is>
      </c>
      <c r="H3505" t="inlineStr">
        <is>
          <t>Recurring</t>
        </is>
      </c>
      <c r="I3505" t="n">
        <v>4</v>
      </c>
      <c r="S3505" t="n">
        <v>6899</v>
      </c>
      <c r="U3505" t="n">
        <v>6899</v>
      </c>
      <c r="AC3505">
        <f>IF(OR(E3505="",E3505="[PARENT]"),"ADD",IF(E3505="[ALT_VIEW]","ALT",""))</f>
        <v/>
      </c>
      <c r="AD3505">
        <f>IF(Y3505&lt;&gt;"",Y3505,IF(U3505&lt;&gt;"",U3505,S3505))</f>
        <v/>
      </c>
      <c r="AE3505">
        <f>IF(AB3505&lt;&gt;"",AB3505,Z3505)</f>
        <v/>
      </c>
      <c r="AF3505" t="inlineStr">
        <is>
          <t>P-5a Cost Analysis &gt; OPN_BA2 LI 2312 &gt; TC963 AN/SLQ-32(V)6 Test Sets</t>
        </is>
      </c>
      <c r="AJ3505" t="inlineStr">
        <is>
          <t>AN/SLQ-32(V)6 Test Sets</t>
        </is>
      </c>
    </row>
    <row r="3506">
      <c r="A3506" t="inlineStr">
        <is>
          <t>OPN_BA2</t>
        </is>
      </c>
      <c r="B3506" t="inlineStr">
        <is>
          <t>Procurement</t>
        </is>
      </c>
      <c r="D3506" t="inlineStr">
        <is>
          <t>AN/SLQ-32 - P-5a - AN/SLQ-32(V)7 Test Sets</t>
        </is>
      </c>
      <c r="E3506" t="inlineStr">
        <is>
          <t>[ALT_VIEW]</t>
        </is>
      </c>
      <c r="F3506" t="inlineStr">
        <is>
          <t>2312 / AN/SLQ-32</t>
        </is>
      </c>
      <c r="G3506" t="inlineStr">
        <is>
          <t>P-5a</t>
        </is>
      </c>
      <c r="H3506" t="inlineStr">
        <is>
          <t>Recurring</t>
        </is>
      </c>
      <c r="I3506" t="n">
        <v>4</v>
      </c>
      <c r="S3506" t="n">
        <v>7058</v>
      </c>
      <c r="U3506" t="n">
        <v>7058</v>
      </c>
      <c r="AC3506">
        <f>IF(OR(E3506="",E3506="[PARENT]"),"ADD",IF(E3506="[ALT_VIEW]","ALT",""))</f>
        <v/>
      </c>
      <c r="AD3506">
        <f>IF(Y3506&lt;&gt;"",Y3506,IF(U3506&lt;&gt;"",U3506,S3506))</f>
        <v/>
      </c>
      <c r="AE3506">
        <f>IF(AB3506&lt;&gt;"",AB3506,Z3506)</f>
        <v/>
      </c>
      <c r="AF3506" t="inlineStr">
        <is>
          <t>P-5a Cost Analysis &gt; OPN_BA2 LI 2312 &gt; TC963 AN/SLQ-32(V)7 Test Sets</t>
        </is>
      </c>
      <c r="AJ3506" t="inlineStr">
        <is>
          <t>AN/SLQ-32(V)7 Test Sets</t>
        </is>
      </c>
    </row>
    <row r="3507">
      <c r="A3507" t="inlineStr">
        <is>
          <t>OPN_BA2</t>
        </is>
      </c>
      <c r="B3507" t="inlineStr">
        <is>
          <t>Procurement</t>
        </is>
      </c>
      <c r="D3507" t="inlineStr">
        <is>
          <t>AN/SLQ-32 - P-5a - SLQ-32(V)7 EA Characterization Test Set</t>
        </is>
      </c>
      <c r="E3507" t="inlineStr">
        <is>
          <t>[ALT_VIEW]</t>
        </is>
      </c>
      <c r="F3507" t="inlineStr">
        <is>
          <t>2312 / AN/SLQ-32</t>
        </is>
      </c>
      <c r="G3507" t="inlineStr">
        <is>
          <t>P-5a</t>
        </is>
      </c>
      <c r="H3507" t="inlineStr">
        <is>
          <t>Recurring</t>
        </is>
      </c>
      <c r="I3507" t="n">
        <v>4</v>
      </c>
      <c r="S3507" t="n">
        <v>12012</v>
      </c>
      <c r="U3507" t="n">
        <v>12012</v>
      </c>
      <c r="AC3507">
        <f>IF(OR(E3507="",E3507="[PARENT]"),"ADD",IF(E3507="[ALT_VIEW]","ALT",""))</f>
        <v/>
      </c>
      <c r="AD3507">
        <f>IF(Y3507&lt;&gt;"",Y3507,IF(U3507&lt;&gt;"",U3507,S3507))</f>
        <v/>
      </c>
      <c r="AE3507">
        <f>IF(AB3507&lt;&gt;"",AB3507,Z3507)</f>
        <v/>
      </c>
      <c r="AF3507" t="inlineStr">
        <is>
          <t>P-5a Cost Analysis &gt; OPN_BA2 LI 2312 &gt; TC963 SLQ-32(V)7 EA Characterization Test Set</t>
        </is>
      </c>
      <c r="AJ3507" t="inlineStr">
        <is>
          <t>SLQ-32(V)7 EA Characterization Test Set</t>
        </is>
      </c>
    </row>
    <row r="3508">
      <c r="A3508" t="inlineStr">
        <is>
          <t>OPN_BA2</t>
        </is>
      </c>
      <c r="B3508" t="inlineStr">
        <is>
          <t>Procurement</t>
        </is>
      </c>
      <c r="D3508" t="inlineStr">
        <is>
          <t>AN/SLQ-32 - P-5a - NRE (RMA/INT + Environmental + Obsolescence)</t>
        </is>
      </c>
      <c r="E3508" t="inlineStr">
        <is>
          <t>[ALT_VIEW]</t>
        </is>
      </c>
      <c r="F3508" t="inlineStr">
        <is>
          <t>2312 / AN/SLQ-32</t>
        </is>
      </c>
      <c r="G3508" t="inlineStr">
        <is>
          <t>P-5a</t>
        </is>
      </c>
      <c r="H3508" t="inlineStr">
        <is>
          <t>Non-Recurring</t>
        </is>
      </c>
      <c r="I3508" t="n">
        <v>4</v>
      </c>
      <c r="S3508" t="n">
        <v>7767</v>
      </c>
      <c r="U3508" t="n">
        <v>7767</v>
      </c>
      <c r="AC3508">
        <f>IF(OR(E3508="",E3508="[PARENT]"),"ADD",IF(E3508="[ALT_VIEW]","ALT",""))</f>
        <v/>
      </c>
      <c r="AD3508">
        <f>IF(Y3508&lt;&gt;"",Y3508,IF(U3508&lt;&gt;"",U3508,S3508))</f>
        <v/>
      </c>
      <c r="AE3508">
        <f>IF(AB3508&lt;&gt;"",AB3508,Z3508)</f>
        <v/>
      </c>
      <c r="AF3508" t="inlineStr">
        <is>
          <t>P-5a Cost Analysis &gt; OPN_BA2 LI 2312 &gt; TC962-NRE NRE (RMA/INT + Environmental + Obsolescence)</t>
        </is>
      </c>
      <c r="AJ3508" t="inlineStr">
        <is>
          <t>NRE (RMA/INT + Environmental + Obsolescence)</t>
        </is>
      </c>
    </row>
    <row r="3509">
      <c r="A3509" t="inlineStr">
        <is>
          <t>OPN_BA2</t>
        </is>
      </c>
      <c r="B3509" t="inlineStr">
        <is>
          <t>Procurement</t>
        </is>
      </c>
      <c r="D3509" t="inlineStr">
        <is>
          <t>Shipboard IW Exploit - P-5 1 / Shipboard IW Exploit - Information Warfare (IW) Training Equipment</t>
        </is>
      </c>
      <c r="E3509" t="inlineStr">
        <is>
          <t>[ALT_VIEW]</t>
        </is>
      </c>
      <c r="F3509" t="inlineStr">
        <is>
          <t>2360 / Shipboard IW Exploit</t>
        </is>
      </c>
      <c r="G3509" t="inlineStr">
        <is>
          <t>P-5</t>
        </is>
      </c>
      <c r="H3509" t="inlineStr">
        <is>
          <t>Recurring</t>
        </is>
      </c>
      <c r="I3509" t="n">
        <v>4</v>
      </c>
      <c r="Q3509" t="n">
        <v>3421</v>
      </c>
      <c r="S3509" t="n">
        <v>3492</v>
      </c>
      <c r="U3509" t="n">
        <v>3492</v>
      </c>
      <c r="AC3509">
        <f>IF(OR(E3509="",E3509="[PARENT]"),"ADD",IF(E3509="[ALT_VIEW]","ALT",""))</f>
        <v/>
      </c>
      <c r="AD3509">
        <f>IF(Y3509&lt;&gt;"",Y3509,IF(U3509&lt;&gt;"",U3509,S3509))</f>
        <v/>
      </c>
      <c r="AE3509">
        <f>IF(AB3509&lt;&gt;"",AB3509,Z3509)</f>
        <v/>
      </c>
      <c r="AF3509" t="inlineStr">
        <is>
          <t>P-5 Cost Analysis &gt; OPN_BA2 LI 2360 &gt; 2.1.1 Information Warfare (IW) Training Equipment</t>
        </is>
      </c>
      <c r="AJ3509" t="inlineStr">
        <is>
          <t>Information Warfare (IW) Training Equipment</t>
        </is>
      </c>
    </row>
    <row r="3510">
      <c r="A3510" t="inlineStr">
        <is>
          <t>OPN_BA2</t>
        </is>
      </c>
      <c r="B3510" t="inlineStr">
        <is>
          <t>Procurement</t>
        </is>
      </c>
      <c r="D3510" t="inlineStr">
        <is>
          <t>Shipboard IW Exploit - P-5 1 / Shipboard IW Exploit - CCOP Systems &amp; Subsystems</t>
        </is>
      </c>
      <c r="E3510" t="inlineStr">
        <is>
          <t>[ALT_VIEW]</t>
        </is>
      </c>
      <c r="F3510" t="inlineStr">
        <is>
          <t>2360 / Shipboard IW Exploit</t>
        </is>
      </c>
      <c r="G3510" t="inlineStr">
        <is>
          <t>P-5</t>
        </is>
      </c>
      <c r="H3510" t="inlineStr">
        <is>
          <t>Recurring</t>
        </is>
      </c>
      <c r="I3510" t="n">
        <v>4</v>
      </c>
      <c r="S3510" t="n">
        <v>7144</v>
      </c>
      <c r="U3510" t="n">
        <v>7144</v>
      </c>
      <c r="AC3510">
        <f>IF(OR(E3510="",E3510="[PARENT]"),"ADD",IF(E3510="[ALT_VIEW]","ALT",""))</f>
        <v/>
      </c>
      <c r="AD3510">
        <f>IF(Y3510&lt;&gt;"",Y3510,IF(U3510&lt;&gt;"",U3510,S3510))</f>
        <v/>
      </c>
      <c r="AE3510">
        <f>IF(AB3510&lt;&gt;"",AB3510,Z3510)</f>
        <v/>
      </c>
      <c r="AF3510" t="inlineStr">
        <is>
          <t>P-5 Cost Analysis &gt; OPN_BA2 LI 2360 &gt; 6.1.1 CCOP Systems &amp; Subsystems</t>
        </is>
      </c>
      <c r="AJ3510" t="inlineStr">
        <is>
          <t>CCOP Systems &amp; Subsystems</t>
        </is>
      </c>
    </row>
    <row r="3511">
      <c r="A3511" t="inlineStr">
        <is>
          <t>OPN_BA2</t>
        </is>
      </c>
      <c r="B3511" t="inlineStr">
        <is>
          <t>Procurement</t>
        </is>
      </c>
      <c r="D3511" t="inlineStr">
        <is>
          <t>Shipboard IW Exploit - P-5 1 / Shipboard IW Exploit - Support + Installation</t>
        </is>
      </c>
      <c r="E3511" t="inlineStr">
        <is>
          <t>[ALT_VIEW]</t>
        </is>
      </c>
      <c r="F3511" t="inlineStr">
        <is>
          <t>2360 / Shipboard IW Exploit</t>
        </is>
      </c>
      <c r="G3511" t="inlineStr">
        <is>
          <t>P-5</t>
        </is>
      </c>
      <c r="H3511" t="inlineStr">
        <is>
          <t>Support</t>
        </is>
      </c>
      <c r="I3511" t="n">
        <v>4</v>
      </c>
      <c r="S3511" t="n">
        <v>638</v>
      </c>
      <c r="U3511" t="n">
        <v>638</v>
      </c>
      <c r="AC3511">
        <f>IF(OR(E3511="",E3511="[PARENT]"),"ADD",IF(E3511="[ALT_VIEW]","ALT",""))</f>
        <v/>
      </c>
      <c r="AD3511">
        <f>IF(Y3511&lt;&gt;"",Y3511,IF(U3511&lt;&gt;"",U3511,S3511))</f>
        <v/>
      </c>
      <c r="AE3511">
        <f>IF(AB3511&lt;&gt;"",AB3511,Z3511)</f>
        <v/>
      </c>
      <c r="AF3511" t="inlineStr">
        <is>
          <t>P-5 Cost Analysis &gt; OPN_BA2 LI 2360 &gt;  Support + Installation</t>
        </is>
      </c>
      <c r="AJ3511" t="inlineStr">
        <is>
          <t>Support + Installation</t>
        </is>
      </c>
    </row>
    <row r="3512">
      <c r="A3512" t="inlineStr">
        <is>
          <t>OPN_BA4</t>
        </is>
      </c>
      <c r="B3512" t="inlineStr">
        <is>
          <t>Procurement</t>
        </is>
      </c>
      <c r="D3512" t="inlineStr">
        <is>
          <t>Strategic Missile Systems Equip - P-5a - Shipboard Systems Modernization Portfolio (SSMP)</t>
        </is>
      </c>
      <c r="E3512" t="inlineStr">
        <is>
          <t>[ALT_VIEW]</t>
        </is>
      </c>
      <c r="F3512" t="inlineStr">
        <is>
          <t>5358 / Strategic Missile Systems Equip</t>
        </is>
      </c>
      <c r="G3512" t="inlineStr">
        <is>
          <t>P-5a</t>
        </is>
      </c>
      <c r="H3512" t="inlineStr">
        <is>
          <t>Recurring</t>
        </is>
      </c>
      <c r="I3512" t="n">
        <v>4</v>
      </c>
      <c r="K3512" t="inlineStr">
        <is>
          <t>USN</t>
        </is>
      </c>
      <c r="L3512" t="inlineStr">
        <is>
          <t>Combatant Ships</t>
        </is>
      </c>
      <c r="M3512" t="inlineStr">
        <is>
          <t>Submarines</t>
        </is>
      </c>
      <c r="S3512" t="n">
        <v>127209</v>
      </c>
      <c r="U3512" t="n">
        <v>127209</v>
      </c>
      <c r="AC3512">
        <f>IF(OR(E3512="",E3512="[PARENT]"),"ADD",IF(E3512="[ALT_VIEW]","ALT",""))</f>
        <v/>
      </c>
      <c r="AD3512">
        <f>IF(Y3512&lt;&gt;"",Y3512,IF(U3512&lt;&gt;"",U3512,S3512))</f>
        <v/>
      </c>
      <c r="AE3512">
        <f>IF(AB3512&lt;&gt;"",AB3512,Z3512)</f>
        <v/>
      </c>
      <c r="AF3512" t="inlineStr">
        <is>
          <t>P-5a Cost Analysis &gt; OPN_BA4 LI 5358 &gt; 14 Shipboard Systems Modernization Portfolio (SSMP)</t>
        </is>
      </c>
      <c r="AJ3512" t="inlineStr">
        <is>
          <t>Shipboard Systems Modernization Portfolio (SSMP)</t>
        </is>
      </c>
    </row>
    <row r="3513">
      <c r="A3513" t="inlineStr">
        <is>
          <t>OPN_BA4</t>
        </is>
      </c>
      <c r="B3513" t="inlineStr">
        <is>
          <t>Procurement</t>
        </is>
      </c>
      <c r="D3513" t="inlineStr">
        <is>
          <t>Strategic Missile Systems Equip - P-5a - Columbia Class</t>
        </is>
      </c>
      <c r="E3513" t="inlineStr">
        <is>
          <t>[ALT_VIEW]</t>
        </is>
      </c>
      <c r="F3513" t="inlineStr">
        <is>
          <t>5358 / Strategic Missile Systems Equip</t>
        </is>
      </c>
      <c r="G3513" t="inlineStr">
        <is>
          <t>P-5a</t>
        </is>
      </c>
      <c r="H3513" t="inlineStr">
        <is>
          <t>Recurring</t>
        </is>
      </c>
      <c r="I3513" t="n">
        <v>4</v>
      </c>
      <c r="K3513" t="inlineStr">
        <is>
          <t>USN</t>
        </is>
      </c>
      <c r="L3513" t="inlineStr">
        <is>
          <t>Combatant Ships</t>
        </is>
      </c>
      <c r="M3513" t="inlineStr">
        <is>
          <t>Submarines</t>
        </is>
      </c>
      <c r="S3513" t="n">
        <v>200317</v>
      </c>
      <c r="U3513" t="n">
        <v>200317</v>
      </c>
      <c r="AC3513">
        <f>IF(OR(E3513="",E3513="[PARENT]"),"ADD",IF(E3513="[ALT_VIEW]","ALT",""))</f>
        <v/>
      </c>
      <c r="AD3513">
        <f>IF(Y3513&lt;&gt;"",Y3513,IF(U3513&lt;&gt;"",U3513,S3513))</f>
        <v/>
      </c>
      <c r="AE3513">
        <f>IF(AB3513&lt;&gt;"",AB3513,Z3513)</f>
        <v/>
      </c>
      <c r="AF3513" t="inlineStr">
        <is>
          <t>P-5a Cost Analysis &gt; OPN_BA4 LI 5358 &gt; 16 Columbia Class</t>
        </is>
      </c>
      <c r="AJ3513" t="inlineStr">
        <is>
          <t>Columbia Class</t>
        </is>
      </c>
    </row>
    <row r="3514">
      <c r="A3514" t="inlineStr">
        <is>
          <t>OPN_BA4</t>
        </is>
      </c>
      <c r="B3514" t="inlineStr">
        <is>
          <t>Procurement</t>
        </is>
      </c>
      <c r="D3514" t="inlineStr">
        <is>
          <t>Strategic Missile Systems Equip - P-5a - Fire Control Equipment</t>
        </is>
      </c>
      <c r="E3514" t="inlineStr">
        <is>
          <t>[ALT_VIEW]</t>
        </is>
      </c>
      <c r="F3514" t="inlineStr">
        <is>
          <t>5358 / Strategic Missile Systems Equip</t>
        </is>
      </c>
      <c r="G3514" t="inlineStr">
        <is>
          <t>P-5a</t>
        </is>
      </c>
      <c r="H3514" t="inlineStr">
        <is>
          <t>Recurring</t>
        </is>
      </c>
      <c r="I3514" t="n">
        <v>4</v>
      </c>
      <c r="K3514" t="inlineStr">
        <is>
          <t>USN</t>
        </is>
      </c>
      <c r="L3514" t="inlineStr">
        <is>
          <t>Combatant Ships</t>
        </is>
      </c>
      <c r="M3514" t="inlineStr">
        <is>
          <t>Submarines</t>
        </is>
      </c>
      <c r="S3514" t="n">
        <v>32100</v>
      </c>
      <c r="U3514" t="n">
        <v>32100</v>
      </c>
      <c r="AC3514">
        <f>IF(OR(E3514="",E3514="[PARENT]"),"ADD",IF(E3514="[ALT_VIEW]","ALT",""))</f>
        <v/>
      </c>
      <c r="AD3514">
        <f>IF(Y3514&lt;&gt;"",Y3514,IF(U3514&lt;&gt;"",U3514,S3514))</f>
        <v/>
      </c>
      <c r="AE3514">
        <f>IF(AB3514&lt;&gt;"",AB3514,Z3514)</f>
        <v/>
      </c>
      <c r="AF3514" t="inlineStr">
        <is>
          <t>P-5a Cost Analysis &gt; OPN_BA4 LI 5358 &gt; 2 Fire Control Equipment</t>
        </is>
      </c>
      <c r="AJ3514" t="inlineStr">
        <is>
          <t>Fire Control Equipment</t>
        </is>
      </c>
    </row>
    <row r="3515">
      <c r="A3515" t="inlineStr">
        <is>
          <t>OPN_BA4</t>
        </is>
      </c>
      <c r="B3515" t="inlineStr">
        <is>
          <t>Procurement</t>
        </is>
      </c>
      <c r="D3515" t="inlineStr">
        <is>
          <t>Strategic Missile Systems Equip - P-5a - Instrumentation/Missile Checkout Equipment</t>
        </is>
      </c>
      <c r="E3515" t="inlineStr">
        <is>
          <t>[ALT_VIEW]</t>
        </is>
      </c>
      <c r="F3515" t="inlineStr">
        <is>
          <t>5358 / Strategic Missile Systems Equip</t>
        </is>
      </c>
      <c r="G3515" t="inlineStr">
        <is>
          <t>P-5a</t>
        </is>
      </c>
      <c r="H3515" t="inlineStr">
        <is>
          <t>Recurring</t>
        </is>
      </c>
      <c r="I3515" t="n">
        <v>4</v>
      </c>
      <c r="K3515" t="inlineStr">
        <is>
          <t>USN</t>
        </is>
      </c>
      <c r="L3515" t="inlineStr">
        <is>
          <t>Combatant Ships</t>
        </is>
      </c>
      <c r="M3515" t="inlineStr">
        <is>
          <t>Submarines</t>
        </is>
      </c>
      <c r="S3515" t="n">
        <v>29356</v>
      </c>
      <c r="U3515" t="n">
        <v>29356</v>
      </c>
      <c r="AC3515">
        <f>IF(OR(E3515="",E3515="[PARENT]"),"ADD",IF(E3515="[ALT_VIEW]","ALT",""))</f>
        <v/>
      </c>
      <c r="AD3515">
        <f>IF(Y3515&lt;&gt;"",Y3515,IF(U3515&lt;&gt;"",U3515,S3515))</f>
        <v/>
      </c>
      <c r="AE3515">
        <f>IF(AB3515&lt;&gt;"",AB3515,Z3515)</f>
        <v/>
      </c>
      <c r="AF3515" t="inlineStr">
        <is>
          <t>P-5a Cost Analysis &gt; OPN_BA4 LI 5358 &gt; 4 Instrumentation/Missile Checkout Equipment</t>
        </is>
      </c>
      <c r="AJ3515" t="inlineStr">
        <is>
          <t>Instrumentation/Missile Checkout Equipment</t>
        </is>
      </c>
    </row>
    <row r="3516">
      <c r="A3516" t="inlineStr">
        <is>
          <t>OPN_BA4</t>
        </is>
      </c>
      <c r="B3516" t="inlineStr">
        <is>
          <t>Procurement</t>
        </is>
      </c>
      <c r="D3516" t="inlineStr">
        <is>
          <t>Strategic Missile Systems Equip - P-5a - Training Support Equipment</t>
        </is>
      </c>
      <c r="E3516" t="inlineStr">
        <is>
          <t>[ALT_VIEW]</t>
        </is>
      </c>
      <c r="F3516" t="inlineStr">
        <is>
          <t>5358 / Strategic Missile Systems Equip</t>
        </is>
      </c>
      <c r="G3516" t="inlineStr">
        <is>
          <t>P-5a</t>
        </is>
      </c>
      <c r="H3516" t="inlineStr">
        <is>
          <t>Support</t>
        </is>
      </c>
      <c r="I3516" t="n">
        <v>4</v>
      </c>
      <c r="K3516" t="inlineStr">
        <is>
          <t>USN</t>
        </is>
      </c>
      <c r="L3516" t="inlineStr">
        <is>
          <t>Combatant Ships</t>
        </is>
      </c>
      <c r="M3516" t="inlineStr">
        <is>
          <t>Submarines</t>
        </is>
      </c>
      <c r="S3516" t="n">
        <v>12514</v>
      </c>
      <c r="U3516" t="n">
        <v>12514</v>
      </c>
      <c r="AC3516">
        <f>IF(OR(E3516="",E3516="[PARENT]"),"ADD",IF(E3516="[ALT_VIEW]","ALT",""))</f>
        <v/>
      </c>
      <c r="AD3516">
        <f>IF(Y3516&lt;&gt;"",Y3516,IF(U3516&lt;&gt;"",U3516,S3516))</f>
        <v/>
      </c>
      <c r="AE3516">
        <f>IF(AB3516&lt;&gt;"",AB3516,Z3516)</f>
        <v/>
      </c>
      <c r="AF3516" t="inlineStr">
        <is>
          <t>P-5a Cost Analysis &gt; OPN_BA4 LI 5358 &gt; 15 Training Support Equipment</t>
        </is>
      </c>
      <c r="AJ3516" t="inlineStr">
        <is>
          <t>Training Support Equipment</t>
        </is>
      </c>
    </row>
    <row r="3517">
      <c r="A3517" t="inlineStr">
        <is>
          <t>OPN_BA4</t>
        </is>
      </c>
      <c r="B3517" t="inlineStr">
        <is>
          <t>Procurement</t>
        </is>
      </c>
      <c r="D3517" t="inlineStr">
        <is>
          <t>Strategic Missile Systems Equip - P-5a - Alterations - Launcher &amp; Handling</t>
        </is>
      </c>
      <c r="E3517" t="inlineStr">
        <is>
          <t>[ALT_VIEW]</t>
        </is>
      </c>
      <c r="F3517" t="inlineStr">
        <is>
          <t>5358 / Strategic Missile Systems Equip</t>
        </is>
      </c>
      <c r="G3517" t="inlineStr">
        <is>
          <t>P-5a</t>
        </is>
      </c>
      <c r="H3517" t="inlineStr">
        <is>
          <t>Recurring</t>
        </is>
      </c>
      <c r="I3517" t="n">
        <v>4</v>
      </c>
      <c r="K3517" t="inlineStr">
        <is>
          <t>USN</t>
        </is>
      </c>
      <c r="L3517" t="inlineStr">
        <is>
          <t>Combatant Ships</t>
        </is>
      </c>
      <c r="M3517" t="inlineStr">
        <is>
          <t>Submarines</t>
        </is>
      </c>
      <c r="S3517" t="n">
        <v>13851</v>
      </c>
      <c r="U3517" t="n">
        <v>13851</v>
      </c>
      <c r="AC3517">
        <f>IF(OR(E3517="",E3517="[PARENT]"),"ADD",IF(E3517="[ALT_VIEW]","ALT",""))</f>
        <v/>
      </c>
      <c r="AD3517">
        <f>IF(Y3517&lt;&gt;"",Y3517,IF(U3517&lt;&gt;"",U3517,S3517))</f>
        <v/>
      </c>
      <c r="AE3517">
        <f>IF(AB3517&lt;&gt;"",AB3517,Z3517)</f>
        <v/>
      </c>
      <c r="AF3517" t="inlineStr">
        <is>
          <t>P-5a Cost Analysis &gt; OPN_BA4 LI 5358 &gt; 6 Alterations - Launcher &amp; Handling</t>
        </is>
      </c>
      <c r="AJ3517" t="inlineStr">
        <is>
          <t>Alterations - Launcher &amp; Handling</t>
        </is>
      </c>
    </row>
    <row r="3518">
      <c r="A3518" t="inlineStr">
        <is>
          <t>OPN_BA4</t>
        </is>
      </c>
      <c r="B3518" t="inlineStr">
        <is>
          <t>Procurement</t>
        </is>
      </c>
      <c r="D3518" t="inlineStr">
        <is>
          <t>Strategic Missile Systems Equip - P-5a - Alterations - Navigation Equipment</t>
        </is>
      </c>
      <c r="E3518" t="inlineStr">
        <is>
          <t>[ALT_VIEW]</t>
        </is>
      </c>
      <c r="F3518" t="inlineStr">
        <is>
          <t>5358 / Strategic Missile Systems Equip</t>
        </is>
      </c>
      <c r="G3518" t="inlineStr">
        <is>
          <t>P-5a</t>
        </is>
      </c>
      <c r="H3518" t="inlineStr">
        <is>
          <t>Recurring</t>
        </is>
      </c>
      <c r="I3518" t="n">
        <v>4</v>
      </c>
      <c r="K3518" t="inlineStr">
        <is>
          <t>USN</t>
        </is>
      </c>
      <c r="L3518" t="inlineStr">
        <is>
          <t>Combatant Ships</t>
        </is>
      </c>
      <c r="M3518" t="inlineStr">
        <is>
          <t>Submarines</t>
        </is>
      </c>
      <c r="S3518" t="n">
        <v>12188</v>
      </c>
      <c r="U3518" t="n">
        <v>12188</v>
      </c>
      <c r="AC3518">
        <f>IF(OR(E3518="",E3518="[PARENT]"),"ADD",IF(E3518="[ALT_VIEW]","ALT",""))</f>
        <v/>
      </c>
      <c r="AD3518">
        <f>IF(Y3518&lt;&gt;"",Y3518,IF(U3518&lt;&gt;"",U3518,S3518))</f>
        <v/>
      </c>
      <c r="AE3518">
        <f>IF(AB3518&lt;&gt;"",AB3518,Z3518)</f>
        <v/>
      </c>
      <c r="AF3518" t="inlineStr">
        <is>
          <t>P-5a Cost Analysis &gt; OPN_BA4 LI 5358 &gt; 8 Alterations - Navigation Equipment</t>
        </is>
      </c>
      <c r="AJ3518" t="inlineStr">
        <is>
          <t>Alterations - Navigation Equipment</t>
        </is>
      </c>
    </row>
    <row r="3519">
      <c r="A3519" t="inlineStr">
        <is>
          <t>OPN_BA4</t>
        </is>
      </c>
      <c r="B3519" t="inlineStr">
        <is>
          <t>Procurement</t>
        </is>
      </c>
      <c r="D3519" t="inlineStr">
        <is>
          <t>Strategic Missile Systems Equip - P-5a - Alterations - Fire Control Equipment</t>
        </is>
      </c>
      <c r="E3519" t="inlineStr">
        <is>
          <t>[ALT_VIEW]</t>
        </is>
      </c>
      <c r="F3519" t="inlineStr">
        <is>
          <t>5358 / Strategic Missile Systems Equip</t>
        </is>
      </c>
      <c r="G3519" t="inlineStr">
        <is>
          <t>P-5a</t>
        </is>
      </c>
      <c r="H3519" t="inlineStr">
        <is>
          <t>Recurring</t>
        </is>
      </c>
      <c r="I3519" t="n">
        <v>4</v>
      </c>
      <c r="K3519" t="inlineStr">
        <is>
          <t>USN</t>
        </is>
      </c>
      <c r="L3519" t="inlineStr">
        <is>
          <t>Combatant Ships</t>
        </is>
      </c>
      <c r="M3519" t="inlineStr">
        <is>
          <t>Submarines</t>
        </is>
      </c>
      <c r="S3519" t="n">
        <v>21442</v>
      </c>
      <c r="U3519" t="n">
        <v>21442</v>
      </c>
      <c r="AC3519">
        <f>IF(OR(E3519="",E3519="[PARENT]"),"ADD",IF(E3519="[ALT_VIEW]","ALT",""))</f>
        <v/>
      </c>
      <c r="AD3519">
        <f>IF(Y3519&lt;&gt;"",Y3519,IF(U3519&lt;&gt;"",U3519,S3519))</f>
        <v/>
      </c>
      <c r="AE3519">
        <f>IF(AB3519&lt;&gt;"",AB3519,Z3519)</f>
        <v/>
      </c>
      <c r="AF3519" t="inlineStr">
        <is>
          <t>P-5a Cost Analysis &gt; OPN_BA4 LI 5358 &gt; 7 Alterations - Fire Control Equipment</t>
        </is>
      </c>
      <c r="AJ3519" t="inlineStr">
        <is>
          <t>Alterations - Fire Control Equipment</t>
        </is>
      </c>
    </row>
    <row r="3520">
      <c r="A3520" t="inlineStr">
        <is>
          <t>OPN_BA4</t>
        </is>
      </c>
      <c r="B3520" t="inlineStr">
        <is>
          <t>Procurement</t>
        </is>
      </c>
      <c r="D3520" t="inlineStr">
        <is>
          <t>Strategic Missile Systems Equip - P-5a - Launcher &amp; Handling Equipment</t>
        </is>
      </c>
      <c r="E3520" t="inlineStr">
        <is>
          <t>[ALT_VIEW]</t>
        </is>
      </c>
      <c r="F3520" t="inlineStr">
        <is>
          <t>5358 / Strategic Missile Systems Equip</t>
        </is>
      </c>
      <c r="G3520" t="inlineStr">
        <is>
          <t>P-5a</t>
        </is>
      </c>
      <c r="H3520" t="inlineStr">
        <is>
          <t>Recurring</t>
        </is>
      </c>
      <c r="I3520" t="n">
        <v>4</v>
      </c>
      <c r="K3520" t="inlineStr">
        <is>
          <t>USN</t>
        </is>
      </c>
      <c r="L3520" t="inlineStr">
        <is>
          <t>Combatant Ships</t>
        </is>
      </c>
      <c r="M3520" t="inlineStr">
        <is>
          <t>Submarines</t>
        </is>
      </c>
      <c r="S3520" t="n">
        <v>8598</v>
      </c>
      <c r="U3520" t="n">
        <v>8598</v>
      </c>
      <c r="AC3520">
        <f>IF(OR(E3520="",E3520="[PARENT]"),"ADD",IF(E3520="[ALT_VIEW]","ALT",""))</f>
        <v/>
      </c>
      <c r="AD3520">
        <f>IF(Y3520&lt;&gt;"",Y3520,IF(U3520&lt;&gt;"",U3520,S3520))</f>
        <v/>
      </c>
      <c r="AE3520">
        <f>IF(AB3520&lt;&gt;"",AB3520,Z3520)</f>
        <v/>
      </c>
      <c r="AF3520" t="inlineStr">
        <is>
          <t>P-5a Cost Analysis &gt; OPN_BA4 LI 5358 &gt; 1 Launcher &amp; Handling Equipment</t>
        </is>
      </c>
      <c r="AJ3520" t="inlineStr">
        <is>
          <t>Launcher &amp; Handling Equipment</t>
        </is>
      </c>
    </row>
    <row r="3521">
      <c r="A3521" t="inlineStr">
        <is>
          <t>OPN_BA4</t>
        </is>
      </c>
      <c r="B3521" t="inlineStr">
        <is>
          <t>Procurement</t>
        </is>
      </c>
      <c r="D3521" t="inlineStr">
        <is>
          <t>Strategic Missile Systems Equip - P-5a - Navigation Equipment</t>
        </is>
      </c>
      <c r="E3521" t="inlineStr">
        <is>
          <t>[ALT_VIEW]</t>
        </is>
      </c>
      <c r="F3521" t="inlineStr">
        <is>
          <t>5358 / Strategic Missile Systems Equip</t>
        </is>
      </c>
      <c r="G3521" t="inlineStr">
        <is>
          <t>P-5a</t>
        </is>
      </c>
      <c r="H3521" t="inlineStr">
        <is>
          <t>Recurring</t>
        </is>
      </c>
      <c r="I3521" t="n">
        <v>4</v>
      </c>
      <c r="K3521" t="inlineStr">
        <is>
          <t>USN</t>
        </is>
      </c>
      <c r="L3521" t="inlineStr">
        <is>
          <t>Combatant Ships</t>
        </is>
      </c>
      <c r="M3521" t="inlineStr">
        <is>
          <t>Submarines</t>
        </is>
      </c>
      <c r="S3521" t="n">
        <v>7599</v>
      </c>
      <c r="U3521" t="n">
        <v>7599</v>
      </c>
      <c r="AC3521">
        <f>IF(OR(E3521="",E3521="[PARENT]"),"ADD",IF(E3521="[ALT_VIEW]","ALT",""))</f>
        <v/>
      </c>
      <c r="AD3521">
        <f>IF(Y3521&lt;&gt;"",Y3521,IF(U3521&lt;&gt;"",U3521,S3521))</f>
        <v/>
      </c>
      <c r="AE3521">
        <f>IF(AB3521&lt;&gt;"",AB3521,Z3521)</f>
        <v/>
      </c>
      <c r="AF3521" t="inlineStr">
        <is>
          <t>P-5a Cost Analysis &gt; OPN_BA4 LI 5358 &gt; 3 Navigation Equipment</t>
        </is>
      </c>
      <c r="AJ3521" t="inlineStr">
        <is>
          <t>Navigation Equipment</t>
        </is>
      </c>
    </row>
    <row r="3522">
      <c r="A3522" t="inlineStr">
        <is>
          <t>OPN_BA4</t>
        </is>
      </c>
      <c r="B3522" t="inlineStr">
        <is>
          <t>Procurement</t>
        </is>
      </c>
      <c r="D3522" t="inlineStr">
        <is>
          <t>Strategic Missile Systems Equip - P-5a - SSI Increment 15</t>
        </is>
      </c>
      <c r="E3522" t="inlineStr">
        <is>
          <t>[ALT_VIEW]</t>
        </is>
      </c>
      <c r="F3522" t="inlineStr">
        <is>
          <t>5358 / Strategic Missile Systems Equip</t>
        </is>
      </c>
      <c r="G3522" t="inlineStr">
        <is>
          <t>P-5a</t>
        </is>
      </c>
      <c r="H3522" t="inlineStr">
        <is>
          <t>Recurring</t>
        </is>
      </c>
      <c r="I3522" t="n">
        <v>4</v>
      </c>
      <c r="K3522" t="inlineStr">
        <is>
          <t>USN</t>
        </is>
      </c>
      <c r="L3522" t="inlineStr">
        <is>
          <t>Combatant Ships</t>
        </is>
      </c>
      <c r="M3522" t="inlineStr">
        <is>
          <t>Submarines</t>
        </is>
      </c>
      <c r="S3522" t="n">
        <v>8507</v>
      </c>
      <c r="U3522" t="n">
        <v>8507</v>
      </c>
      <c r="AC3522">
        <f>IF(OR(E3522="",E3522="[PARENT]"),"ADD",IF(E3522="[ALT_VIEW]","ALT",""))</f>
        <v/>
      </c>
      <c r="AD3522">
        <f>IF(Y3522&lt;&gt;"",Y3522,IF(U3522&lt;&gt;"",U3522,S3522))</f>
        <v/>
      </c>
      <c r="AE3522">
        <f>IF(AB3522&lt;&gt;"",AB3522,Z3522)</f>
        <v/>
      </c>
      <c r="AF3522" t="inlineStr">
        <is>
          <t>P-5a Cost Analysis &gt; OPN_BA4 LI 5358 &gt; 13 SSI Increment 15</t>
        </is>
      </c>
      <c r="AJ3522" t="inlineStr">
        <is>
          <t>SSI Increment 15</t>
        </is>
      </c>
    </row>
    <row r="3523">
      <c r="A3523" t="inlineStr">
        <is>
          <t>OPN_BA4</t>
        </is>
      </c>
      <c r="B3523" t="inlineStr">
        <is>
          <t>Procurement</t>
        </is>
      </c>
      <c r="D3523" t="inlineStr">
        <is>
          <t>Strategic Missile Systems Equip - P-5a - Information Technology</t>
        </is>
      </c>
      <c r="E3523" t="inlineStr">
        <is>
          <t>[ALT_VIEW]</t>
        </is>
      </c>
      <c r="F3523" t="inlineStr">
        <is>
          <t>5358 / Strategic Missile Systems Equip</t>
        </is>
      </c>
      <c r="G3523" t="inlineStr">
        <is>
          <t>P-5a</t>
        </is>
      </c>
      <c r="H3523" t="inlineStr">
        <is>
          <t>Recurring</t>
        </is>
      </c>
      <c r="I3523" t="n">
        <v>4</v>
      </c>
      <c r="K3523" t="inlineStr">
        <is>
          <t>USN</t>
        </is>
      </c>
      <c r="L3523" t="inlineStr">
        <is>
          <t>Combatant Ships</t>
        </is>
      </c>
      <c r="M3523" t="inlineStr">
        <is>
          <t>Submarines</t>
        </is>
      </c>
      <c r="S3523" t="n">
        <v>7938</v>
      </c>
      <c r="U3523" t="n">
        <v>7938</v>
      </c>
      <c r="AC3523">
        <f>IF(OR(E3523="",E3523="[PARENT]"),"ADD",IF(E3523="[ALT_VIEW]","ALT",""))</f>
        <v/>
      </c>
      <c r="AD3523">
        <f>IF(Y3523&lt;&gt;"",Y3523,IF(U3523&lt;&gt;"",U3523,S3523))</f>
        <v/>
      </c>
      <c r="AE3523">
        <f>IF(AB3523&lt;&gt;"",AB3523,Z3523)</f>
        <v/>
      </c>
      <c r="AF3523" t="inlineStr">
        <is>
          <t>P-5a Cost Analysis &gt; OPN_BA4 LI 5358 &gt; 5 Information Technology</t>
        </is>
      </c>
      <c r="AJ3523" t="inlineStr">
        <is>
          <t>Information Technology</t>
        </is>
      </c>
    </row>
    <row r="3524">
      <c r="A3524" t="inlineStr">
        <is>
          <t>OPN_BA4</t>
        </is>
      </c>
      <c r="B3524" t="inlineStr">
        <is>
          <t>Procurement</t>
        </is>
      </c>
      <c r="D3524" t="inlineStr">
        <is>
          <t>Strategic Missile Systems Equip - P-5a - SSI Increment 8</t>
        </is>
      </c>
      <c r="E3524" t="inlineStr">
        <is>
          <t>[ALT_VIEW]</t>
        </is>
      </c>
      <c r="F3524" t="inlineStr">
        <is>
          <t>5358 / Strategic Missile Systems Equip</t>
        </is>
      </c>
      <c r="G3524" t="inlineStr">
        <is>
          <t>P-5a</t>
        </is>
      </c>
      <c r="H3524" t="inlineStr">
        <is>
          <t>Recurring</t>
        </is>
      </c>
      <c r="I3524" t="n">
        <v>4</v>
      </c>
      <c r="K3524" t="inlineStr">
        <is>
          <t>USN</t>
        </is>
      </c>
      <c r="L3524" t="inlineStr">
        <is>
          <t>Combatant Ships</t>
        </is>
      </c>
      <c r="M3524" t="inlineStr">
        <is>
          <t>Submarines</t>
        </is>
      </c>
      <c r="S3524" t="n">
        <v>6377</v>
      </c>
      <c r="U3524" t="n">
        <v>6377</v>
      </c>
      <c r="AC3524">
        <f>IF(OR(E3524="",E3524="[PARENT]"),"ADD",IF(E3524="[ALT_VIEW]","ALT",""))</f>
        <v/>
      </c>
      <c r="AD3524">
        <f>IF(Y3524&lt;&gt;"",Y3524,IF(U3524&lt;&gt;"",U3524,S3524))</f>
        <v/>
      </c>
      <c r="AE3524">
        <f>IF(AB3524&lt;&gt;"",AB3524,Z3524)</f>
        <v/>
      </c>
      <c r="AF3524" t="inlineStr">
        <is>
          <t>P-5a Cost Analysis &gt; OPN_BA4 LI 5358 &gt; 10 SSI Increment 8</t>
        </is>
      </c>
      <c r="AJ3524" t="inlineStr">
        <is>
          <t>SSI Increment 8</t>
        </is>
      </c>
    </row>
    <row r="3525">
      <c r="A3525" t="inlineStr">
        <is>
          <t>OPN_BA4</t>
        </is>
      </c>
      <c r="B3525" t="inlineStr">
        <is>
          <t>Procurement</t>
        </is>
      </c>
      <c r="D3525" t="inlineStr">
        <is>
          <t>Strategic Missile Systems Equip - P-5a - Alterations - Instrumentation</t>
        </is>
      </c>
      <c r="E3525" t="inlineStr">
        <is>
          <t>[ALT_VIEW]</t>
        </is>
      </c>
      <c r="F3525" t="inlineStr">
        <is>
          <t>5358 / Strategic Missile Systems Equip</t>
        </is>
      </c>
      <c r="G3525" t="inlineStr">
        <is>
          <t>P-5a</t>
        </is>
      </c>
      <c r="H3525" t="inlineStr">
        <is>
          <t>Recurring</t>
        </is>
      </c>
      <c r="I3525" t="n">
        <v>4</v>
      </c>
      <c r="K3525" t="inlineStr">
        <is>
          <t>USN</t>
        </is>
      </c>
      <c r="L3525" t="inlineStr">
        <is>
          <t>Combatant Ships</t>
        </is>
      </c>
      <c r="M3525" t="inlineStr">
        <is>
          <t>Submarines</t>
        </is>
      </c>
      <c r="S3525" t="n">
        <v>3183</v>
      </c>
      <c r="U3525" t="n">
        <v>3183</v>
      </c>
      <c r="AC3525">
        <f>IF(OR(E3525="",E3525="[PARENT]"),"ADD",IF(E3525="[ALT_VIEW]","ALT",""))</f>
        <v/>
      </c>
      <c r="AD3525">
        <f>IF(Y3525&lt;&gt;"",Y3525,IF(U3525&lt;&gt;"",U3525,S3525))</f>
        <v/>
      </c>
      <c r="AE3525">
        <f>IF(AB3525&lt;&gt;"",AB3525,Z3525)</f>
        <v/>
      </c>
      <c r="AF3525" t="inlineStr">
        <is>
          <t>P-5a Cost Analysis &gt; OPN_BA4 LI 5358 &gt; 9 Alterations - Instrumentation</t>
        </is>
      </c>
      <c r="AJ3525" t="inlineStr">
        <is>
          <t>Alterations - Instrumentation</t>
        </is>
      </c>
    </row>
    <row r="3526">
      <c r="A3526" t="inlineStr">
        <is>
          <t>OPN_BA4</t>
        </is>
      </c>
      <c r="B3526" t="inlineStr">
        <is>
          <t>Procurement</t>
        </is>
      </c>
      <c r="D3526" t="inlineStr">
        <is>
          <t>Ship Missile Support Equipment - P-40a - AEGIS Support Equipment</t>
        </is>
      </c>
      <c r="E3526" t="inlineStr">
        <is>
          <t>[ALT_VIEW]</t>
        </is>
      </c>
      <c r="F3526" t="inlineStr">
        <is>
          <t>5231 / Ship Missile Support Equipment</t>
        </is>
      </c>
      <c r="G3526" t="inlineStr">
        <is>
          <t>P-40a</t>
        </is>
      </c>
      <c r="H3526" t="inlineStr">
        <is>
          <t>Recurring</t>
        </is>
      </c>
      <c r="I3526" t="n">
        <v>4</v>
      </c>
      <c r="S3526" t="n">
        <v>187988</v>
      </c>
      <c r="U3526" t="n">
        <v>187988</v>
      </c>
      <c r="AC3526">
        <f>IF(OR(E3526="",E3526="[PARENT]"),"ADD",IF(E3526="[ALT_VIEW]","ALT",""))</f>
        <v/>
      </c>
      <c r="AD3526">
        <f>IF(Y3526&lt;&gt;"",Y3526,IF(U3526&lt;&gt;"",U3526,S3526))</f>
        <v/>
      </c>
      <c r="AE3526">
        <f>IF(AB3526&lt;&gt;"",AB3526,Z3526)</f>
        <v/>
      </c>
      <c r="AF3526" t="inlineStr">
        <is>
          <t>P-40a Cost Analysis &gt; OPN_BA4 LI 5231 &gt;  AEGIS Support Equipment</t>
        </is>
      </c>
      <c r="AJ3526" t="inlineStr">
        <is>
          <t>AEGIS Support Equipment</t>
        </is>
      </c>
    </row>
    <row r="3527">
      <c r="A3527" t="inlineStr">
        <is>
          <t>OPN_BA4</t>
        </is>
      </c>
      <c r="B3527" t="inlineStr">
        <is>
          <t>Procurement</t>
        </is>
      </c>
      <c r="D3527" t="inlineStr">
        <is>
          <t>Ship Missile Support Equipment - P-40a - NATO SEASPARROW</t>
        </is>
      </c>
      <c r="E3527" t="inlineStr">
        <is>
          <t>[ALT_VIEW]</t>
        </is>
      </c>
      <c r="F3527" t="inlineStr">
        <is>
          <t>5231 / Ship Missile Support Equipment</t>
        </is>
      </c>
      <c r="G3527" t="inlineStr">
        <is>
          <t>P-40a</t>
        </is>
      </c>
      <c r="H3527" t="inlineStr">
        <is>
          <t>Recurring</t>
        </is>
      </c>
      <c r="I3527" t="n">
        <v>4</v>
      </c>
      <c r="S3527" t="n">
        <v>50282</v>
      </c>
      <c r="U3527" t="n">
        <v>50282</v>
      </c>
      <c r="AC3527">
        <f>IF(OR(E3527="",E3527="[PARENT]"),"ADD",IF(E3527="[ALT_VIEW]","ALT",""))</f>
        <v/>
      </c>
      <c r="AD3527">
        <f>IF(Y3527&lt;&gt;"",Y3527,IF(U3527&lt;&gt;"",U3527,S3527))</f>
        <v/>
      </c>
      <c r="AE3527">
        <f>IF(AB3527&lt;&gt;"",AB3527,Z3527)</f>
        <v/>
      </c>
      <c r="AF3527" t="inlineStr">
        <is>
          <t>P-40a Cost Analysis &gt; OPN_BA4 LI 5231 &gt;  NATO SEASPARROW</t>
        </is>
      </c>
      <c r="AJ3527" t="inlineStr">
        <is>
          <t>NATO SEASPARROW</t>
        </is>
      </c>
    </row>
    <row r="3528">
      <c r="A3528" t="inlineStr">
        <is>
          <t>OPN_BA4</t>
        </is>
      </c>
      <c r="B3528" t="inlineStr">
        <is>
          <t>Procurement</t>
        </is>
      </c>
      <c r="D3528" t="inlineStr">
        <is>
          <t>Ship Missile Support Equipment - P-40a - Ship Self Defense System</t>
        </is>
      </c>
      <c r="E3528" t="inlineStr">
        <is>
          <t>[ALT_VIEW]</t>
        </is>
      </c>
      <c r="F3528" t="inlineStr">
        <is>
          <t>5231 / Ship Missile Support Equipment</t>
        </is>
      </c>
      <c r="G3528" t="inlineStr">
        <is>
          <t>P-40a</t>
        </is>
      </c>
      <c r="H3528" t="inlineStr">
        <is>
          <t>Recurring</t>
        </is>
      </c>
      <c r="I3528" t="n">
        <v>4</v>
      </c>
      <c r="S3528" t="n">
        <v>28336</v>
      </c>
      <c r="U3528" t="n">
        <v>28336</v>
      </c>
      <c r="AC3528">
        <f>IF(OR(E3528="",E3528="[PARENT]"),"ADD",IF(E3528="[ALT_VIEW]","ALT",""))</f>
        <v/>
      </c>
      <c r="AD3528">
        <f>IF(Y3528&lt;&gt;"",Y3528,IF(U3528&lt;&gt;"",U3528,S3528))</f>
        <v/>
      </c>
      <c r="AE3528">
        <f>IF(AB3528&lt;&gt;"",AB3528,Z3528)</f>
        <v/>
      </c>
      <c r="AF3528" t="inlineStr">
        <is>
          <t>P-40a Cost Analysis &gt; OPN_BA4 LI 5231 &gt;  Ship Self Defense System</t>
        </is>
      </c>
      <c r="AJ3528" t="inlineStr">
        <is>
          <t>Ship Self Defense System</t>
        </is>
      </c>
    </row>
    <row r="3529">
      <c r="A3529" t="inlineStr">
        <is>
          <t>OPN_BA4</t>
        </is>
      </c>
      <c r="B3529" t="inlineStr">
        <is>
          <t>Procurement</t>
        </is>
      </c>
      <c r="D3529" t="inlineStr">
        <is>
          <t>Ship Missile Support Equipment - P-40a - Integrated Combat System (ICS) Equipment</t>
        </is>
      </c>
      <c r="E3529" t="inlineStr">
        <is>
          <t>[ALT_VIEW]</t>
        </is>
      </c>
      <c r="F3529" t="inlineStr">
        <is>
          <t>5231 / Ship Missile Support Equipment</t>
        </is>
      </c>
      <c r="G3529" t="inlineStr">
        <is>
          <t>P-40a</t>
        </is>
      </c>
      <c r="H3529" t="inlineStr">
        <is>
          <t>Recurring</t>
        </is>
      </c>
      <c r="I3529" t="n">
        <v>4</v>
      </c>
      <c r="S3529" t="n">
        <v>27333</v>
      </c>
      <c r="U3529" t="n">
        <v>27333</v>
      </c>
      <c r="AC3529">
        <f>IF(OR(E3529="",E3529="[PARENT]"),"ADD",IF(E3529="[ALT_VIEW]","ALT",""))</f>
        <v/>
      </c>
      <c r="AD3529">
        <f>IF(Y3529&lt;&gt;"",Y3529,IF(U3529&lt;&gt;"",U3529,S3529))</f>
        <v/>
      </c>
      <c r="AE3529">
        <f>IF(AB3529&lt;&gt;"",AB3529,Z3529)</f>
        <v/>
      </c>
      <c r="AF3529" t="inlineStr">
        <is>
          <t>P-40a Cost Analysis &gt; OPN_BA4 LI 5231 &gt;  Integrated Combat System (ICS) Equipment</t>
        </is>
      </c>
      <c r="AJ3529" t="inlineStr">
        <is>
          <t>Integrated Combat System (ICS) Equipment</t>
        </is>
      </c>
    </row>
    <row r="3530">
      <c r="A3530" t="inlineStr">
        <is>
          <t>OPN_BA4</t>
        </is>
      </c>
      <c r="B3530" t="inlineStr">
        <is>
          <t>Procurement</t>
        </is>
      </c>
      <c r="D3530" t="inlineStr">
        <is>
          <t>Ship Missile Support Equipment - P-40a - OTH Weapon System</t>
        </is>
      </c>
      <c r="E3530" t="inlineStr">
        <is>
          <t>[ALT_VIEW]</t>
        </is>
      </c>
      <c r="F3530" t="inlineStr">
        <is>
          <t>5231 / Ship Missile Support Equipment</t>
        </is>
      </c>
      <c r="G3530" t="inlineStr">
        <is>
          <t>P-40a</t>
        </is>
      </c>
      <c r="H3530" t="inlineStr">
        <is>
          <t>Recurring</t>
        </is>
      </c>
      <c r="I3530" t="n">
        <v>4</v>
      </c>
      <c r="S3530" t="n">
        <v>22415</v>
      </c>
      <c r="U3530" t="n">
        <v>22415</v>
      </c>
      <c r="AC3530">
        <f>IF(OR(E3530="",E3530="[PARENT]"),"ADD",IF(E3530="[ALT_VIEW]","ALT",""))</f>
        <v/>
      </c>
      <c r="AD3530">
        <f>IF(Y3530&lt;&gt;"",Y3530,IF(U3530&lt;&gt;"",U3530,S3530))</f>
        <v/>
      </c>
      <c r="AE3530">
        <f>IF(AB3530&lt;&gt;"",AB3530,Z3530)</f>
        <v/>
      </c>
      <c r="AF3530" t="inlineStr">
        <is>
          <t>P-40a Cost Analysis &gt; OPN_BA4 LI 5231 &gt;  OTH Weapon System</t>
        </is>
      </c>
      <c r="AJ3530" t="inlineStr">
        <is>
          <t>OTH Weapon System</t>
        </is>
      </c>
    </row>
    <row r="3531">
      <c r="A3531" t="inlineStr">
        <is>
          <t>OPN_BA4</t>
        </is>
      </c>
      <c r="B3531" t="inlineStr">
        <is>
          <t>Procurement</t>
        </is>
      </c>
      <c r="D3531" t="inlineStr">
        <is>
          <t>Ship Missile Support Equipment - P-40a - RAM Launchers (P-3a installation)</t>
        </is>
      </c>
      <c r="E3531" t="inlineStr">
        <is>
          <t>[ALT_VIEW]</t>
        </is>
      </c>
      <c r="F3531" t="inlineStr">
        <is>
          <t>5231 / Ship Missile Support Equipment</t>
        </is>
      </c>
      <c r="G3531" t="inlineStr">
        <is>
          <t>P-40a</t>
        </is>
      </c>
      <c r="H3531" t="inlineStr">
        <is>
          <t>Installation</t>
        </is>
      </c>
      <c r="I3531" t="n">
        <v>4</v>
      </c>
      <c r="S3531" t="n">
        <v>55986</v>
      </c>
      <c r="U3531" t="n">
        <v>55986</v>
      </c>
      <c r="AC3531">
        <f>IF(OR(E3531="",E3531="[PARENT]"),"ADD",IF(E3531="[ALT_VIEW]","ALT",""))</f>
        <v/>
      </c>
      <c r="AD3531">
        <f>IF(Y3531&lt;&gt;"",Y3531,IF(U3531&lt;&gt;"",U3531,S3531))</f>
        <v/>
      </c>
      <c r="AE3531">
        <f>IF(AB3531&lt;&gt;"",AB3531,Z3531)</f>
        <v/>
      </c>
      <c r="AF3531" t="inlineStr">
        <is>
          <t>P-40a Cost Analysis &gt; OPN_BA4 LI 5231 &gt;  RAM Launchers (P-3a installation)</t>
        </is>
      </c>
      <c r="AJ3531" t="inlineStr">
        <is>
          <t>RAM Launchers (P-3a installation)</t>
        </is>
      </c>
    </row>
    <row r="3532">
      <c r="A3532" t="inlineStr">
        <is>
          <t>OPN_BA4</t>
        </is>
      </c>
      <c r="B3532" t="inlineStr">
        <is>
          <t>Procurement</t>
        </is>
      </c>
      <c r="D3532" t="inlineStr">
        <is>
          <t>Ship Missile Support Equipment - P-40a - SSDS COTS Conversion Kits (P-3a)</t>
        </is>
      </c>
      <c r="E3532" t="inlineStr">
        <is>
          <t>[ALT_VIEW]</t>
        </is>
      </c>
      <c r="F3532" t="inlineStr">
        <is>
          <t>5231 / Ship Missile Support Equipment</t>
        </is>
      </c>
      <c r="G3532" t="inlineStr">
        <is>
          <t>P-40a</t>
        </is>
      </c>
      <c r="H3532" t="inlineStr">
        <is>
          <t>Recurring</t>
        </is>
      </c>
      <c r="I3532" t="n">
        <v>4</v>
      </c>
      <c r="S3532" t="n">
        <v>63776</v>
      </c>
      <c r="U3532" t="n">
        <v>63776</v>
      </c>
      <c r="AC3532">
        <f>IF(OR(E3532="",E3532="[PARENT]"),"ADD",IF(E3532="[ALT_VIEW]","ALT",""))</f>
        <v/>
      </c>
      <c r="AD3532">
        <f>IF(Y3532&lt;&gt;"",Y3532,IF(U3532&lt;&gt;"",U3532,S3532))</f>
        <v/>
      </c>
      <c r="AE3532">
        <f>IF(AB3532&lt;&gt;"",AB3532,Z3532)</f>
        <v/>
      </c>
      <c r="AF3532" t="inlineStr">
        <is>
          <t>P-40a Cost Analysis &gt; OPN_BA4 LI 5231 &gt;  SSDS COTS Conversion Kits (P-3a)</t>
        </is>
      </c>
      <c r="AJ3532" t="inlineStr">
        <is>
          <t>SSDS COTS Conversion Kits (P-3a)</t>
        </is>
      </c>
    </row>
    <row r="3533">
      <c r="A3533" t="inlineStr">
        <is>
          <t>OPN_BA2</t>
        </is>
      </c>
      <c r="B3533" t="inlineStr">
        <is>
          <t>Procurement</t>
        </is>
      </c>
      <c r="D3533" t="inlineStr">
        <is>
          <t>In-Service Radars and Sensors - P-5a - Dual Band Radar (DBR)</t>
        </is>
      </c>
      <c r="E3533" t="inlineStr">
        <is>
          <t>[ALT_VIEW]</t>
        </is>
      </c>
      <c r="F3533" t="inlineStr">
        <is>
          <t>2981 / In-Service Radars and Sensors</t>
        </is>
      </c>
      <c r="G3533" t="inlineStr">
        <is>
          <t>P-5a</t>
        </is>
      </c>
      <c r="H3533" t="inlineStr">
        <is>
          <t>Recurring</t>
        </is>
      </c>
      <c r="I3533" t="n">
        <v>4</v>
      </c>
      <c r="S3533" t="n">
        <v>37456</v>
      </c>
      <c r="U3533" t="n">
        <v>37456</v>
      </c>
      <c r="AC3533">
        <f>IF(OR(E3533="",E3533="[PARENT]"),"ADD",IF(E3533="[ALT_VIEW]","ALT",""))</f>
        <v/>
      </c>
      <c r="AD3533">
        <f>IF(Y3533&lt;&gt;"",Y3533,IF(U3533&lt;&gt;"",U3533,S3533))</f>
        <v/>
      </c>
      <c r="AE3533">
        <f>IF(AB3533&lt;&gt;"",AB3533,Z3533)</f>
        <v/>
      </c>
      <c r="AF3533" t="inlineStr">
        <is>
          <t>P-5a Cost Analysis &gt; OPN_BA2 LI 2981 &gt; DC020 Dual Band Radar (DBR)</t>
        </is>
      </c>
      <c r="AJ3533" t="inlineStr">
        <is>
          <t>Dual Band Radar (DBR)</t>
        </is>
      </c>
    </row>
    <row r="3534">
      <c r="A3534" t="inlineStr">
        <is>
          <t>OPN_BA2</t>
        </is>
      </c>
      <c r="B3534" t="inlineStr">
        <is>
          <t>Procurement</t>
        </is>
      </c>
      <c r="D3534" t="inlineStr">
        <is>
          <t>In-Service Radars and Sensors - P-5a - Radar Restoration Material</t>
        </is>
      </c>
      <c r="E3534" t="inlineStr">
        <is>
          <t>[ALT_VIEW]</t>
        </is>
      </c>
      <c r="F3534" t="inlineStr">
        <is>
          <t>2981 / In-Service Radars and Sensors</t>
        </is>
      </c>
      <c r="G3534" t="inlineStr">
        <is>
          <t>P-5a</t>
        </is>
      </c>
      <c r="H3534" t="inlineStr">
        <is>
          <t>Recurring</t>
        </is>
      </c>
      <c r="I3534" t="n">
        <v>4</v>
      </c>
      <c r="S3534" t="n">
        <v>5127</v>
      </c>
      <c r="U3534" t="n">
        <v>5127</v>
      </c>
      <c r="AC3534">
        <f>IF(OR(E3534="",E3534="[PARENT]"),"ADD",IF(E3534="[ALT_VIEW]","ALT",""))</f>
        <v/>
      </c>
      <c r="AD3534">
        <f>IF(Y3534&lt;&gt;"",Y3534,IF(U3534&lt;&gt;"",U3534,S3534))</f>
        <v/>
      </c>
      <c r="AE3534">
        <f>IF(AB3534&lt;&gt;"",AB3534,Z3534)</f>
        <v/>
      </c>
      <c r="AF3534" t="inlineStr">
        <is>
          <t>P-5a Cost Analysis &gt; OPN_BA2 LI 2981 &gt; DC022 Radar Restoration Material</t>
        </is>
      </c>
      <c r="AJ3534" t="inlineStr">
        <is>
          <t>Radar Restoration Material</t>
        </is>
      </c>
    </row>
    <row r="3535">
      <c r="A3535" t="inlineStr">
        <is>
          <t>OPN_BA2</t>
        </is>
      </c>
      <c r="B3535" t="inlineStr">
        <is>
          <t>Procurement</t>
        </is>
      </c>
      <c r="D3535" t="inlineStr">
        <is>
          <t>In-Service Radars and Sensors - P-5a - I-STALKER</t>
        </is>
      </c>
      <c r="E3535" t="inlineStr">
        <is>
          <t>[ALT_VIEW]</t>
        </is>
      </c>
      <c r="F3535" t="inlineStr">
        <is>
          <t>2981 / In-Service Radars and Sensors</t>
        </is>
      </c>
      <c r="G3535" t="inlineStr">
        <is>
          <t>P-5a</t>
        </is>
      </c>
      <c r="H3535" t="inlineStr">
        <is>
          <t>Recurring</t>
        </is>
      </c>
      <c r="I3535" t="n">
        <v>4</v>
      </c>
      <c r="S3535" t="n">
        <v>12732</v>
      </c>
      <c r="U3535" t="n">
        <v>12732</v>
      </c>
      <c r="AC3535">
        <f>IF(OR(E3535="",E3535="[PARENT]"),"ADD",IF(E3535="[ALT_VIEW]","ALT",""))</f>
        <v/>
      </c>
      <c r="AD3535">
        <f>IF(Y3535&lt;&gt;"",Y3535,IF(U3535&lt;&gt;"",U3535,S3535))</f>
        <v/>
      </c>
      <c r="AE3535">
        <f>IF(AB3535&lt;&gt;"",AB3535,Z3535)</f>
        <v/>
      </c>
      <c r="AF3535" t="inlineStr">
        <is>
          <t>P-5a Cost Analysis &gt; OPN_BA2 LI 2981 &gt; DC026 I-STALKER</t>
        </is>
      </c>
      <c r="AJ3535" t="inlineStr">
        <is>
          <t>I-STALKER</t>
        </is>
      </c>
    </row>
    <row r="3536">
      <c r="A3536" t="inlineStr">
        <is>
          <t>OPN_BA2</t>
        </is>
      </c>
      <c r="B3536" t="inlineStr">
        <is>
          <t>Procurement</t>
        </is>
      </c>
      <c r="D3536" t="inlineStr">
        <is>
          <t>Cooperative Engagement Capability - P-5a - Signal Data Processors (SDP) Capability Enhancement</t>
        </is>
      </c>
      <c r="E3536" t="inlineStr">
        <is>
          <t>[ALT_VIEW]</t>
        </is>
      </c>
      <c r="F3536" t="inlineStr">
        <is>
          <t>2606 / Cooperative Engagement Capability</t>
        </is>
      </c>
      <c r="G3536" t="inlineStr">
        <is>
          <t>P-5a</t>
        </is>
      </c>
      <c r="H3536" t="inlineStr">
        <is>
          <t>Recurring</t>
        </is>
      </c>
      <c r="I3536" t="n">
        <v>4</v>
      </c>
      <c r="S3536" t="n">
        <v>8646</v>
      </c>
      <c r="U3536" t="n">
        <v>8646</v>
      </c>
      <c r="AC3536">
        <f>IF(OR(E3536="",E3536="[PARENT]"),"ADD",IF(E3536="[ALT_VIEW]","ALT",""))</f>
        <v/>
      </c>
      <c r="AD3536">
        <f>IF(Y3536&lt;&gt;"",Y3536,IF(U3536&lt;&gt;"",U3536,S3536))</f>
        <v/>
      </c>
      <c r="AE3536">
        <f>IF(AB3536&lt;&gt;"",AB3536,Z3536)</f>
        <v/>
      </c>
      <c r="AF3536" t="inlineStr">
        <is>
          <t>P-5a Cost Analysis &gt; OPN_BA2 LI 2606 &gt; UC017 Signal Data Processors (SDP) Capability Enhancement</t>
        </is>
      </c>
      <c r="AJ3536" t="inlineStr">
        <is>
          <t>Signal Data Processors (SDP) Capability Enhancement</t>
        </is>
      </c>
    </row>
    <row r="3537">
      <c r="A3537" t="inlineStr">
        <is>
          <t>OPN_BA2</t>
        </is>
      </c>
      <c r="B3537" t="inlineStr">
        <is>
          <t>Procurement</t>
        </is>
      </c>
      <c r="D3537" t="inlineStr">
        <is>
          <t>Cooperative Engagement Capability - P-5a - ECP/Kit Procurement</t>
        </is>
      </c>
      <c r="E3537" t="inlineStr">
        <is>
          <t>[ALT_VIEW]</t>
        </is>
      </c>
      <c r="F3537" t="inlineStr">
        <is>
          <t>2606 / Cooperative Engagement Capability</t>
        </is>
      </c>
      <c r="G3537" t="inlineStr">
        <is>
          <t>P-5a</t>
        </is>
      </c>
      <c r="H3537" t="inlineStr">
        <is>
          <t>Recurring</t>
        </is>
      </c>
      <c r="I3537" t="n">
        <v>4</v>
      </c>
      <c r="S3537" t="n">
        <v>5302</v>
      </c>
      <c r="U3537" t="n">
        <v>5302</v>
      </c>
      <c r="AC3537">
        <f>IF(OR(E3537="",E3537="[PARENT]"),"ADD",IF(E3537="[ALT_VIEW]","ALT",""))</f>
        <v/>
      </c>
      <c r="AD3537">
        <f>IF(Y3537&lt;&gt;"",Y3537,IF(U3537&lt;&gt;"",U3537,S3537))</f>
        <v/>
      </c>
      <c r="AE3537">
        <f>IF(AB3537&lt;&gt;"",AB3537,Z3537)</f>
        <v/>
      </c>
      <c r="AF3537" t="inlineStr">
        <is>
          <t>P-5a Cost Analysis &gt; OPN_BA2 LI 2606 &gt; UC004 ECP/Kit Procurement</t>
        </is>
      </c>
      <c r="AJ3537" t="inlineStr">
        <is>
          <t>ECP/Kit Procurement</t>
        </is>
      </c>
    </row>
    <row r="3538">
      <c r="A3538" t="inlineStr">
        <is>
          <t>OPN_BA2</t>
        </is>
      </c>
      <c r="B3538" t="inlineStr">
        <is>
          <t>Procurement</t>
        </is>
      </c>
      <c r="D3538" t="inlineStr">
        <is>
          <t>Cooperative Engagement Capability - P-5a - Production Engineering Support</t>
        </is>
      </c>
      <c r="E3538" t="inlineStr">
        <is>
          <t>[ALT_VIEW]</t>
        </is>
      </c>
      <c r="F3538" t="inlineStr">
        <is>
          <t>2606 / Cooperative Engagement Capability</t>
        </is>
      </c>
      <c r="G3538" t="inlineStr">
        <is>
          <t>P-5a</t>
        </is>
      </c>
      <c r="H3538" t="inlineStr">
        <is>
          <t>Support</t>
        </is>
      </c>
      <c r="I3538" t="n">
        <v>4</v>
      </c>
      <c r="S3538" t="n">
        <v>5300</v>
      </c>
      <c r="U3538" t="n">
        <v>5300</v>
      </c>
      <c r="AC3538">
        <f>IF(OR(E3538="",E3538="[PARENT]"),"ADD",IF(E3538="[ALT_VIEW]","ALT",""))</f>
        <v/>
      </c>
      <c r="AD3538">
        <f>IF(Y3538&lt;&gt;"",Y3538,IF(U3538&lt;&gt;"",U3538,S3538))</f>
        <v/>
      </c>
      <c r="AE3538">
        <f>IF(AB3538&lt;&gt;"",AB3538,Z3538)</f>
        <v/>
      </c>
      <c r="AF3538" t="inlineStr">
        <is>
          <t>P-5a Cost Analysis &gt; OPN_BA2 LI 2606 &gt; UC830 Production Engineering Support</t>
        </is>
      </c>
      <c r="AJ3538" t="inlineStr">
        <is>
          <t>Production Engineering Support</t>
        </is>
      </c>
    </row>
    <row r="3539">
      <c r="A3539" t="inlineStr">
        <is>
          <t>OPN_BA2</t>
        </is>
      </c>
      <c r="B3539" t="inlineStr">
        <is>
          <t>Procurement</t>
        </is>
      </c>
      <c r="D3539" t="inlineStr">
        <is>
          <t>Cooperative Engagement Capability - P-5a - System Component Upgrades (AECU to ECSC)</t>
        </is>
      </c>
      <c r="E3539" t="inlineStr">
        <is>
          <t>[ALT_VIEW]</t>
        </is>
      </c>
      <c r="F3539" t="inlineStr">
        <is>
          <t>2606 / Cooperative Engagement Capability</t>
        </is>
      </c>
      <c r="G3539" t="inlineStr">
        <is>
          <t>P-5a</t>
        </is>
      </c>
      <c r="H3539" t="inlineStr">
        <is>
          <t>Recurring</t>
        </is>
      </c>
      <c r="I3539" t="n">
        <v>4</v>
      </c>
      <c r="S3539" t="n">
        <v>4310</v>
      </c>
      <c r="U3539" t="n">
        <v>4310</v>
      </c>
      <c r="AC3539">
        <f>IF(OR(E3539="",E3539="[PARENT]"),"ADD",IF(E3539="[ALT_VIEW]","ALT",""))</f>
        <v/>
      </c>
      <c r="AD3539">
        <f>IF(Y3539&lt;&gt;"",Y3539,IF(U3539&lt;&gt;"",U3539,S3539))</f>
        <v/>
      </c>
      <c r="AE3539">
        <f>IF(AB3539&lt;&gt;"",AB3539,Z3539)</f>
        <v/>
      </c>
      <c r="AF3539" t="inlineStr">
        <is>
          <t>P-5a Cost Analysis &gt; OPN_BA2 LI 2606 &gt; UC016 System Component Upgrades (AECU to ECSC)</t>
        </is>
      </c>
      <c r="AJ3539" t="inlineStr">
        <is>
          <t>System Component Upgrades (AECU to ECSC)</t>
        </is>
      </c>
    </row>
    <row r="3540">
      <c r="A3540" t="inlineStr">
        <is>
          <t>OPN_BA1</t>
        </is>
      </c>
      <c r="B3540" t="inlineStr">
        <is>
          <t>Procurement</t>
        </is>
      </c>
      <c r="D3540" t="inlineStr">
        <is>
          <t>Standard Boats - P-5a - CNIC Force Protection (Medium)</t>
        </is>
      </c>
      <c r="E3540" t="inlineStr">
        <is>
          <t>[ALT_VIEW]</t>
        </is>
      </c>
      <c r="F3540" t="inlineStr">
        <is>
          <t>31 / Standard Boats</t>
        </is>
      </c>
      <c r="G3540" t="inlineStr">
        <is>
          <t>P-5a</t>
        </is>
      </c>
      <c r="H3540" t="inlineStr">
        <is>
          <t>Recurring</t>
        </is>
      </c>
      <c r="I3540" t="n">
        <v>1</v>
      </c>
      <c r="S3540" t="n">
        <v>9607</v>
      </c>
      <c r="U3540" t="n">
        <v>9607</v>
      </c>
      <c r="AC3540">
        <f>IF(OR(E3540="",E3540="[PARENT]"),"ADD",IF(E3540="[ALT_VIEW]","ALT",""))</f>
        <v/>
      </c>
      <c r="AD3540">
        <f>IF(Y3540&lt;&gt;"",Y3540,IF(U3540&lt;&gt;"",U3540,S3540))</f>
        <v/>
      </c>
      <c r="AE3540">
        <f>IF(AB3540&lt;&gt;"",AB3540,Z3540)</f>
        <v/>
      </c>
      <c r="AF3540" t="inlineStr">
        <is>
          <t>P-5a Cost Analysis &gt; OPN_BA1 LI 1210 &gt; H0001-1.3 CNIC Force Protection (Medium)</t>
        </is>
      </c>
      <c r="AJ3540" t="inlineStr">
        <is>
          <t>CNIC Force Protection (Medium)</t>
        </is>
      </c>
    </row>
    <row r="3541">
      <c r="A3541" t="inlineStr">
        <is>
          <t>OPN_BA1</t>
        </is>
      </c>
      <c r="B3541" t="inlineStr">
        <is>
          <t>Procurement</t>
        </is>
      </c>
      <c r="D3541" t="inlineStr">
        <is>
          <t>Standard Boats - P-5a - 7M (24 ft) RIB</t>
        </is>
      </c>
      <c r="E3541" t="inlineStr">
        <is>
          <t>[ALT_VIEW]</t>
        </is>
      </c>
      <c r="F3541" t="inlineStr">
        <is>
          <t>31 / Standard Boats</t>
        </is>
      </c>
      <c r="G3541" t="inlineStr">
        <is>
          <t>P-5a</t>
        </is>
      </c>
      <c r="H3541" t="inlineStr">
        <is>
          <t>Recurring</t>
        </is>
      </c>
      <c r="I3541" t="n">
        <v>1</v>
      </c>
      <c r="S3541" t="n">
        <v>3892</v>
      </c>
      <c r="U3541" t="n">
        <v>3892</v>
      </c>
      <c r="AC3541">
        <f>IF(OR(E3541="",E3541="[PARENT]"),"ADD",IF(E3541="[ALT_VIEW]","ALT",""))</f>
        <v/>
      </c>
      <c r="AD3541">
        <f>IF(Y3541&lt;&gt;"",Y3541,IF(U3541&lt;&gt;"",U3541,S3541))</f>
        <v/>
      </c>
      <c r="AE3541">
        <f>IF(AB3541&lt;&gt;"",AB3541,Z3541)</f>
        <v/>
      </c>
      <c r="AF3541" t="inlineStr">
        <is>
          <t>P-5a Cost Analysis &gt; OPN_BA1 LI 1210 &gt; H0002-2.1 7M (24 ft) RIB</t>
        </is>
      </c>
      <c r="AJ3541" t="inlineStr">
        <is>
          <t>7M (24 ft) RIB</t>
        </is>
      </c>
    </row>
    <row r="3542">
      <c r="A3542" t="inlineStr">
        <is>
          <t>OPN_BA1</t>
        </is>
      </c>
      <c r="B3542" t="inlineStr">
        <is>
          <t>Procurement</t>
        </is>
      </c>
      <c r="D3542" t="inlineStr">
        <is>
          <t>Standard Boats - P-5a - 11M (36 ft) RIB</t>
        </is>
      </c>
      <c r="E3542" t="inlineStr">
        <is>
          <t>[ALT_VIEW]</t>
        </is>
      </c>
      <c r="F3542" t="inlineStr">
        <is>
          <t>31 / Standard Boats</t>
        </is>
      </c>
      <c r="G3542" t="inlineStr">
        <is>
          <t>P-5a</t>
        </is>
      </c>
      <c r="H3542" t="inlineStr">
        <is>
          <t>Recurring</t>
        </is>
      </c>
      <c r="I3542" t="n">
        <v>1</v>
      </c>
      <c r="S3542" t="n">
        <v>3588</v>
      </c>
      <c r="U3542" t="n">
        <v>3588</v>
      </c>
      <c r="AC3542">
        <f>IF(OR(E3542="",E3542="[PARENT]"),"ADD",IF(E3542="[ALT_VIEW]","ALT",""))</f>
        <v/>
      </c>
      <c r="AD3542">
        <f>IF(Y3542&lt;&gt;"",Y3542,IF(U3542&lt;&gt;"",U3542,S3542))</f>
        <v/>
      </c>
      <c r="AE3542">
        <f>IF(AB3542&lt;&gt;"",AB3542,Z3542)</f>
        <v/>
      </c>
      <c r="AF3542" t="inlineStr">
        <is>
          <t>P-5a Cost Analysis &gt; OPN_BA1 LI 1210 &gt; H0002-2.2 11M (36 ft) RIB</t>
        </is>
      </c>
      <c r="AJ3542" t="inlineStr">
        <is>
          <t>11M (36 ft) RIB</t>
        </is>
      </c>
    </row>
    <row r="3543">
      <c r="A3543" t="inlineStr">
        <is>
          <t>OPN_BA1</t>
        </is>
      </c>
      <c r="B3543" t="inlineStr">
        <is>
          <t>Procurement</t>
        </is>
      </c>
      <c r="D3543" t="inlineStr">
        <is>
          <t>Standard Boats - P-5a - EOD Support Craft RIB</t>
        </is>
      </c>
      <c r="E3543" t="inlineStr">
        <is>
          <t>[ALT_VIEW]</t>
        </is>
      </c>
      <c r="F3543" t="inlineStr">
        <is>
          <t>31 / Standard Boats</t>
        </is>
      </c>
      <c r="G3543" t="inlineStr">
        <is>
          <t>P-5a</t>
        </is>
      </c>
      <c r="H3543" t="inlineStr">
        <is>
          <t>Recurring</t>
        </is>
      </c>
      <c r="I3543" t="n">
        <v>1</v>
      </c>
      <c r="S3543" t="n">
        <v>7956</v>
      </c>
      <c r="U3543" t="n">
        <v>7956</v>
      </c>
      <c r="AC3543">
        <f>IF(OR(E3543="",E3543="[PARENT]"),"ADD",IF(E3543="[ALT_VIEW]","ALT",""))</f>
        <v/>
      </c>
      <c r="AD3543">
        <f>IF(Y3543&lt;&gt;"",Y3543,IF(U3543&lt;&gt;"",U3543,S3543))</f>
        <v/>
      </c>
      <c r="AE3543">
        <f>IF(AB3543&lt;&gt;"",AB3543,Z3543)</f>
        <v/>
      </c>
      <c r="AF3543" t="inlineStr">
        <is>
          <t>P-5a Cost Analysis &gt; OPN_BA1 LI 1210 &gt; H0003-3.1 EOD Support Craft RIB</t>
        </is>
      </c>
      <c r="AJ3543" t="inlineStr">
        <is>
          <t>EOD Support Craft RIB</t>
        </is>
      </c>
    </row>
    <row r="3544">
      <c r="A3544" t="inlineStr">
        <is>
          <t>OPN_BA1</t>
        </is>
      </c>
      <c r="B3544" t="inlineStr">
        <is>
          <t>Procurement</t>
        </is>
      </c>
      <c r="D3544" t="inlineStr">
        <is>
          <t>Standard Boats - P-5a - NSW Long Range Support Craft</t>
        </is>
      </c>
      <c r="E3544" t="inlineStr">
        <is>
          <t>[ALT_VIEW]</t>
        </is>
      </c>
      <c r="F3544" t="inlineStr">
        <is>
          <t>31 / Standard Boats</t>
        </is>
      </c>
      <c r="G3544" t="inlineStr">
        <is>
          <t>P-5a</t>
        </is>
      </c>
      <c r="H3544" t="inlineStr">
        <is>
          <t>Recurring</t>
        </is>
      </c>
      <c r="I3544" t="n">
        <v>1</v>
      </c>
      <c r="S3544" t="n">
        <v>4053</v>
      </c>
      <c r="U3544" t="n">
        <v>4053</v>
      </c>
      <c r="AC3544">
        <f>IF(OR(E3544="",E3544="[PARENT]"),"ADD",IF(E3544="[ALT_VIEW]","ALT",""))</f>
        <v/>
      </c>
      <c r="AD3544">
        <f>IF(Y3544&lt;&gt;"",Y3544,IF(U3544&lt;&gt;"",U3544,S3544))</f>
        <v/>
      </c>
      <c r="AE3544">
        <f>IF(AB3544&lt;&gt;"",AB3544,Z3544)</f>
        <v/>
      </c>
      <c r="AF3544" t="inlineStr">
        <is>
          <t>P-5a Cost Analysis &gt; OPN_BA1 LI 1210 &gt; H0004-4.1 NSW Long Range Support Craft</t>
        </is>
      </c>
      <c r="AJ3544" t="inlineStr">
        <is>
          <t>NSW Long Range Support Craft</t>
        </is>
      </c>
    </row>
    <row r="3545">
      <c r="A3545" t="inlineStr">
        <is>
          <t>OPN_BA1</t>
        </is>
      </c>
      <c r="B3545" t="inlineStr">
        <is>
          <t>Procurement</t>
        </is>
      </c>
      <c r="D3545" t="inlineStr">
        <is>
          <t>Standard Boats - P-5a - NSW Short Range Support Craft</t>
        </is>
      </c>
      <c r="E3545" t="inlineStr">
        <is>
          <t>[ALT_VIEW]</t>
        </is>
      </c>
      <c r="F3545" t="inlineStr">
        <is>
          <t>31 / Standard Boats</t>
        </is>
      </c>
      <c r="G3545" t="inlineStr">
        <is>
          <t>P-5a</t>
        </is>
      </c>
      <c r="H3545" t="inlineStr">
        <is>
          <t>Recurring</t>
        </is>
      </c>
      <c r="I3545" t="n">
        <v>1</v>
      </c>
      <c r="S3545" t="n">
        <v>3224</v>
      </c>
      <c r="U3545" t="n">
        <v>3224</v>
      </c>
      <c r="AC3545">
        <f>IF(OR(E3545="",E3545="[PARENT]"),"ADD",IF(E3545="[ALT_VIEW]","ALT",""))</f>
        <v/>
      </c>
      <c r="AD3545">
        <f>IF(Y3545&lt;&gt;"",Y3545,IF(U3545&lt;&gt;"",U3545,S3545))</f>
        <v/>
      </c>
      <c r="AE3545">
        <f>IF(AB3545&lt;&gt;"",AB3545,Z3545)</f>
        <v/>
      </c>
      <c r="AF3545" t="inlineStr">
        <is>
          <t>P-5a Cost Analysis &gt; OPN_BA1 LI 1210 &gt; H0004-4.2 NSW Short Range Support Craft</t>
        </is>
      </c>
      <c r="AJ3545" t="inlineStr">
        <is>
          <t>NSW Short Range Support Craft</t>
        </is>
      </c>
    </row>
    <row r="3546">
      <c r="A3546" t="inlineStr">
        <is>
          <t>OPN_BA1</t>
        </is>
      </c>
      <c r="B3546" t="inlineStr">
        <is>
          <t>Procurement</t>
        </is>
      </c>
      <c r="D3546" t="inlineStr">
        <is>
          <t>Standard Boats - P-5a - Submarine Warfare (Dive Boat)</t>
        </is>
      </c>
      <c r="E3546" t="inlineStr">
        <is>
          <t>[ALT_VIEW]</t>
        </is>
      </c>
      <c r="F3546" t="inlineStr">
        <is>
          <t>31 / Standard Boats</t>
        </is>
      </c>
      <c r="G3546" t="inlineStr">
        <is>
          <t>P-5a</t>
        </is>
      </c>
      <c r="H3546" t="inlineStr">
        <is>
          <t>Recurring</t>
        </is>
      </c>
      <c r="I3546" t="n">
        <v>1</v>
      </c>
      <c r="S3546" t="n">
        <v>4500</v>
      </c>
      <c r="U3546" t="n">
        <v>4500</v>
      </c>
      <c r="AC3546">
        <f>IF(OR(E3546="",E3546="[PARENT]"),"ADD",IF(E3546="[ALT_VIEW]","ALT",""))</f>
        <v/>
      </c>
      <c r="AD3546">
        <f>IF(Y3546&lt;&gt;"",Y3546,IF(U3546&lt;&gt;"",U3546,S3546))</f>
        <v/>
      </c>
      <c r="AE3546">
        <f>IF(AB3546&lt;&gt;"",AB3546,Z3546)</f>
        <v/>
      </c>
      <c r="AF3546" t="inlineStr">
        <is>
          <t>P-5a Cost Analysis &gt; OPN_BA1 LI 1210 &gt; H0009 Submarine Warfare (Dive Boat)</t>
        </is>
      </c>
      <c r="AJ3546" t="inlineStr">
        <is>
          <t>Submarine Warfare (Dive Boat)</t>
        </is>
      </c>
    </row>
    <row r="3547">
      <c r="A3547" t="inlineStr">
        <is>
          <t>OPN_BA1</t>
        </is>
      </c>
      <c r="B3547" t="inlineStr">
        <is>
          <t>Procurement</t>
        </is>
      </c>
      <c r="D3547" t="inlineStr">
        <is>
          <t>Standard Boats - P-5a - CNIC Workboat (Medium)</t>
        </is>
      </c>
      <c r="E3547" t="inlineStr">
        <is>
          <t>[ALT_VIEW]</t>
        </is>
      </c>
      <c r="F3547" t="inlineStr">
        <is>
          <t>31 / Standard Boats</t>
        </is>
      </c>
      <c r="G3547" t="inlineStr">
        <is>
          <t>P-5a</t>
        </is>
      </c>
      <c r="H3547" t="inlineStr">
        <is>
          <t>Recurring</t>
        </is>
      </c>
      <c r="I3547" t="n">
        <v>1</v>
      </c>
      <c r="S3547" t="n">
        <v>2231</v>
      </c>
      <c r="U3547" t="n">
        <v>2231</v>
      </c>
      <c r="AC3547">
        <f>IF(OR(E3547="",E3547="[PARENT]"),"ADD",IF(E3547="[ALT_VIEW]","ALT",""))</f>
        <v/>
      </c>
      <c r="AD3547">
        <f>IF(Y3547&lt;&gt;"",Y3547,IF(U3547&lt;&gt;"",U3547,S3547))</f>
        <v/>
      </c>
      <c r="AE3547">
        <f>IF(AB3547&lt;&gt;"",AB3547,Z3547)</f>
        <v/>
      </c>
      <c r="AF3547" t="inlineStr">
        <is>
          <t>P-5a Cost Analysis &gt; OPN_BA1 LI 1210 &gt; H0001-1.5 CNIC Workboat (Medium)</t>
        </is>
      </c>
      <c r="AJ3547" t="inlineStr">
        <is>
          <t>CNIC Workboat (Medium)</t>
        </is>
      </c>
    </row>
    <row r="3548">
      <c r="A3548" t="inlineStr">
        <is>
          <t>OPN_BA1</t>
        </is>
      </c>
      <c r="B3548" t="inlineStr">
        <is>
          <t>Procurement</t>
        </is>
      </c>
      <c r="D3548" t="inlineStr">
        <is>
          <t>Standard Boats - P-5a - Arizona Memorial Ferry</t>
        </is>
      </c>
      <c r="E3548" t="inlineStr">
        <is>
          <t>[ALT_VIEW]</t>
        </is>
      </c>
      <c r="F3548" t="inlineStr">
        <is>
          <t>31 / Standard Boats</t>
        </is>
      </c>
      <c r="G3548" t="inlineStr">
        <is>
          <t>P-5a</t>
        </is>
      </c>
      <c r="H3548" t="inlineStr">
        <is>
          <t>Recurring</t>
        </is>
      </c>
      <c r="I3548" t="n">
        <v>1</v>
      </c>
      <c r="S3548" t="n">
        <v>2000</v>
      </c>
      <c r="U3548" t="n">
        <v>2000</v>
      </c>
      <c r="AC3548">
        <f>IF(OR(E3548="",E3548="[PARENT]"),"ADD",IF(E3548="[ALT_VIEW]","ALT",""))</f>
        <v/>
      </c>
      <c r="AD3548">
        <f>IF(Y3548&lt;&gt;"",Y3548,IF(U3548&lt;&gt;"",U3548,S3548))</f>
        <v/>
      </c>
      <c r="AE3548">
        <f>IF(AB3548&lt;&gt;"",AB3548,Z3548)</f>
        <v/>
      </c>
      <c r="AF3548" t="inlineStr">
        <is>
          <t>P-5a Cost Analysis &gt; OPN_BA1 LI 1210 &gt; H0001-1.7 Arizona Memorial Ferry</t>
        </is>
      </c>
      <c r="AJ3548" t="inlineStr">
        <is>
          <t>Arizona Memorial Ferry</t>
        </is>
      </c>
    </row>
    <row r="3549">
      <c r="A3549" t="inlineStr">
        <is>
          <t>OPN_BA1</t>
        </is>
      </c>
      <c r="B3549" t="inlineStr">
        <is>
          <t>Procurement</t>
        </is>
      </c>
      <c r="D3549" t="inlineStr">
        <is>
          <t>Submarine Support Equipment - P-40a - Acoustic Superiority Machinery Alterations</t>
        </is>
      </c>
      <c r="E3549" t="inlineStr">
        <is>
          <t>[ALT_VIEW]</t>
        </is>
      </c>
      <c r="F3549" t="inlineStr">
        <is>
          <t>11 / Submarine Support Equipment</t>
        </is>
      </c>
      <c r="G3549" t="inlineStr">
        <is>
          <t>P-40a</t>
        </is>
      </c>
      <c r="H3549" t="inlineStr">
        <is>
          <t>Recurring</t>
        </is>
      </c>
      <c r="I3549" t="n">
        <v>4</v>
      </c>
      <c r="K3549" t="inlineStr">
        <is>
          <t>USN</t>
        </is>
      </c>
      <c r="L3549" t="inlineStr">
        <is>
          <t>Combatant Ships</t>
        </is>
      </c>
      <c r="M3549" t="inlineStr">
        <is>
          <t>Submarines</t>
        </is>
      </c>
      <c r="S3549" t="n">
        <v>5829</v>
      </c>
      <c r="U3549" t="n">
        <v>5829</v>
      </c>
      <c r="AC3549">
        <f>IF(OR(E3549="",E3549="[PARENT]"),"ADD",IF(E3549="[ALT_VIEW]","ALT",""))</f>
        <v/>
      </c>
      <c r="AD3549">
        <f>IF(Y3549&lt;&gt;"",Y3549,IF(U3549&lt;&gt;"",U3549,S3549))</f>
        <v/>
      </c>
      <c r="AE3549">
        <f>IF(AB3549&lt;&gt;"",AB3549,Z3549)</f>
        <v/>
      </c>
      <c r="AF3549" t="inlineStr">
        <is>
          <t>P-40a Cost Analysis &gt; OPN_BA1 LI 0941 &gt; PB002 Acoustic Superiority Machinery Alterations</t>
        </is>
      </c>
      <c r="AJ3549" t="inlineStr">
        <is>
          <t>Acoustic Superiority Machinery Alterations</t>
        </is>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U8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c r="S1" s="25" t="n"/>
      <c r="T1" s="25" t="n"/>
      <c r="U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0" t="inlineStr">
        <is>
          <t xml:space="preserve">  Less: Boats</t>
        </is>
      </c>
      <c r="B9" s="31">
        <f>-SUMIFS(JB_26BV,JB_B,1,JB_V,"Boats",JB_RC,"ADD")</f>
        <v/>
      </c>
    </row>
    <row r="10" ht="10" customHeight="1">
      <c r="A10" s="30" t="inlineStr">
        <is>
          <t xml:space="preserve">  Less: No vessel type designation</t>
        </is>
      </c>
      <c r="B10" s="31">
        <f>-(SUMIFS(JB_26BV,JB_B,1,JB_V,"Auxiliary Ships",JB_W,"",JB_RC,"ADD")+SUMIFS(JB_26BV,JB_B,1,JB_V,"Combatant Ships",JB_W,"",JB_RC,"ADD")+SUMIFS(JB_26BV,JB_B,1,JB_V,"Cutters",JB_W,"",JB_RC,"ADD")+SUMIFS(JB_26BV,JB_B,1,JB_V,"Unmanned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FY2026 ($K)</t>
        </is>
      </c>
      <c r="D15" s="29" t="inlineStr">
        <is>
          <t>% of TAM</t>
        </is>
      </c>
    </row>
    <row r="16" ht="10" customHeight="1">
      <c r="A16" s="30" t="inlineStr">
        <is>
          <t>Submarines</t>
        </is>
      </c>
      <c r="B16" s="30" t="inlineStr">
        <is>
          <t>USN</t>
        </is>
      </c>
      <c r="C16" s="31">
        <f>SUMIFS(JB_26BV,JB_B,1,JB_W,"Submarines",JB_RC,"ADD")</f>
        <v/>
      </c>
      <c r="D16" s="37">
        <f>IFERROR(C16/C$44,0)</f>
        <v/>
      </c>
    </row>
    <row r="17" ht="10" customHeight="1">
      <c r="A17" s="30" t="inlineStr">
        <is>
          <t>Surface Combatants</t>
        </is>
      </c>
      <c r="B17" s="30" t="inlineStr">
        <is>
          <t>USN</t>
        </is>
      </c>
      <c r="C17" s="31">
        <f>SUMIFS(JB_26BV,JB_B,1,JB_W,"Surface Combatants",JB_RC,"ADD")</f>
        <v/>
      </c>
      <c r="D17" s="37">
        <f>IFERROR(C17/C$44,0)</f>
        <v/>
      </c>
    </row>
    <row r="18" ht="10" customHeight="1">
      <c r="A18" s="30" t="inlineStr">
        <is>
          <t>Aircraft Carriers</t>
        </is>
      </c>
      <c r="B18" s="30" t="inlineStr">
        <is>
          <t>USN</t>
        </is>
      </c>
      <c r="C18" s="31">
        <f>SUMIFS(JB_26BV,JB_B,1,JB_W,"Aircraft Carriers",JB_RC,"ADD")</f>
        <v/>
      </c>
      <c r="D18" s="37">
        <f>IFERROR(C18/C$44,0)</f>
        <v/>
      </c>
    </row>
    <row r="19" ht="10" customHeight="1">
      <c r="A19" s="30" t="inlineStr">
        <is>
          <t>Expeditionary &amp; Seabasing Ships</t>
        </is>
      </c>
      <c r="B19" s="30" t="inlineStr">
        <is>
          <t>USN</t>
        </is>
      </c>
      <c r="C19" s="31">
        <f>SUMIFS(JB_26BV,JB_B,1,JB_W,"Expeditionary &amp; Seabasing Ships",JB_RC,"ADD")</f>
        <v/>
      </c>
      <c r="D19" s="37">
        <f>IFERROR(C19/C$44,0)</f>
        <v/>
      </c>
    </row>
    <row r="20" ht="10" customHeight="1">
      <c r="A20" s="30" t="inlineStr">
        <is>
          <t>Combat Logistics Ships</t>
        </is>
      </c>
      <c r="B20" s="30" t="inlineStr">
        <is>
          <t>MSC</t>
        </is>
      </c>
      <c r="C20" s="31">
        <f>SUMIFS(JB_26BV,JB_B,1,JB_W,"Combat Logistics Ships",JB_RC,"ADD")</f>
        <v/>
      </c>
      <c r="D20" s="37">
        <f>IFERROR(C20/C$44,0)</f>
        <v/>
      </c>
    </row>
    <row r="21" ht="10" customHeight="1">
      <c r="A21" s="30" t="inlineStr">
        <is>
          <t>Amphibious Warfare Ships</t>
        </is>
      </c>
      <c r="B21" s="30" t="inlineStr">
        <is>
          <t>USN</t>
        </is>
      </c>
      <c r="C21" s="31">
        <f>SUMIFS(JB_26BV,JB_B,1,JB_W,"Amphibious Warfare Ships",JB_RC,"ADD")</f>
        <v/>
      </c>
      <c r="D21" s="37">
        <f>IFERROR(C21/C$44,0)</f>
        <v/>
      </c>
    </row>
    <row r="22" ht="10" customHeight="1">
      <c r="A22" s="30" t="inlineStr">
        <is>
          <t>Unmanned Surface Vehicles</t>
        </is>
      </c>
      <c r="B22" s="30" t="inlineStr">
        <is>
          <t>USN</t>
        </is>
      </c>
      <c r="C22" s="31">
        <f>SUMIFS(JB_26BV,JB_B,1,JB_W,"Unmanned Surface Vehicles",JB_RC,"ADD")</f>
        <v/>
      </c>
      <c r="D22" s="37">
        <f>IFERROR(C22/C$44,0)</f>
        <v/>
      </c>
    </row>
    <row r="23" ht="10" customHeight="1">
      <c r="A23" s="30" t="inlineStr">
        <is>
          <t>Cargo &amp; Vehicle Cargo Ships</t>
        </is>
      </c>
      <c r="B23" s="30" t="inlineStr">
        <is>
          <t>USN</t>
        </is>
      </c>
      <c r="C23" s="31">
        <f>SUMIFS(JB_26BV,JB_B,1,JB_W,"Cargo &amp; Vehicle Cargo Ships",JB_RC,"ADD")</f>
        <v/>
      </c>
      <c r="D23" s="37">
        <f>IFERROR(C23/C$44,0)</f>
        <v/>
      </c>
    </row>
    <row r="24" ht="10" customHeight="1">
      <c r="A24" s="30" t="inlineStr">
        <is>
          <t>Surveillance Ships</t>
        </is>
      </c>
      <c r="B24" s="30" t="inlineStr">
        <is>
          <t>USN</t>
        </is>
      </c>
      <c r="C24" s="31">
        <f>SUMIFS(JB_26BV,JB_B,1,JB_W,"Surveillance Ships",JB_RC,"ADD")</f>
        <v/>
      </c>
      <c r="D24" s="37">
        <f>IFERROR(C24/C$44,0)</f>
        <v/>
      </c>
    </row>
    <row r="25" ht="10" customHeight="1">
      <c r="A25" s="30" t="inlineStr">
        <is>
          <t>Unmanned Undersea Vehicles</t>
        </is>
      </c>
      <c r="B25" s="30" t="inlineStr">
        <is>
          <t>USN</t>
        </is>
      </c>
      <c r="C25" s="31">
        <f>SUMIFS(JB_26BV,JB_B,1,JB_W,"Unmanned Undersea Vehicles",JB_RC,"ADD")</f>
        <v/>
      </c>
      <c r="D25" s="37">
        <f>IFERROR(C25/C$44,0)</f>
        <v/>
      </c>
    </row>
    <row r="26" ht="10" customHeight="1">
      <c r="A26" s="30" t="inlineStr">
        <is>
          <t>Salvage Ships &amp; Fleet Ocean Tugs</t>
        </is>
      </c>
      <c r="B26" s="30" t="inlineStr">
        <is>
          <t>MSC</t>
        </is>
      </c>
      <c r="C26" s="31">
        <f>SUMIFS(JB_26BV,JB_B,1,JB_W,"Salvage Ships &amp; Fleet Ocean Tugs",JB_RC,"ADD")</f>
        <v/>
      </c>
      <c r="D26" s="37">
        <f>IFERROR(C26/C$44,0)</f>
        <v/>
      </c>
    </row>
    <row r="27" ht="10" customHeight="1">
      <c r="A27" s="30" t="inlineStr">
        <is>
          <t>Aviation Logistics Support Ship</t>
        </is>
      </c>
      <c r="B27" s="30" t="inlineStr">
        <is>
          <t>USN</t>
        </is>
      </c>
      <c r="C27" s="31">
        <f>SUMIFS(JB_26BV,JB_B,1,JB_W,"Aviation Logistics Support Ship",JB_RC,"ADD")</f>
        <v/>
      </c>
      <c r="D27" s="37">
        <f>IFERROR(C27/C$44,0)</f>
        <v/>
      </c>
    </row>
    <row r="28" ht="10" customHeight="1">
      <c r="A28" s="30" t="inlineStr">
        <is>
          <t>Research, Survey &amp; Instrumentation Ships</t>
        </is>
      </c>
      <c r="B28" s="30" t="inlineStr">
        <is>
          <t>MSC</t>
        </is>
      </c>
      <c r="C28" s="31">
        <f>SUMIFS(JB_26BV,JB_B,1,JB_W,"Research, Survey &amp; Instrumentation Ships",JB_RC,"ADD")</f>
        <v/>
      </c>
      <c r="D28" s="37">
        <f>IFERROR(C28/C$44,0)</f>
        <v/>
      </c>
    </row>
    <row r="29" ht="10" customHeight="1">
      <c r="A29" s="30" t="inlineStr">
        <is>
          <t>High Speed Transport</t>
        </is>
      </c>
      <c r="B29" s="30" t="inlineStr">
        <is>
          <t>USN</t>
        </is>
      </c>
      <c r="C29" s="31">
        <f>SUMIFS(JB_26BV,JB_B,1,JB_W,"High Speed Transport",JB_RC,"ADD")</f>
        <v/>
      </c>
      <c r="D29" s="37">
        <f>IFERROR(C29/C$44,0)</f>
        <v/>
      </c>
    </row>
    <row r="30" ht="10" customHeight="1">
      <c r="A30" s="30" t="inlineStr">
        <is>
          <t>Crane Ship</t>
        </is>
      </c>
      <c r="B30" s="30" t="inlineStr">
        <is>
          <t>USN</t>
        </is>
      </c>
      <c r="C30" s="31">
        <f>SUMIFS(JB_26BV,JB_B,1,JB_W,"Crane Ship",JB_RC,"ADD")</f>
        <v/>
      </c>
      <c r="D30" s="37">
        <f>IFERROR(C30/C$44,0)</f>
        <v/>
      </c>
    </row>
    <row r="31" ht="10" customHeight="1">
      <c r="A31" s="30" t="inlineStr">
        <is>
          <t>Submarine Escort Ship</t>
        </is>
      </c>
      <c r="B31" s="30" t="inlineStr">
        <is>
          <t>USN</t>
        </is>
      </c>
      <c r="C31" s="31">
        <f>SUMIFS(JB_26BV,JB_B,1,JB_W,"Submarine Escort Ship",JB_RC,"ADD")</f>
        <v/>
      </c>
      <c r="D31" s="37">
        <f>IFERROR(C31/C$44,0)</f>
        <v/>
      </c>
    </row>
    <row r="32" ht="10" customHeight="1">
      <c r="A32" s="30" t="inlineStr">
        <is>
          <t>Material Support Ships</t>
        </is>
      </c>
      <c r="B32" s="30" t="inlineStr">
        <is>
          <t>USN</t>
        </is>
      </c>
      <c r="C32" s="31">
        <f>SUMIFS(JB_26BV,JB_B,1,JB_W,"Material Support Ships",JB_RC,"ADD")</f>
        <v/>
      </c>
      <c r="D32" s="37">
        <f>IFERROR(C32/C$44,0)</f>
        <v/>
      </c>
    </row>
    <row r="33" ht="10" customHeight="1">
      <c r="A33" s="30" t="inlineStr">
        <is>
          <t>Command Ships</t>
        </is>
      </c>
      <c r="B33" s="30" t="inlineStr">
        <is>
          <t>USN</t>
        </is>
      </c>
      <c r="C33" s="31">
        <f>SUMIFS(JB_26BV,JB_B,1,JB_W,"Command Ships",JB_RC,"ADD")</f>
        <v/>
      </c>
      <c r="D33" s="37">
        <f>IFERROR(C33/C$44,0)</f>
        <v/>
      </c>
    </row>
    <row r="34" ht="10" customHeight="1">
      <c r="A34" s="30" t="inlineStr">
        <is>
          <t>Mine Warfare</t>
        </is>
      </c>
      <c r="B34" s="30" t="inlineStr">
        <is>
          <t>USN</t>
        </is>
      </c>
      <c r="C34" s="31">
        <f>SUMIFS(JB_26BV,JB_B,1,JB_W,"Mine Warfare",JB_RC,"ADD")</f>
        <v/>
      </c>
      <c r="D34" s="37">
        <f>IFERROR(C34/C$44,0)</f>
        <v/>
      </c>
    </row>
    <row r="35" ht="10" customHeight="1">
      <c r="A35" s="30" t="inlineStr">
        <is>
          <t>General Auxiliary</t>
        </is>
      </c>
      <c r="B35" s="30" t="inlineStr">
        <is>
          <t>USN</t>
        </is>
      </c>
      <c r="C35" s="31">
        <f>SUMIFS(JB_26BV,JB_B,1,JB_W,"General Auxiliary",JB_RC,"ADD")</f>
        <v/>
      </c>
      <c r="D35" s="37">
        <f>IFERROR(C35/C$44,0)</f>
        <v/>
      </c>
    </row>
    <row r="36" ht="10" customHeight="1">
      <c r="A36" s="30" t="inlineStr">
        <is>
          <t>Hospital Ship</t>
        </is>
      </c>
      <c r="B36" s="30" t="inlineStr">
        <is>
          <t>MSC</t>
        </is>
      </c>
      <c r="C36" s="31">
        <f>SUMIFS(JB_26BV,JB_B,1,JB_W,"Hospital Ship",JB_RC,"ADD")</f>
        <v/>
      </c>
      <c r="D36" s="37">
        <f>IFERROR(C36/C$44,0)</f>
        <v/>
      </c>
    </row>
    <row r="37" ht="10" customHeight="1">
      <c r="A37" s="30" t="inlineStr">
        <is>
          <t>Offshore Patrol Cutter</t>
        </is>
      </c>
      <c r="B37" s="30" t="inlineStr">
        <is>
          <t>USCG</t>
        </is>
      </c>
      <c r="C37" s="31">
        <f>SUMIFS(JB_26BV,JB_B,1,JB_W,"Offshore Patrol Cutter",JB_RC,"ADD")</f>
        <v/>
      </c>
      <c r="D37" s="37">
        <f>IFERROR(C37/C$44,0)</f>
        <v/>
      </c>
    </row>
    <row r="38" ht="10" customHeight="1">
      <c r="A38" s="30" t="inlineStr">
        <is>
          <t>Fast Response Cutters</t>
        </is>
      </c>
      <c r="B38" s="30" t="inlineStr">
        <is>
          <t>USCG</t>
        </is>
      </c>
      <c r="C38" s="31">
        <f>SUMIFS(JB_26BV,JB_B,1,JB_W,"Fast Response Cutters",JB_RC,"ADD")</f>
        <v/>
      </c>
      <c r="D38" s="37">
        <f>IFERROR(C38/C$44,0)</f>
        <v/>
      </c>
    </row>
    <row r="39" ht="10" customHeight="1">
      <c r="A39" s="30" t="inlineStr">
        <is>
          <t>Icebreakers, Oceangoing</t>
        </is>
      </c>
      <c r="B39" s="30" t="inlineStr">
        <is>
          <t>USCG</t>
        </is>
      </c>
      <c r="C39" s="31">
        <f>SUMIFS(JB_26BV,JB_B,1,JB_W,"Icebreakers, Oceangoing",JB_RC,"ADD")</f>
        <v/>
      </c>
      <c r="D39" s="37">
        <f>IFERROR(C39/C$44,0)</f>
        <v/>
      </c>
    </row>
    <row r="40" ht="10" customHeight="1">
      <c r="A40" s="30" t="inlineStr">
        <is>
          <t>Waterways Commerce Cutters</t>
        </is>
      </c>
      <c r="B40" s="30" t="inlineStr">
        <is>
          <t>USCG</t>
        </is>
      </c>
      <c r="C40" s="31">
        <f>SUMIFS(JB_26BV,JB_B,1,JB_W,"Waterways Commerce Cutters",JB_RC,"ADD")</f>
        <v/>
      </c>
      <c r="D40" s="37">
        <f>IFERROR(C40/C$44,0)</f>
        <v/>
      </c>
    </row>
    <row r="41" ht="10" customHeight="1">
      <c r="A41" s="30" t="inlineStr">
        <is>
          <t>Coastal Buoy Tenders</t>
        </is>
      </c>
      <c r="B41" s="30" t="inlineStr">
        <is>
          <t>USCG</t>
        </is>
      </c>
      <c r="C41" s="31">
        <f>SUMIFS(JB_26BV,JB_B,1,JB_W,"Coastal Buoy Tenders",JB_RC,"ADD")</f>
        <v/>
      </c>
      <c r="D41" s="37">
        <f>IFERROR(C41/C$44,0)</f>
        <v/>
      </c>
    </row>
    <row r="42" ht="10" customHeight="1">
      <c r="A42" s="30" t="inlineStr">
        <is>
          <t>National Security Cutters</t>
        </is>
      </c>
      <c r="B42" s="30" t="inlineStr">
        <is>
          <t>USCG</t>
        </is>
      </c>
      <c r="C42" s="31">
        <f>SUMIFS(JB_26BV,JB_B,1,JB_W,"National Security Cutters",JB_RC,"ADD")</f>
        <v/>
      </c>
      <c r="D42" s="37">
        <f>IFERROR(C42/C$44,0)</f>
        <v/>
      </c>
    </row>
    <row r="43" ht="10" customHeight="1">
      <c r="A43" s="30" t="inlineStr">
        <is>
          <t>Icebreakers, Great Lakes</t>
        </is>
      </c>
      <c r="B43" s="30" t="inlineStr">
        <is>
          <t>USCG</t>
        </is>
      </c>
      <c r="C43" s="31">
        <f>SUMIFS(JB_26BV,JB_B,1,JB_W,"Icebreakers, Great Lakes",JB_RC,"ADD")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FY2026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FY2026 ($K)</t>
        </is>
      </c>
      <c r="E49" s="29" t="inlineStr">
        <is>
          <t>% of TAM</t>
        </is>
      </c>
    </row>
    <row r="50" ht="10" customHeight="1">
      <c r="A50" s="30" t="inlineStr">
        <is>
          <t>SSN</t>
        </is>
      </c>
      <c r="B50" s="30" t="inlineStr">
        <is>
          <t>Submarines</t>
        </is>
      </c>
      <c r="C50" s="30" t="inlineStr">
        <is>
          <t>USN</t>
        </is>
      </c>
      <c r="D50" s="31">
        <f>SUMIFS(JB_26BV,JB_B,1,JB_H,"SSN",JB_RC,"ADD")</f>
        <v/>
      </c>
      <c r="E50" s="37">
        <f>IFERROR(D50/D$68,0)</f>
        <v/>
      </c>
    </row>
    <row r="51" ht="10" customHeight="1">
      <c r="A51" s="30" t="inlineStr">
        <is>
          <t>SSBN</t>
        </is>
      </c>
      <c r="B51" s="30" t="inlineStr">
        <is>
          <t>Submarines</t>
        </is>
      </c>
      <c r="C51" s="30" t="inlineStr">
        <is>
          <t>USN</t>
        </is>
      </c>
      <c r="D51" s="31">
        <f>SUMIFS(JB_26BV,JB_B,1,JB_H,"SSBN",JB_RC,"ADD")</f>
        <v/>
      </c>
      <c r="E51" s="37">
        <f>IFERROR(D51/D$68,0)</f>
        <v/>
      </c>
    </row>
    <row r="52" ht="10" customHeight="1">
      <c r="A52" s="30" t="inlineStr">
        <is>
          <t>DDG</t>
        </is>
      </c>
      <c r="B52" s="30" t="inlineStr">
        <is>
          <t>Surface Combatants</t>
        </is>
      </c>
      <c r="C52" s="30" t="inlineStr">
        <is>
          <t>USN</t>
        </is>
      </c>
      <c r="D52" s="31">
        <f>SUMIFS(JB_26BV,JB_B,1,JB_H,"DDG",JB_RC,"ADD")</f>
        <v/>
      </c>
      <c r="E52" s="37">
        <f>IFERROR(D52/D$68,0)</f>
        <v/>
      </c>
    </row>
    <row r="53" ht="10" customHeight="1">
      <c r="A53" s="30" t="inlineStr">
        <is>
          <t>CVN</t>
        </is>
      </c>
      <c r="B53" s="30" t="inlineStr">
        <is>
          <t>Aircraft Carriers</t>
        </is>
      </c>
      <c r="C53" s="30" t="inlineStr">
        <is>
          <t>USN</t>
        </is>
      </c>
      <c r="D53" s="31">
        <f>SUMIFS(JB_26BV,JB_B,1,JB_H,"CVN",JB_RC,"ADD")</f>
        <v/>
      </c>
      <c r="E53" s="37">
        <f>IFERROR(D53/D$68,0)</f>
        <v/>
      </c>
    </row>
    <row r="54" ht="10" customHeight="1">
      <c r="A54" s="30" t="inlineStr">
        <is>
          <t>LSM</t>
        </is>
      </c>
      <c r="B54" s="30" t="inlineStr">
        <is>
          <t>Expeditionary &amp; Seabasing Ships</t>
        </is>
      </c>
      <c r="C54" s="30" t="inlineStr">
        <is>
          <t>USN</t>
        </is>
      </c>
      <c r="D54" s="31">
        <f>SUMIFS(JB_26BV,JB_B,1,JB_H,"LSM",JB_RC,"ADD")</f>
        <v/>
      </c>
      <c r="E54" s="37">
        <f>IFERROR(D54/D$68,0)</f>
        <v/>
      </c>
    </row>
    <row r="55" ht="10" customHeight="1">
      <c r="A55" s="30" t="inlineStr">
        <is>
          <t>T-AO</t>
        </is>
      </c>
      <c r="B55" s="30" t="inlineStr">
        <is>
          <t>Combat Logistics Ships</t>
        </is>
      </c>
      <c r="C55" s="30" t="inlineStr">
        <is>
          <t>MSC</t>
        </is>
      </c>
      <c r="D55" s="31">
        <f>SUMIFS(JB_26BV,JB_B,1,JB_H,"T-AO",JB_RC,"ADD")</f>
        <v/>
      </c>
      <c r="E55" s="37">
        <f>IFERROR(D55/D$68,0)</f>
        <v/>
      </c>
    </row>
    <row r="56" ht="10" customHeight="1">
      <c r="A56" s="30" t="inlineStr">
        <is>
          <t>MUSV</t>
        </is>
      </c>
      <c r="B56" s="30" t="inlineStr">
        <is>
          <t>Unmanned Surface Vehicles</t>
        </is>
      </c>
      <c r="C56" s="30" t="inlineStr">
        <is>
          <t>USN</t>
        </is>
      </c>
      <c r="D56" s="31">
        <f>SUMIFS(JB_26BV,JB_B,1,JB_H,"MUSV",JB_RC,"ADD")</f>
        <v/>
      </c>
      <c r="E56" s="37">
        <f>IFERROR(D56/D$68,0)</f>
        <v/>
      </c>
    </row>
    <row r="57" ht="10" customHeight="1">
      <c r="A57" s="30" t="inlineStr">
        <is>
          <t>LPD</t>
        </is>
      </c>
      <c r="B57" s="30" t="inlineStr">
        <is>
          <t>Amphibious Warfare Ships</t>
        </is>
      </c>
      <c r="C57" s="30" t="inlineStr">
        <is>
          <t>USN</t>
        </is>
      </c>
      <c r="D57" s="31">
        <f>SUMIFS(JB_26BV,JB_B,1,JB_H,"LPD",JB_RC,"ADD")</f>
        <v/>
      </c>
      <c r="E57" s="37">
        <f>IFERROR(D57/D$68,0)</f>
        <v/>
      </c>
    </row>
    <row r="58" ht="10" customHeight="1">
      <c r="A58" s="30" t="inlineStr">
        <is>
          <t>T-AKR</t>
        </is>
      </c>
      <c r="B58" s="30" t="inlineStr">
        <is>
          <t>Cargo &amp; Vehicle Cargo Ships</t>
        </is>
      </c>
      <c r="C58" s="30" t="inlineStr">
        <is>
          <t>MSC</t>
        </is>
      </c>
      <c r="D58" s="31">
        <f>SUMIFS(JB_26BV,JB_B,1,JB_H,"T-AKR",JB_RC,"ADD")</f>
        <v/>
      </c>
      <c r="E58" s="37">
        <f>IFERROR(D58/D$68,0)</f>
        <v/>
      </c>
    </row>
    <row r="59" ht="10" customHeight="1">
      <c r="A59" s="30" t="inlineStr">
        <is>
          <t>LHA</t>
        </is>
      </c>
      <c r="B59" s="30" t="inlineStr">
        <is>
          <t>Amphibious Warfare Ships</t>
        </is>
      </c>
      <c r="C59" s="30" t="inlineStr">
        <is>
          <t>USN</t>
        </is>
      </c>
      <c r="D59" s="31">
        <f>SUMIFS(JB_26BV,JB_B,1,JB_H,"LHA",JB_RC,"ADD")</f>
        <v/>
      </c>
      <c r="E59" s="37">
        <f>IFERROR(D59/D$68,0)</f>
        <v/>
      </c>
    </row>
    <row r="60" ht="10" customHeight="1">
      <c r="A60" s="30" t="inlineStr">
        <is>
          <t>T-AGOS</t>
        </is>
      </c>
      <c r="B60" s="30" t="inlineStr">
        <is>
          <t>Surveillance Ships</t>
        </is>
      </c>
      <c r="C60" s="30" t="inlineStr">
        <is>
          <t>MSC</t>
        </is>
      </c>
      <c r="D60" s="31">
        <f>SUMIFS(JB_26BV,JB_B,1,JB_H,"T-AGOS",JB_RC,"ADD")</f>
        <v/>
      </c>
      <c r="E60" s="37">
        <f>IFERROR(D60/D$68,0)</f>
        <v/>
      </c>
    </row>
    <row r="61" ht="10" customHeight="1">
      <c r="A61" s="30" t="inlineStr">
        <is>
          <t>FFG</t>
        </is>
      </c>
      <c r="B61" s="30" t="inlineStr">
        <is>
          <t>Surface Combatants</t>
        </is>
      </c>
      <c r="C61" s="30" t="inlineStr">
        <is>
          <t>USN</t>
        </is>
      </c>
      <c r="D61" s="31">
        <f>SUMIFS(JB_26BV,JB_B,1,JB_H,"FFG",JB_RC,"ADD")</f>
        <v/>
      </c>
      <c r="E61" s="37">
        <f>IFERROR(D61/D$68,0)</f>
        <v/>
      </c>
    </row>
    <row r="62" ht="10" customHeight="1">
      <c r="A62" s="30" t="inlineStr">
        <is>
          <t>UUV</t>
        </is>
      </c>
      <c r="B62" s="30" t="inlineStr">
        <is>
          <t>Unmanned Undersea Vehicles</t>
        </is>
      </c>
      <c r="C62" s="30" t="inlineStr">
        <is>
          <t>USN</t>
        </is>
      </c>
      <c r="D62" s="31">
        <f>SUMIFS(JB_26BV,JB_B,1,JB_H,"UUV",JB_RC,"ADD")</f>
        <v/>
      </c>
      <c r="E62" s="37">
        <f>IFERROR(D62/D$68,0)</f>
        <v/>
      </c>
    </row>
    <row r="63" ht="10" customHeight="1">
      <c r="A63" s="30" t="inlineStr">
        <is>
          <t>T-ATS</t>
        </is>
      </c>
      <c r="B63" s="30" t="inlineStr">
        <is>
          <t>Salvage Ships &amp; Fleet Ocean Tugs</t>
        </is>
      </c>
      <c r="C63" s="30" t="inlineStr">
        <is>
          <t>MSC</t>
        </is>
      </c>
      <c r="D63" s="31">
        <f>SUMIFS(JB_26BV,JB_B,1,JB_H,"T-ATS",JB_RC,"ADD")</f>
        <v/>
      </c>
      <c r="E63" s="37">
        <f>IFERROR(D63/D$68,0)</f>
        <v/>
      </c>
    </row>
    <row r="64" ht="10" customHeight="1">
      <c r="A64" s="30" t="inlineStr">
        <is>
          <t>WMSM</t>
        </is>
      </c>
      <c r="B64" s="30" t="inlineStr">
        <is>
          <t>Offshore Patrol Cutter</t>
        </is>
      </c>
      <c r="C64" s="30" t="inlineStr">
        <is>
          <t>USCG</t>
        </is>
      </c>
      <c r="D64" s="31">
        <f>SUMIFS(JB_26BV,JB_B,1,JB_H,"WMSM",JB_RC,"ADD")</f>
        <v/>
      </c>
      <c r="E64" s="37">
        <f>IFERROR(D64/D$68,0)</f>
        <v/>
      </c>
    </row>
    <row r="65" ht="10" customHeight="1">
      <c r="A65" s="30" t="inlineStr">
        <is>
          <t>WPC</t>
        </is>
      </c>
      <c r="B65" s="30" t="inlineStr">
        <is>
          <t>Fast Response Cutters</t>
        </is>
      </c>
      <c r="C65" s="30" t="inlineStr">
        <is>
          <t>USCG</t>
        </is>
      </c>
      <c r="D65" s="31">
        <f>SUMIFS(JB_26BV,JB_B,1,JB_H,"WPC",JB_RC,"ADD")</f>
        <v/>
      </c>
      <c r="E65" s="37">
        <f>IFERROR(D65/D$68,0)</f>
        <v/>
      </c>
    </row>
    <row r="66" ht="10" customHeight="1">
      <c r="A66" s="30" t="inlineStr">
        <is>
          <t>WAGB</t>
        </is>
      </c>
      <c r="B66" s="30" t="inlineStr">
        <is>
          <t>Icebreakers, Oceangoing</t>
        </is>
      </c>
      <c r="C66" s="30" t="inlineStr">
        <is>
          <t>USCG</t>
        </is>
      </c>
      <c r="D66" s="31">
        <f>SUMIFS(JB_26BV,JB_B,1,JB_H,"WAGB",JB_RC,"ADD")</f>
        <v/>
      </c>
      <c r="E66" s="37">
        <f>IFERROR(D66/D$68,0)</f>
        <v/>
      </c>
    </row>
    <row r="67" ht="10" customHeight="1">
      <c r="A67" s="30" t="inlineStr">
        <is>
          <t>WCC</t>
        </is>
      </c>
      <c r="B67" s="30" t="inlineStr">
        <is>
          <t>Waterways Commerce Cutters</t>
        </is>
      </c>
      <c r="C67" s="30" t="inlineStr">
        <is>
          <t>USCG</t>
        </is>
      </c>
      <c r="D67" s="31">
        <f>SUMIFS(JB_26BV,JB_B,1,JB_H,"WCC",JB_RC,"ADD")</f>
        <v/>
      </c>
      <c r="E67" s="37">
        <f>IFERROR(D67/D$68,0)</f>
        <v/>
      </c>
    </row>
    <row r="68" ht="10" customHeight="1">
      <c r="A68" s="32" t="inlineStr">
        <is>
          <t>Newbuild TAM</t>
        </is>
      </c>
      <c r="B68" s="32" t="inlineStr"/>
      <c r="C68" s="32" t="inlineStr"/>
      <c r="D68" s="33">
        <f>SUM(D50:D67)</f>
        <v/>
      </c>
      <c r="E68" s="38" t="n">
        <v>1</v>
      </c>
    </row>
    <row r="69" ht="10" customHeight="1"/>
    <row r="70" ht="10" customHeight="1"/>
    <row r="71" ht="10" customHeight="1">
      <c r="A71" s="27" t="inlineStr">
        <is>
          <t>(D) Newbuild TAM — Sub-Category Mix by Vessel Type (Mekko)</t>
        </is>
      </c>
      <c r="B71" s="28" t="n"/>
      <c r="C71" s="28" t="n"/>
      <c r="D71" s="28" t="n"/>
      <c r="E71" s="28" t="n"/>
      <c r="F71" s="28" t="n"/>
      <c r="G71" s="28" t="n"/>
      <c r="H71" s="28" t="n"/>
      <c r="I71" s="28" t="n"/>
      <c r="J71" s="28" t="n"/>
      <c r="K71" s="28" t="n"/>
      <c r="L71" s="28" t="n"/>
      <c r="M71" s="28" t="n"/>
      <c r="N71" s="28" t="n"/>
      <c r="O71" s="28" t="n"/>
      <c r="P71" s="28" t="n"/>
      <c r="Q71" s="28" t="n"/>
    </row>
    <row r="72" ht="10" customHeight="1">
      <c r="A72" s="39" t="n"/>
      <c r="B72" s="40" t="inlineStr">
        <is>
          <t>USN</t>
        </is>
      </c>
      <c r="C72" s="39" t="n"/>
      <c r="D72" s="39" t="n"/>
      <c r="E72" s="39" t="n"/>
      <c r="F72" s="39" t="n"/>
      <c r="G72" s="39" t="n"/>
      <c r="H72" s="39" t="n"/>
      <c r="I72" s="39" t="n"/>
      <c r="J72" s="39" t="n"/>
      <c r="K72" s="39" t="n"/>
      <c r="L72" s="39" t="n"/>
      <c r="M72" s="40" t="inlineStr">
        <is>
          <t>USCG</t>
        </is>
      </c>
      <c r="N72" s="39" t="n"/>
      <c r="O72" s="39" t="n"/>
      <c r="P72" s="39" t="n"/>
      <c r="Q72" s="41" t="n"/>
    </row>
    <row r="73" ht="10" customHeight="1">
      <c r="A73" s="29" t="inlineStr">
        <is>
          <t>Sub-Category</t>
        </is>
      </c>
      <c r="B73" s="42" t="inlineStr">
        <is>
          <t>Submarines</t>
        </is>
      </c>
      <c r="C73" s="29" t="inlineStr">
        <is>
          <t>Surface Combatants</t>
        </is>
      </c>
      <c r="D73" s="29" t="inlineStr">
        <is>
          <t>Aircraft Carriers</t>
        </is>
      </c>
      <c r="E73" s="29" t="inlineStr">
        <is>
          <t>Expeditionary &amp; Seabasing Ships</t>
        </is>
      </c>
      <c r="F73" s="29" t="inlineStr">
        <is>
          <t>Combat Logistics Ships</t>
        </is>
      </c>
      <c r="G73" s="29" t="inlineStr">
        <is>
          <t>Amphibious Warfare Ships</t>
        </is>
      </c>
      <c r="H73" s="29" t="inlineStr">
        <is>
          <t>Unmanned Surface Vehicles</t>
        </is>
      </c>
      <c r="I73" s="29" t="inlineStr">
        <is>
          <t>Cargo &amp; Vehicle Cargo Ships</t>
        </is>
      </c>
      <c r="J73" s="29" t="inlineStr">
        <is>
          <t>Surveillance Ships</t>
        </is>
      </c>
      <c r="K73" s="29" t="inlineStr">
        <is>
          <t>Unmanned Undersea Vehicles</t>
        </is>
      </c>
      <c r="L73" s="29" t="inlineStr">
        <is>
          <t>Salvage Ships &amp; Fleet Ocean Tugs</t>
        </is>
      </c>
      <c r="M73" s="42" t="inlineStr">
        <is>
          <t>Offshore Patrol Cutter</t>
        </is>
      </c>
      <c r="N73" s="29" t="inlineStr">
        <is>
          <t>Fast Response Cutters</t>
        </is>
      </c>
      <c r="O73" s="29" t="inlineStr">
        <is>
          <t>Icebreakers, Oceangoing</t>
        </is>
      </c>
      <c r="P73" s="29" t="inlineStr">
        <is>
          <t>Waterways Commerce Cutters</t>
        </is>
      </c>
      <c r="Q73" s="42" t="inlineStr">
        <is>
          <t>Total</t>
        </is>
      </c>
    </row>
    <row r="74" ht="10" customHeight="1">
      <c r="A74" s="30" t="inlineStr">
        <is>
          <t>Full Ship DD&amp;C</t>
        </is>
      </c>
      <c r="B74" s="43">
        <f>IFERROR((SUMIFS(JB_26BV,JB_B,1,JB_W,"Submarines",JB_F,"Full ship DD&amp;C",JB_RC,"ADD")+SUMIFS(JB_26BV,JB_B,1,JB_W,"Submarines",JB_F,"Full ship DD&amp;C / LLTM",JB_RC,"ADD")+SUMIFS(JB_26BV,JB_B,1,JB_W,"Submarines",JB_F,"Full vessel procurement",JB_RC,"ADD"))/B$78,0)</f>
        <v/>
      </c>
      <c r="C74" s="37">
        <f>IFERROR((SUMIFS(JB_26BV,JB_B,1,JB_W,"Surface Combatants",JB_F,"Full ship DD&amp;C",JB_RC,"ADD")+SUMIFS(JB_26BV,JB_B,1,JB_W,"Surface Combatants",JB_F,"Full ship DD&amp;C / LLTM",JB_RC,"ADD")+SUMIFS(JB_26BV,JB_B,1,JB_W,"Surface Combatants",JB_F,"Full vessel procurement",JB_RC,"ADD"))/C$78,0)</f>
        <v/>
      </c>
      <c r="D74" s="37">
        <f>IFERROR((SUMIFS(JB_26BV,JB_B,1,JB_W,"Aircraft Carriers",JB_F,"Full ship DD&amp;C",JB_RC,"ADD")+SUMIFS(JB_26BV,JB_B,1,JB_W,"Aircraft Carriers",JB_F,"Full ship DD&amp;C / LLTM",JB_RC,"ADD")+SUMIFS(JB_26BV,JB_B,1,JB_W,"Aircraft Carriers",JB_F,"Full vessel procurement",JB_RC,"ADD"))/D$78,0)</f>
        <v/>
      </c>
      <c r="E74" s="37">
        <f>IFERROR((SUMIFS(JB_26BV,JB_B,1,JB_W,"Expeditionary &amp; Seabasing Ships",JB_F,"Full ship DD&amp;C",JB_RC,"ADD")+SUMIFS(JB_26BV,JB_B,1,JB_W,"Expeditionary &amp; Seabasing Ships",JB_F,"Full ship DD&amp;C / LLTM",JB_RC,"ADD")+SUMIFS(JB_26BV,JB_B,1,JB_W,"Expeditionary &amp; Seabasing Ships",JB_F,"Full vessel procurement",JB_RC,"ADD"))/E$78,0)</f>
        <v/>
      </c>
      <c r="F74" s="37">
        <f>IFERROR((SUMIFS(JB_26BV,JB_B,1,JB_W,"Combat Logistics Ships",JB_F,"Full ship DD&amp;C",JB_RC,"ADD")+SUMIFS(JB_26BV,JB_B,1,JB_W,"Combat Logistics Ships",JB_F,"Full ship DD&amp;C / LLTM",JB_RC,"ADD")+SUMIFS(JB_26BV,JB_B,1,JB_W,"Combat Logistics Ships",JB_F,"Full vessel procurement",JB_RC,"ADD"))/F$78,0)</f>
        <v/>
      </c>
      <c r="G74" s="37">
        <f>IFERROR((SUMIFS(JB_26BV,JB_B,1,JB_W,"Amphibious Warfare Ships",JB_F,"Full ship DD&amp;C",JB_RC,"ADD")+SUMIFS(JB_26BV,JB_B,1,JB_W,"Amphibious Warfare Ships",JB_F,"Full ship DD&amp;C / LLTM",JB_RC,"ADD")+SUMIFS(JB_26BV,JB_B,1,JB_W,"Amphibious Warfare Ships",JB_F,"Full vessel procurement",JB_RC,"ADD"))/G$78,0)</f>
        <v/>
      </c>
      <c r="H74" s="37">
        <f>IFERROR((SUMIFS(JB_26BV,JB_B,1,JB_W,"Unmanned Surface Vehicles",JB_F,"Full ship DD&amp;C",JB_RC,"ADD")+SUMIFS(JB_26BV,JB_B,1,JB_W,"Unmanned Surface Vehicles",JB_F,"Full ship DD&amp;C / LLTM",JB_RC,"ADD")+SUMIFS(JB_26BV,JB_B,1,JB_W,"Unmanned Surface Vehicles",JB_F,"Full vessel procurement",JB_RC,"ADD"))/H$78,0)</f>
        <v/>
      </c>
      <c r="I74" s="37">
        <f>IFERROR((SUMIFS(JB_26BV,JB_B,1,JB_W,"Cargo &amp; Vehicle Cargo Ships",JB_F,"Full ship DD&amp;C",JB_RC,"ADD")+SUMIFS(JB_26BV,JB_B,1,JB_W,"Cargo &amp; Vehicle Cargo Ships",JB_F,"Full ship DD&amp;C / LLTM",JB_RC,"ADD")+SUMIFS(JB_26BV,JB_B,1,JB_W,"Cargo &amp; Vehicle Cargo Ships",JB_F,"Full vessel procurement",JB_RC,"ADD"))/I$78,0)</f>
        <v/>
      </c>
      <c r="J74" s="37">
        <f>IFERROR((SUMIFS(JB_26BV,JB_B,1,JB_W,"Surveillance Ships",JB_F,"Full ship DD&amp;C",JB_RC,"ADD")+SUMIFS(JB_26BV,JB_B,1,JB_W,"Surveillance Ships",JB_F,"Full ship DD&amp;C / LLTM",JB_RC,"ADD")+SUMIFS(JB_26BV,JB_B,1,JB_W,"Surveillance Ships",JB_F,"Full vessel procurement",JB_RC,"ADD"))/J$78,0)</f>
        <v/>
      </c>
      <c r="K74" s="37">
        <f>IFERROR((SUMIFS(JB_26BV,JB_B,1,JB_W,"Unmanned Undersea Vehicles",JB_F,"Full ship DD&amp;C",JB_RC,"ADD")+SUMIFS(JB_26BV,JB_B,1,JB_W,"Unmanned Undersea Vehicles",JB_F,"Full ship DD&amp;C / LLTM",JB_RC,"ADD")+SUMIFS(JB_26BV,JB_B,1,JB_W,"Unmanned Undersea Vehicles",JB_F,"Full vessel procurement",JB_RC,"ADD"))/K$78,0)</f>
        <v/>
      </c>
      <c r="L74" s="37">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
      </c>
      <c r="M74" s="43">
        <f>IFERROR((SUMIFS(JB_26BV,JB_B,1,JB_W,"Offshore Patrol Cutter",JB_F,"Full ship DD&amp;C",JB_RC,"ADD")+SUMIFS(JB_26BV,JB_B,1,JB_W,"Offshore Patrol Cutter",JB_F,"Full ship DD&amp;C / LLTM",JB_RC,"ADD")+SUMIFS(JB_26BV,JB_B,1,JB_W,"Offshore Patrol Cutter",JB_F,"Full vessel procurement",JB_RC,"ADD"))/M$78,0)</f>
        <v/>
      </c>
      <c r="N74" s="37">
        <f>IFERROR((SUMIFS(JB_26BV,JB_B,1,JB_W,"Fast Response Cutters",JB_F,"Full ship DD&amp;C",JB_RC,"ADD")+SUMIFS(JB_26BV,JB_B,1,JB_W,"Fast Response Cutters",JB_F,"Full ship DD&amp;C / LLTM",JB_RC,"ADD")+SUMIFS(JB_26BV,JB_B,1,JB_W,"Fast Response Cutters",JB_F,"Full vessel procurement",JB_RC,"ADD"))/N$78,0)</f>
        <v/>
      </c>
      <c r="O74" s="37">
        <f>IFERROR((SUMIFS(JB_26BV,JB_B,1,JB_W,"Icebreakers, Oceangoing",JB_F,"Full ship DD&amp;C",JB_RC,"ADD")+SUMIFS(JB_26BV,JB_B,1,JB_W,"Icebreakers, Oceangoing",JB_F,"Full ship DD&amp;C / LLTM",JB_RC,"ADD")+SUMIFS(JB_26BV,JB_B,1,JB_W,"Icebreakers, Oceangoing",JB_F,"Full vessel procurement",JB_RC,"ADD"))/O$78,0)</f>
        <v/>
      </c>
      <c r="P74" s="37">
        <f>IFERROR((SUMIFS(JB_26BV,JB_B,1,JB_W,"Waterways Commerce Cutters",JB_F,"Full ship DD&amp;C",JB_RC,"ADD")+SUMIFS(JB_26BV,JB_B,1,JB_W,"Waterways Commerce Cutters",JB_F,"Full ship DD&amp;C / LLTM",JB_RC,"ADD")+SUMIFS(JB_26BV,JB_B,1,JB_W,"Waterways Commerce Cutters",JB_F,"Full vessel procurement",JB_RC,"ADD"))/P$78,0)</f>
        <v/>
      </c>
      <c r="Q74" s="43">
        <f>IFERROR(SUMPRODUCT(B74:P74,B$78:P$78)/Q$78,0)</f>
        <v/>
      </c>
    </row>
    <row r="75" ht="10" customHeight="1">
      <c r="A75" s="30" t="inlineStr">
        <is>
          <t>Advance Procurement / LLTM</t>
        </is>
      </c>
      <c r="B75" s="43">
        <f>IFERROR((SUMIFS(JB_26BV,JB_B,1,JB_W,"Submarines",JB_F,"Advance procurement / LLTM",JB_RC,"ADD"))/B$78,0)</f>
        <v/>
      </c>
      <c r="C75" s="37">
        <f>IFERROR((SUMIFS(JB_26BV,JB_B,1,JB_W,"Surface Combatants",JB_F,"Advance procurement / LLTM",JB_RC,"ADD"))/C$78,0)</f>
        <v/>
      </c>
      <c r="D75" s="37">
        <f>IFERROR((SUMIFS(JB_26BV,JB_B,1,JB_W,"Aircraft Carriers",JB_F,"Advance procurement / LLTM",JB_RC,"ADD"))/D$78,0)</f>
        <v/>
      </c>
      <c r="E75" s="37">
        <f>IFERROR((SUMIFS(JB_26BV,JB_B,1,JB_W,"Expeditionary &amp; Seabasing Ships",JB_F,"Advance procurement / LLTM",JB_RC,"ADD"))/E$78,0)</f>
        <v/>
      </c>
      <c r="F75" s="37">
        <f>IFERROR((SUMIFS(JB_26BV,JB_B,1,JB_W,"Combat Logistics Ships",JB_F,"Advance procurement / LLTM",JB_RC,"ADD"))/F$78,0)</f>
        <v/>
      </c>
      <c r="G75" s="37">
        <f>IFERROR((SUMIFS(JB_26BV,JB_B,1,JB_W,"Amphibious Warfare Ships",JB_F,"Advance procurement / LLTM",JB_RC,"ADD"))/G$78,0)</f>
        <v/>
      </c>
      <c r="H75" s="37">
        <f>IFERROR((SUMIFS(JB_26BV,JB_B,1,JB_W,"Unmanned Surface Vehicles",JB_F,"Advance procurement / LLTM",JB_RC,"ADD"))/H$78,0)</f>
        <v/>
      </c>
      <c r="I75" s="37">
        <f>IFERROR((SUMIFS(JB_26BV,JB_B,1,JB_W,"Cargo &amp; Vehicle Cargo Ships",JB_F,"Advance procurement / LLTM",JB_RC,"ADD"))/I$78,0)</f>
        <v/>
      </c>
      <c r="J75" s="37">
        <f>IFERROR((SUMIFS(JB_26BV,JB_B,1,JB_W,"Surveillance Ships",JB_F,"Advance procurement / LLTM",JB_RC,"ADD"))/J$78,0)</f>
        <v/>
      </c>
      <c r="K75" s="37">
        <f>IFERROR((SUMIFS(JB_26BV,JB_B,1,JB_W,"Unmanned Undersea Vehicles",JB_F,"Advance procurement / LLTM",JB_RC,"ADD"))/K$78,0)</f>
        <v/>
      </c>
      <c r="L75" s="37">
        <f>IFERROR((SUMIFS(JB_26BV,JB_B,1,JB_W,"Salvage Ships &amp; Fleet Ocean Tugs",JB_F,"Advance procurement / LLTM",JB_RC,"ADD"))/L$78,0)</f>
        <v/>
      </c>
      <c r="M75" s="43">
        <f>IFERROR((SUMIFS(JB_26BV,JB_B,1,JB_W,"Offshore Patrol Cutter",JB_F,"Advance procurement / LLTM",JB_RC,"ADD"))/M$78,0)</f>
        <v/>
      </c>
      <c r="N75" s="37">
        <f>IFERROR((SUMIFS(JB_26BV,JB_B,1,JB_W,"Fast Response Cutters",JB_F,"Advance procurement / LLTM",JB_RC,"ADD"))/N$78,0)</f>
        <v/>
      </c>
      <c r="O75" s="37">
        <f>IFERROR((SUMIFS(JB_26BV,JB_B,1,JB_W,"Icebreakers, Oceangoing",JB_F,"Advance procurement / LLTM",JB_RC,"ADD"))/O$78,0)</f>
        <v/>
      </c>
      <c r="P75" s="37">
        <f>IFERROR((SUMIFS(JB_26BV,JB_B,1,JB_W,"Waterways Commerce Cutters",JB_F,"Advance procurement / LLTM",JB_RC,"ADD"))/P$78,0)</f>
        <v/>
      </c>
      <c r="Q75" s="43">
        <f>IFERROR(SUMPRODUCT(B75:P75,B$78:P$78)/Q$78,0)</f>
        <v/>
      </c>
    </row>
    <row r="76" ht="10" customHeight="1">
      <c r="A76" s="30" t="inlineStr">
        <is>
          <t>RCOH</t>
        </is>
      </c>
      <c r="B76" s="43">
        <f>IFERROR((SUMIFS(JB_26BV,JB_B,1,JB_W,"Submarines",JB_F,"RCOH",JB_RC,"ADD"))/B$78,0)</f>
        <v/>
      </c>
      <c r="C76" s="37">
        <f>IFERROR((SUMIFS(JB_26BV,JB_B,1,JB_W,"Surface Combatants",JB_F,"RCOH",JB_RC,"ADD"))/C$78,0)</f>
        <v/>
      </c>
      <c r="D76" s="37">
        <f>IFERROR((SUMIFS(JB_26BV,JB_B,1,JB_W,"Aircraft Carriers",JB_F,"RCOH",JB_RC,"ADD"))/D$78,0)</f>
        <v/>
      </c>
      <c r="E76" s="37">
        <f>IFERROR((SUMIFS(JB_26BV,JB_B,1,JB_W,"Expeditionary &amp; Seabasing Ships",JB_F,"RCOH",JB_RC,"ADD"))/E$78,0)</f>
        <v/>
      </c>
      <c r="F76" s="37">
        <f>IFERROR((SUMIFS(JB_26BV,JB_B,1,JB_W,"Combat Logistics Ships",JB_F,"RCOH",JB_RC,"ADD"))/F$78,0)</f>
        <v/>
      </c>
      <c r="G76" s="37">
        <f>IFERROR((SUMIFS(JB_26BV,JB_B,1,JB_W,"Amphibious Warfare Ships",JB_F,"RCOH",JB_RC,"ADD"))/G$78,0)</f>
        <v/>
      </c>
      <c r="H76" s="37">
        <f>IFERROR((SUMIFS(JB_26BV,JB_B,1,JB_W,"Unmanned Surface Vehicles",JB_F,"RCOH",JB_RC,"ADD"))/H$78,0)</f>
        <v/>
      </c>
      <c r="I76" s="37">
        <f>IFERROR((SUMIFS(JB_26BV,JB_B,1,JB_W,"Cargo &amp; Vehicle Cargo Ships",JB_F,"RCOH",JB_RC,"ADD"))/I$78,0)</f>
        <v/>
      </c>
      <c r="J76" s="37">
        <f>IFERROR((SUMIFS(JB_26BV,JB_B,1,JB_W,"Surveillance Ships",JB_F,"RCOH",JB_RC,"ADD"))/J$78,0)</f>
        <v/>
      </c>
      <c r="K76" s="37">
        <f>IFERROR((SUMIFS(JB_26BV,JB_B,1,JB_W,"Unmanned Undersea Vehicles",JB_F,"RCOH",JB_RC,"ADD"))/K$78,0)</f>
        <v/>
      </c>
      <c r="L76" s="37">
        <f>IFERROR((SUMIFS(JB_26BV,JB_B,1,JB_W,"Salvage Ships &amp; Fleet Ocean Tugs",JB_F,"RCOH",JB_RC,"ADD"))/L$78,0)</f>
        <v/>
      </c>
      <c r="M76" s="43">
        <f>IFERROR((SUMIFS(JB_26BV,JB_B,1,JB_W,"Offshore Patrol Cutter",JB_F,"RCOH",JB_RC,"ADD"))/M$78,0)</f>
        <v/>
      </c>
      <c r="N76" s="37">
        <f>IFERROR((SUMIFS(JB_26BV,JB_B,1,JB_W,"Fast Response Cutters",JB_F,"RCOH",JB_RC,"ADD"))/N$78,0)</f>
        <v/>
      </c>
      <c r="O76" s="37">
        <f>IFERROR((SUMIFS(JB_26BV,JB_B,1,JB_W,"Icebreakers, Oceangoing",JB_F,"RCOH",JB_RC,"ADD"))/O$78,0)</f>
        <v/>
      </c>
      <c r="P76" s="37">
        <f>IFERROR((SUMIFS(JB_26BV,JB_B,1,JB_W,"Waterways Commerce Cutters",JB_F,"RCOH",JB_RC,"ADD"))/P$78,0)</f>
        <v/>
      </c>
      <c r="Q76" s="43">
        <f>IFERROR(SUMPRODUCT(B76:P76,B$78:P$78)/Q$78,0)</f>
        <v/>
      </c>
    </row>
    <row r="77" ht="10" customHeight="1">
      <c r="A77" s="30" t="inlineStr">
        <is>
          <t>SLEP</t>
        </is>
      </c>
      <c r="B77" s="43">
        <f>IFERROR((SUMIFS(JB_26BV,JB_B,1,JB_W,"Submarines",JB_F,"SLEP",JB_RC,"ADD"))/B$78,0)</f>
        <v/>
      </c>
      <c r="C77" s="37">
        <f>IFERROR((SUMIFS(JB_26BV,JB_B,1,JB_W,"Surface Combatants",JB_F,"SLEP",JB_RC,"ADD"))/C$78,0)</f>
        <v/>
      </c>
      <c r="D77" s="37">
        <f>IFERROR((SUMIFS(JB_26BV,JB_B,1,JB_W,"Aircraft Carriers",JB_F,"SLEP",JB_RC,"ADD"))/D$78,0)</f>
        <v/>
      </c>
      <c r="E77" s="37">
        <f>IFERROR((SUMIFS(JB_26BV,JB_B,1,JB_W,"Expeditionary &amp; Seabasing Ships",JB_F,"SLEP",JB_RC,"ADD"))/E$78,0)</f>
        <v/>
      </c>
      <c r="F77" s="37">
        <f>IFERROR((SUMIFS(JB_26BV,JB_B,1,JB_W,"Combat Logistics Ships",JB_F,"SLEP",JB_RC,"ADD"))/F$78,0)</f>
        <v/>
      </c>
      <c r="G77" s="37">
        <f>IFERROR((SUMIFS(JB_26BV,JB_B,1,JB_W,"Amphibious Warfare Ships",JB_F,"SLEP",JB_RC,"ADD"))/G$78,0)</f>
        <v/>
      </c>
      <c r="H77" s="37">
        <f>IFERROR((SUMIFS(JB_26BV,JB_B,1,JB_W,"Unmanned Surface Vehicles",JB_F,"SLEP",JB_RC,"ADD"))/H$78,0)</f>
        <v/>
      </c>
      <c r="I77" s="37">
        <f>IFERROR((SUMIFS(JB_26BV,JB_B,1,JB_W,"Cargo &amp; Vehicle Cargo Ships",JB_F,"SLEP",JB_RC,"ADD"))/I$78,0)</f>
        <v/>
      </c>
      <c r="J77" s="37">
        <f>IFERROR((SUMIFS(JB_26BV,JB_B,1,JB_W,"Surveillance Ships",JB_F,"SLEP",JB_RC,"ADD"))/J$78,0)</f>
        <v/>
      </c>
      <c r="K77" s="37">
        <f>IFERROR((SUMIFS(JB_26BV,JB_B,1,JB_W,"Unmanned Undersea Vehicles",JB_F,"SLEP",JB_RC,"ADD"))/K$78,0)</f>
        <v/>
      </c>
      <c r="L77" s="37">
        <f>IFERROR((SUMIFS(JB_26BV,JB_B,1,JB_W,"Salvage Ships &amp; Fleet Ocean Tugs",JB_F,"SLEP",JB_RC,"ADD"))/L$78,0)</f>
        <v/>
      </c>
      <c r="M77" s="43">
        <f>IFERROR((SUMIFS(JB_26BV,JB_B,1,JB_W,"Offshore Patrol Cutter",JB_F,"SLEP",JB_RC,"ADD"))/M$78,0)</f>
        <v/>
      </c>
      <c r="N77" s="37">
        <f>IFERROR((SUMIFS(JB_26BV,JB_B,1,JB_W,"Fast Response Cutters",JB_F,"SLEP",JB_RC,"ADD"))/N$78,0)</f>
        <v/>
      </c>
      <c r="O77" s="37">
        <f>IFERROR((SUMIFS(JB_26BV,JB_B,1,JB_W,"Icebreakers, Oceangoing",JB_F,"SLEP",JB_RC,"ADD"))/O$78,0)</f>
        <v/>
      </c>
      <c r="P77" s="37">
        <f>IFERROR((SUMIFS(JB_26BV,JB_B,1,JB_W,"Waterways Commerce Cutters",JB_F,"SLEP",JB_RC,"ADD"))/P$78,0)</f>
        <v/>
      </c>
      <c r="Q77" s="43">
        <f>IFERROR(SUMPRODUCT(B77:P77,B$78:P$78)/Q$78,0)</f>
        <v/>
      </c>
    </row>
    <row r="78" ht="10" customHeight="1">
      <c r="A78" s="32" t="inlineStr">
        <is>
          <t>Total ($K)</t>
        </is>
      </c>
      <c r="B78" s="44">
        <f>SUMIFS(JB_26BV,JB_B,1,JB_W,"Submarines",JB_RC,"ADD")</f>
        <v/>
      </c>
      <c r="C78" s="33">
        <f>SUMIFS(JB_26BV,JB_B,1,JB_W,"Surface Combatants",JB_RC,"ADD")</f>
        <v/>
      </c>
      <c r="D78" s="33">
        <f>SUMIFS(JB_26BV,JB_B,1,JB_W,"Aircraft Carriers",JB_RC,"ADD")</f>
        <v/>
      </c>
      <c r="E78" s="33">
        <f>SUMIFS(JB_26BV,JB_B,1,JB_W,"Expeditionary &amp; Seabasing Ships",JB_RC,"ADD")</f>
        <v/>
      </c>
      <c r="F78" s="33">
        <f>SUMIFS(JB_26BV,JB_B,1,JB_W,"Combat Logistics Ships",JB_RC,"ADD")</f>
        <v/>
      </c>
      <c r="G78" s="33">
        <f>SUMIFS(JB_26BV,JB_B,1,JB_W,"Amphibious Warfare Ships",JB_RC,"ADD")</f>
        <v/>
      </c>
      <c r="H78" s="33">
        <f>SUMIFS(JB_26BV,JB_B,1,JB_W,"Unmanned Surface Vehicles",JB_RC,"ADD")</f>
        <v/>
      </c>
      <c r="I78" s="33">
        <f>SUMIFS(JB_26BV,JB_B,1,JB_W,"Cargo &amp; Vehicle Cargo Ships",JB_RC,"ADD")</f>
        <v/>
      </c>
      <c r="J78" s="33">
        <f>SUMIFS(JB_26BV,JB_B,1,JB_W,"Surveillance Ships",JB_RC,"ADD")</f>
        <v/>
      </c>
      <c r="K78" s="33">
        <f>SUMIFS(JB_26BV,JB_B,1,JB_W,"Unmanned Undersea Vehicles",JB_RC,"ADD")</f>
        <v/>
      </c>
      <c r="L78" s="33">
        <f>SUMIFS(JB_26BV,JB_B,1,JB_W,"Salvage Ships &amp; Fleet Ocean Tugs",JB_RC,"ADD")</f>
        <v/>
      </c>
      <c r="M78" s="44">
        <f>SUMIFS(JB_26BV,JB_B,1,JB_W,"Offshore Patrol Cutter",JB_RC,"ADD")</f>
        <v/>
      </c>
      <c r="N78" s="33">
        <f>SUMIFS(JB_26BV,JB_B,1,JB_W,"Fast Response Cutters",JB_RC,"ADD")</f>
        <v/>
      </c>
      <c r="O78" s="33">
        <f>SUMIFS(JB_26BV,JB_B,1,JB_W,"Icebreakers, Oceangoing",JB_RC,"ADD")</f>
        <v/>
      </c>
      <c r="P78" s="33">
        <f>SUMIFS(JB_26BV,JB_B,1,JB_W,"Waterways Commerce Cutters",JB_RC,"ADD")</f>
        <v/>
      </c>
      <c r="Q78" s="44">
        <f>SUM(B78:P78)</f>
        <v/>
      </c>
    </row>
    <row r="79" ht="10" customHeight="1"/>
    <row r="80" ht="10" customHeight="1"/>
    <row r="81" ht="10" customHeight="1">
      <c r="A81" s="27" t="inlineStr">
        <is>
          <t>(E) Newbuild TAM — Sub-Category Mix by Hull Program (Mekko)</t>
        </is>
      </c>
      <c r="B81" s="28" t="n"/>
      <c r="C81" s="28" t="n"/>
      <c r="D81" s="28" t="n"/>
      <c r="E81" s="28" t="n"/>
      <c r="F81" s="28" t="n"/>
      <c r="G81" s="28" t="n"/>
      <c r="H81" s="28" t="n"/>
      <c r="I81" s="28" t="n"/>
      <c r="J81" s="28" t="n"/>
      <c r="K81" s="28" t="n"/>
      <c r="L81" s="28" t="n"/>
      <c r="M81" s="28" t="n"/>
      <c r="N81" s="28" t="n"/>
      <c r="O81" s="28" t="n"/>
      <c r="P81" s="28" t="n"/>
      <c r="Q81" s="28" t="n"/>
      <c r="R81" s="28" t="n"/>
      <c r="S81" s="28" t="n"/>
      <c r="T81" s="28" t="n"/>
    </row>
    <row r="82" ht="10" customHeight="1">
      <c r="A82" s="39" t="n"/>
      <c r="B82" s="40" t="inlineStr">
        <is>
          <t>USN</t>
        </is>
      </c>
      <c r="C82" s="39" t="n"/>
      <c r="D82" s="39" t="n"/>
      <c r="E82" s="39" t="n"/>
      <c r="F82" s="39" t="n"/>
      <c r="G82" s="39" t="n"/>
      <c r="H82" s="39" t="n"/>
      <c r="I82" s="39" t="n"/>
      <c r="J82" s="39" t="n"/>
      <c r="K82" s="39" t="n"/>
      <c r="L82" s="39" t="n"/>
      <c r="M82" s="39" t="n"/>
      <c r="N82" s="39" t="n"/>
      <c r="O82" s="39" t="n"/>
      <c r="P82" s="40" t="inlineStr">
        <is>
          <t>USCG</t>
        </is>
      </c>
      <c r="Q82" s="39" t="n"/>
      <c r="R82" s="39" t="n"/>
      <c r="S82" s="39" t="n"/>
      <c r="T82" s="41" t="n"/>
    </row>
    <row r="83" ht="10" customHeight="1">
      <c r="A83" s="29" t="inlineStr">
        <is>
          <t>Sub-Category</t>
        </is>
      </c>
      <c r="B83" s="42" t="inlineStr">
        <is>
          <t>SSN</t>
        </is>
      </c>
      <c r="C83" s="29" t="inlineStr">
        <is>
          <t>SSBN</t>
        </is>
      </c>
      <c r="D83" s="29" t="inlineStr">
        <is>
          <t>DDG</t>
        </is>
      </c>
      <c r="E83" s="29" t="inlineStr">
        <is>
          <t>CVN</t>
        </is>
      </c>
      <c r="F83" s="29" t="inlineStr">
        <is>
          <t>LSM</t>
        </is>
      </c>
      <c r="G83" s="29" t="inlineStr">
        <is>
          <t>T-AO</t>
        </is>
      </c>
      <c r="H83" s="29" t="inlineStr">
        <is>
          <t>MUSV</t>
        </is>
      </c>
      <c r="I83" s="29" t="inlineStr">
        <is>
          <t>LPD</t>
        </is>
      </c>
      <c r="J83" s="29" t="inlineStr">
        <is>
          <t>T-AKR</t>
        </is>
      </c>
      <c r="K83" s="29" t="inlineStr">
        <is>
          <t>LHA</t>
        </is>
      </c>
      <c r="L83" s="29" t="inlineStr">
        <is>
          <t>T-AGOS</t>
        </is>
      </c>
      <c r="M83" s="29" t="inlineStr">
        <is>
          <t>FFG</t>
        </is>
      </c>
      <c r="N83" s="29" t="inlineStr">
        <is>
          <t>UUV</t>
        </is>
      </c>
      <c r="O83" s="29" t="inlineStr">
        <is>
          <t>T-ATS</t>
        </is>
      </c>
      <c r="P83" s="42" t="inlineStr">
        <is>
          <t>WMSM</t>
        </is>
      </c>
      <c r="Q83" s="29" t="inlineStr">
        <is>
          <t>WPC</t>
        </is>
      </c>
      <c r="R83" s="29" t="inlineStr">
        <is>
          <t>WAGB</t>
        </is>
      </c>
      <c r="S83" s="29" t="inlineStr">
        <is>
          <t>WCC</t>
        </is>
      </c>
      <c r="T83" s="42" t="inlineStr">
        <is>
          <t>Total</t>
        </is>
      </c>
    </row>
    <row r="84" ht="10" customHeight="1">
      <c r="A84" s="30" t="inlineStr">
        <is>
          <t>Full Ship DD&amp;C</t>
        </is>
      </c>
      <c r="B84" s="43">
        <f>IFERROR((SUMIFS(JB_26BV,JB_B,1,JB_H,"SSN",JB_F,"Full ship DD&amp;C",JB_RC,"ADD")+SUMIFS(JB_26BV,JB_B,1,JB_H,"SSN",JB_F,"Full ship DD&amp;C / LLTM",JB_RC,"ADD")+SUMIFS(JB_26BV,JB_B,1,JB_H,"SSN",JB_F,"Full vessel procurement",JB_RC,"ADD"))/B$88,0)</f>
        <v/>
      </c>
      <c r="C84" s="37">
        <f>IFERROR((SUMIFS(JB_26BV,JB_B,1,JB_H,"SSBN",JB_F,"Full ship DD&amp;C",JB_RC,"ADD")+SUMIFS(JB_26BV,JB_B,1,JB_H,"SSBN",JB_F,"Full ship DD&amp;C / LLTM",JB_RC,"ADD")+SUMIFS(JB_26BV,JB_B,1,JB_H,"SSBN",JB_F,"Full vessel procurement",JB_RC,"ADD"))/C$88,0)</f>
        <v/>
      </c>
      <c r="D84" s="37">
        <f>IFERROR((SUMIFS(JB_26BV,JB_B,1,JB_H,"DDG",JB_F,"Full ship DD&amp;C",JB_RC,"ADD")+SUMIFS(JB_26BV,JB_B,1,JB_H,"DDG",JB_F,"Full ship DD&amp;C / LLTM",JB_RC,"ADD")+SUMIFS(JB_26BV,JB_B,1,JB_H,"DDG",JB_F,"Full vessel procurement",JB_RC,"ADD"))/D$88,0)</f>
        <v/>
      </c>
      <c r="E84" s="37">
        <f>IFERROR((SUMIFS(JB_26BV,JB_B,1,JB_H,"CVN",JB_F,"Full ship DD&amp;C",JB_RC,"ADD")+SUMIFS(JB_26BV,JB_B,1,JB_H,"CVN",JB_F,"Full ship DD&amp;C / LLTM",JB_RC,"ADD")+SUMIFS(JB_26BV,JB_B,1,JB_H,"CVN",JB_F,"Full vessel procurement",JB_RC,"ADD"))/E$88,0)</f>
        <v/>
      </c>
      <c r="F84" s="37">
        <f>IFERROR((SUMIFS(JB_26BV,JB_B,1,JB_H,"LSM",JB_F,"Full ship DD&amp;C",JB_RC,"ADD")+SUMIFS(JB_26BV,JB_B,1,JB_H,"LSM",JB_F,"Full ship DD&amp;C / LLTM",JB_RC,"ADD")+SUMIFS(JB_26BV,JB_B,1,JB_H,"LSM",JB_F,"Full vessel procurement",JB_RC,"ADD"))/F$88,0)</f>
        <v/>
      </c>
      <c r="G84" s="37">
        <f>IFERROR((SUMIFS(JB_26BV,JB_B,1,JB_H,"T-AO",JB_F,"Full ship DD&amp;C",JB_RC,"ADD")+SUMIFS(JB_26BV,JB_B,1,JB_H,"T-AO",JB_F,"Full ship DD&amp;C / LLTM",JB_RC,"ADD")+SUMIFS(JB_26BV,JB_B,1,JB_H,"T-AO",JB_F,"Full vessel procurement",JB_RC,"ADD"))/G$88,0)</f>
        <v/>
      </c>
      <c r="H84" s="37">
        <f>IFERROR((SUMIFS(JB_26BV,JB_B,1,JB_H,"MUSV",JB_F,"Full ship DD&amp;C",JB_RC,"ADD")+SUMIFS(JB_26BV,JB_B,1,JB_H,"MUSV",JB_F,"Full ship DD&amp;C / LLTM",JB_RC,"ADD")+SUMIFS(JB_26BV,JB_B,1,JB_H,"MUSV",JB_F,"Full vessel procurement",JB_RC,"ADD"))/H$88,0)</f>
        <v/>
      </c>
      <c r="I84" s="37">
        <f>IFERROR((SUMIFS(JB_26BV,JB_B,1,JB_H,"LPD",JB_F,"Full ship DD&amp;C",JB_RC,"ADD")+SUMIFS(JB_26BV,JB_B,1,JB_H,"LPD",JB_F,"Full ship DD&amp;C / LLTM",JB_RC,"ADD")+SUMIFS(JB_26BV,JB_B,1,JB_H,"LPD",JB_F,"Full vessel procurement",JB_RC,"ADD"))/I$88,0)</f>
        <v/>
      </c>
      <c r="J84" s="37">
        <f>IFERROR((SUMIFS(JB_26BV,JB_B,1,JB_H,"T-AKR",JB_F,"Full ship DD&amp;C",JB_RC,"ADD")+SUMIFS(JB_26BV,JB_B,1,JB_H,"T-AKR",JB_F,"Full ship DD&amp;C / LLTM",JB_RC,"ADD")+SUMIFS(JB_26BV,JB_B,1,JB_H,"T-AKR",JB_F,"Full vessel procurement",JB_RC,"ADD"))/J$88,0)</f>
        <v/>
      </c>
      <c r="K84" s="37">
        <f>IFERROR((SUMIFS(JB_26BV,JB_B,1,JB_H,"LHA",JB_F,"Full ship DD&amp;C",JB_RC,"ADD")+SUMIFS(JB_26BV,JB_B,1,JB_H,"LHA",JB_F,"Full ship DD&amp;C / LLTM",JB_RC,"ADD")+SUMIFS(JB_26BV,JB_B,1,JB_H,"LHA",JB_F,"Full vessel procurement",JB_RC,"ADD"))/K$88,0)</f>
        <v/>
      </c>
      <c r="L84" s="37">
        <f>IFERROR((SUMIFS(JB_26BV,JB_B,1,JB_H,"T-AGOS",JB_F,"Full ship DD&amp;C",JB_RC,"ADD")+SUMIFS(JB_26BV,JB_B,1,JB_H,"T-AGOS",JB_F,"Full ship DD&amp;C / LLTM",JB_RC,"ADD")+SUMIFS(JB_26BV,JB_B,1,JB_H,"T-AGOS",JB_F,"Full vessel procurement",JB_RC,"ADD"))/L$88,0)</f>
        <v/>
      </c>
      <c r="M84" s="37">
        <f>IFERROR((SUMIFS(JB_26BV,JB_B,1,JB_H,"FFG",JB_F,"Full ship DD&amp;C",JB_RC,"ADD")+SUMIFS(JB_26BV,JB_B,1,JB_H,"FFG",JB_F,"Full ship DD&amp;C / LLTM",JB_RC,"ADD")+SUMIFS(JB_26BV,JB_B,1,JB_H,"FFG",JB_F,"Full vessel procurement",JB_RC,"ADD"))/M$88,0)</f>
        <v/>
      </c>
      <c r="N84" s="37">
        <f>IFERROR((SUMIFS(JB_26BV,JB_B,1,JB_H,"UUV",JB_F,"Full ship DD&amp;C",JB_RC,"ADD")+SUMIFS(JB_26BV,JB_B,1,JB_H,"UUV",JB_F,"Full ship DD&amp;C / LLTM",JB_RC,"ADD")+SUMIFS(JB_26BV,JB_B,1,JB_H,"UUV",JB_F,"Full vessel procurement",JB_RC,"ADD"))/N$88,0)</f>
        <v/>
      </c>
      <c r="O84" s="37">
        <f>IFERROR((SUMIFS(JB_26BV,JB_B,1,JB_H,"T-ATS",JB_F,"Full ship DD&amp;C",JB_RC,"ADD")+SUMIFS(JB_26BV,JB_B,1,JB_H,"T-ATS",JB_F,"Full ship DD&amp;C / LLTM",JB_RC,"ADD")+SUMIFS(JB_26BV,JB_B,1,JB_H,"T-ATS",JB_F,"Full vessel procurement",JB_RC,"ADD"))/O$88,0)</f>
        <v/>
      </c>
      <c r="P84" s="43">
        <f>IFERROR((SUMIFS(JB_26BV,JB_B,1,JB_H,"WMSM",JB_F,"Full ship DD&amp;C",JB_RC,"ADD")+SUMIFS(JB_26BV,JB_B,1,JB_H,"WMSM",JB_F,"Full ship DD&amp;C / LLTM",JB_RC,"ADD")+SUMIFS(JB_26BV,JB_B,1,JB_H,"WMSM",JB_F,"Full vessel procurement",JB_RC,"ADD"))/P$88,0)</f>
        <v/>
      </c>
      <c r="Q84" s="37">
        <f>IFERROR((SUMIFS(JB_26BV,JB_B,1,JB_H,"WPC",JB_F,"Full ship DD&amp;C",JB_RC,"ADD")+SUMIFS(JB_26BV,JB_B,1,JB_H,"WPC",JB_F,"Full ship DD&amp;C / LLTM",JB_RC,"ADD")+SUMIFS(JB_26BV,JB_B,1,JB_H,"WPC",JB_F,"Full vessel procurement",JB_RC,"ADD"))/Q$88,0)</f>
        <v/>
      </c>
      <c r="R84" s="37">
        <f>IFERROR((SUMIFS(JB_26BV,JB_B,1,JB_H,"WAGB",JB_F,"Full ship DD&amp;C",JB_RC,"ADD")+SUMIFS(JB_26BV,JB_B,1,JB_H,"WAGB",JB_F,"Full ship DD&amp;C / LLTM",JB_RC,"ADD")+SUMIFS(JB_26BV,JB_B,1,JB_H,"WAGB",JB_F,"Full vessel procurement",JB_RC,"ADD"))/R$88,0)</f>
        <v/>
      </c>
      <c r="S84" s="37">
        <f>IFERROR((SUMIFS(JB_26BV,JB_B,1,JB_H,"WCC",JB_F,"Full ship DD&amp;C",JB_RC,"ADD")+SUMIFS(JB_26BV,JB_B,1,JB_H,"WCC",JB_F,"Full ship DD&amp;C / LLTM",JB_RC,"ADD")+SUMIFS(JB_26BV,JB_B,1,JB_H,"WCC",JB_F,"Full vessel procurement",JB_RC,"ADD"))/S$88,0)</f>
        <v/>
      </c>
      <c r="T84" s="4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
      </c>
    </row>
    <row r="85" ht="10" customHeight="1">
      <c r="A85" s="30" t="inlineStr">
        <is>
          <t>Advance Procurement / LLTM</t>
        </is>
      </c>
      <c r="B85" s="43">
        <f>IFERROR((SUMIFS(JB_26BV,JB_B,1,JB_H,"SSN",JB_F,"Advance procurement / LLTM",JB_RC,"ADD"))/B$88,0)</f>
        <v/>
      </c>
      <c r="C85" s="37">
        <f>IFERROR((SUMIFS(JB_26BV,JB_B,1,JB_H,"SSBN",JB_F,"Advance procurement / LLTM",JB_RC,"ADD"))/C$88,0)</f>
        <v/>
      </c>
      <c r="D85" s="37">
        <f>IFERROR((SUMIFS(JB_26BV,JB_B,1,JB_H,"DDG",JB_F,"Advance procurement / LLTM",JB_RC,"ADD"))/D$88,0)</f>
        <v/>
      </c>
      <c r="E85" s="37">
        <f>IFERROR((SUMIFS(JB_26BV,JB_B,1,JB_H,"CVN",JB_F,"Advance procurement / LLTM",JB_RC,"ADD"))/E$88,0)</f>
        <v/>
      </c>
      <c r="F85" s="37">
        <f>IFERROR((SUMIFS(JB_26BV,JB_B,1,JB_H,"LSM",JB_F,"Advance procurement / LLTM",JB_RC,"ADD"))/F$88,0)</f>
        <v/>
      </c>
      <c r="G85" s="37">
        <f>IFERROR((SUMIFS(JB_26BV,JB_B,1,JB_H,"T-AO",JB_F,"Advance procurement / LLTM",JB_RC,"ADD"))/G$88,0)</f>
        <v/>
      </c>
      <c r="H85" s="37">
        <f>IFERROR((SUMIFS(JB_26BV,JB_B,1,JB_H,"MUSV",JB_F,"Advance procurement / LLTM",JB_RC,"ADD"))/H$88,0)</f>
        <v/>
      </c>
      <c r="I85" s="37">
        <f>IFERROR((SUMIFS(JB_26BV,JB_B,1,JB_H,"LPD",JB_F,"Advance procurement / LLTM",JB_RC,"ADD"))/I$88,0)</f>
        <v/>
      </c>
      <c r="J85" s="37">
        <f>IFERROR((SUMIFS(JB_26BV,JB_B,1,JB_H,"T-AKR",JB_F,"Advance procurement / LLTM",JB_RC,"ADD"))/J$88,0)</f>
        <v/>
      </c>
      <c r="K85" s="37">
        <f>IFERROR((SUMIFS(JB_26BV,JB_B,1,JB_H,"LHA",JB_F,"Advance procurement / LLTM",JB_RC,"ADD"))/K$88,0)</f>
        <v/>
      </c>
      <c r="L85" s="37">
        <f>IFERROR((SUMIFS(JB_26BV,JB_B,1,JB_H,"T-AGOS",JB_F,"Advance procurement / LLTM",JB_RC,"ADD"))/L$88,0)</f>
        <v/>
      </c>
      <c r="M85" s="37">
        <f>IFERROR((SUMIFS(JB_26BV,JB_B,1,JB_H,"FFG",JB_F,"Advance procurement / LLTM",JB_RC,"ADD"))/M$88,0)</f>
        <v/>
      </c>
      <c r="N85" s="37">
        <f>IFERROR((SUMIFS(JB_26BV,JB_B,1,JB_H,"UUV",JB_F,"Advance procurement / LLTM",JB_RC,"ADD"))/N$88,0)</f>
        <v/>
      </c>
      <c r="O85" s="37">
        <f>IFERROR((SUMIFS(JB_26BV,JB_B,1,JB_H,"T-ATS",JB_F,"Advance procurement / LLTM",JB_RC,"ADD"))/O$88,0)</f>
        <v/>
      </c>
      <c r="P85" s="43">
        <f>IFERROR((SUMIFS(JB_26BV,JB_B,1,JB_H,"WMSM",JB_F,"Advance procurement / LLTM",JB_RC,"ADD"))/P$88,0)</f>
        <v/>
      </c>
      <c r="Q85" s="37">
        <f>IFERROR((SUMIFS(JB_26BV,JB_B,1,JB_H,"WPC",JB_F,"Advance procurement / LLTM",JB_RC,"ADD"))/Q$88,0)</f>
        <v/>
      </c>
      <c r="R85" s="37">
        <f>IFERROR((SUMIFS(JB_26BV,JB_B,1,JB_H,"WAGB",JB_F,"Advance procurement / LLTM",JB_RC,"ADD"))/R$88,0)</f>
        <v/>
      </c>
      <c r="S85" s="37">
        <f>IFERROR((SUMIFS(JB_26BV,JB_B,1,JB_H,"WCC",JB_F,"Advance procurement / LLTM",JB_RC,"ADD"))/S$88,0)</f>
        <v/>
      </c>
      <c r="T85"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
      </c>
    </row>
    <row r="86" ht="10" customHeight="1">
      <c r="A86" s="30" t="inlineStr">
        <is>
          <t>RCOH</t>
        </is>
      </c>
      <c r="B86" s="43">
        <f>IFERROR((SUMIFS(JB_26BV,JB_B,1,JB_H,"SSN",JB_F,"RCOH",JB_RC,"ADD"))/B$88,0)</f>
        <v/>
      </c>
      <c r="C86" s="37">
        <f>IFERROR((SUMIFS(JB_26BV,JB_B,1,JB_H,"SSBN",JB_F,"RCOH",JB_RC,"ADD"))/C$88,0)</f>
        <v/>
      </c>
      <c r="D86" s="37">
        <f>IFERROR((SUMIFS(JB_26BV,JB_B,1,JB_H,"DDG",JB_F,"RCOH",JB_RC,"ADD"))/D$88,0)</f>
        <v/>
      </c>
      <c r="E86" s="37">
        <f>IFERROR((SUMIFS(JB_26BV,JB_B,1,JB_H,"CVN",JB_F,"RCOH",JB_RC,"ADD"))/E$88,0)</f>
        <v/>
      </c>
      <c r="F86" s="37">
        <f>IFERROR((SUMIFS(JB_26BV,JB_B,1,JB_H,"LSM",JB_F,"RCOH",JB_RC,"ADD"))/F$88,0)</f>
        <v/>
      </c>
      <c r="G86" s="37">
        <f>IFERROR((SUMIFS(JB_26BV,JB_B,1,JB_H,"T-AO",JB_F,"RCOH",JB_RC,"ADD"))/G$88,0)</f>
        <v/>
      </c>
      <c r="H86" s="37">
        <f>IFERROR((SUMIFS(JB_26BV,JB_B,1,JB_H,"MUSV",JB_F,"RCOH",JB_RC,"ADD"))/H$88,0)</f>
        <v/>
      </c>
      <c r="I86" s="37">
        <f>IFERROR((SUMIFS(JB_26BV,JB_B,1,JB_H,"LPD",JB_F,"RCOH",JB_RC,"ADD"))/I$88,0)</f>
        <v/>
      </c>
      <c r="J86" s="37">
        <f>IFERROR((SUMIFS(JB_26BV,JB_B,1,JB_H,"T-AKR",JB_F,"RCOH",JB_RC,"ADD"))/J$88,0)</f>
        <v/>
      </c>
      <c r="K86" s="37">
        <f>IFERROR((SUMIFS(JB_26BV,JB_B,1,JB_H,"LHA",JB_F,"RCOH",JB_RC,"ADD"))/K$88,0)</f>
        <v/>
      </c>
      <c r="L86" s="37">
        <f>IFERROR((SUMIFS(JB_26BV,JB_B,1,JB_H,"T-AGOS",JB_F,"RCOH",JB_RC,"ADD"))/L$88,0)</f>
        <v/>
      </c>
      <c r="M86" s="37">
        <f>IFERROR((SUMIFS(JB_26BV,JB_B,1,JB_H,"FFG",JB_F,"RCOH",JB_RC,"ADD"))/M$88,0)</f>
        <v/>
      </c>
      <c r="N86" s="37">
        <f>IFERROR((SUMIFS(JB_26BV,JB_B,1,JB_H,"UUV",JB_F,"RCOH",JB_RC,"ADD"))/N$88,0)</f>
        <v/>
      </c>
      <c r="O86" s="37">
        <f>IFERROR((SUMIFS(JB_26BV,JB_B,1,JB_H,"T-ATS",JB_F,"RCOH",JB_RC,"ADD"))/O$88,0)</f>
        <v/>
      </c>
      <c r="P86" s="43">
        <f>IFERROR((SUMIFS(JB_26BV,JB_B,1,JB_H,"WMSM",JB_F,"RCOH",JB_RC,"ADD"))/P$88,0)</f>
        <v/>
      </c>
      <c r="Q86" s="37">
        <f>IFERROR((SUMIFS(JB_26BV,JB_B,1,JB_H,"WPC",JB_F,"RCOH",JB_RC,"ADD"))/Q$88,0)</f>
        <v/>
      </c>
      <c r="R86" s="37">
        <f>IFERROR((SUMIFS(JB_26BV,JB_B,1,JB_H,"WAGB",JB_F,"RCOH",JB_RC,"ADD"))/R$88,0)</f>
        <v/>
      </c>
      <c r="S86" s="37">
        <f>IFERROR((SUMIFS(JB_26BV,JB_B,1,JB_H,"WCC",JB_F,"RCOH",JB_RC,"ADD"))/S$88,0)</f>
        <v/>
      </c>
      <c r="T86" s="43">
        <f>IFERROR((SUMIFS(JB_26BV,JB_B,1,JB_V,"Auxiliary Ships",JB_F,"RCOH",JB_RC,"ADD")+SUMIFS(JB_26BV,JB_B,1,JB_V,"Combatant Ships",JB_F,"RCOH",JB_RC,"ADD")+SUMIFS(JB_26BV,JB_B,1,JB_V,"Cutters",JB_F,"RCOH",JB_RC,"ADD")+SUMIFS(JB_26BV,JB_B,1,JB_V,"Unmanned Maritime Platforms",JB_F,"RCOH",JB_RC,"ADD"))/T$88,0)</f>
        <v/>
      </c>
    </row>
    <row r="87" ht="10" customHeight="1">
      <c r="A87" s="30" t="inlineStr">
        <is>
          <t>SLEP</t>
        </is>
      </c>
      <c r="B87" s="43">
        <f>IFERROR((SUMIFS(JB_26BV,JB_B,1,JB_H,"SSN",JB_F,"SLEP",JB_RC,"ADD"))/B$88,0)</f>
        <v/>
      </c>
      <c r="C87" s="37">
        <f>IFERROR((SUMIFS(JB_26BV,JB_B,1,JB_H,"SSBN",JB_F,"SLEP",JB_RC,"ADD"))/C$88,0)</f>
        <v/>
      </c>
      <c r="D87" s="37">
        <f>IFERROR((SUMIFS(JB_26BV,JB_B,1,JB_H,"DDG",JB_F,"SLEP",JB_RC,"ADD"))/D$88,0)</f>
        <v/>
      </c>
      <c r="E87" s="37">
        <f>IFERROR((SUMIFS(JB_26BV,JB_B,1,JB_H,"CVN",JB_F,"SLEP",JB_RC,"ADD"))/E$88,0)</f>
        <v/>
      </c>
      <c r="F87" s="37">
        <f>IFERROR((SUMIFS(JB_26BV,JB_B,1,JB_H,"LSM",JB_F,"SLEP",JB_RC,"ADD"))/F$88,0)</f>
        <v/>
      </c>
      <c r="G87" s="37">
        <f>IFERROR((SUMIFS(JB_26BV,JB_B,1,JB_H,"T-AO",JB_F,"SLEP",JB_RC,"ADD"))/G$88,0)</f>
        <v/>
      </c>
      <c r="H87" s="37">
        <f>IFERROR((SUMIFS(JB_26BV,JB_B,1,JB_H,"MUSV",JB_F,"SLEP",JB_RC,"ADD"))/H$88,0)</f>
        <v/>
      </c>
      <c r="I87" s="37">
        <f>IFERROR((SUMIFS(JB_26BV,JB_B,1,JB_H,"LPD",JB_F,"SLEP",JB_RC,"ADD"))/I$88,0)</f>
        <v/>
      </c>
      <c r="J87" s="37">
        <f>IFERROR((SUMIFS(JB_26BV,JB_B,1,JB_H,"T-AKR",JB_F,"SLEP",JB_RC,"ADD"))/J$88,0)</f>
        <v/>
      </c>
      <c r="K87" s="37">
        <f>IFERROR((SUMIFS(JB_26BV,JB_B,1,JB_H,"LHA",JB_F,"SLEP",JB_RC,"ADD"))/K$88,0)</f>
        <v/>
      </c>
      <c r="L87" s="37">
        <f>IFERROR((SUMIFS(JB_26BV,JB_B,1,JB_H,"T-AGOS",JB_F,"SLEP",JB_RC,"ADD"))/L$88,0)</f>
        <v/>
      </c>
      <c r="M87" s="37">
        <f>IFERROR((SUMIFS(JB_26BV,JB_B,1,JB_H,"FFG",JB_F,"SLEP",JB_RC,"ADD"))/M$88,0)</f>
        <v/>
      </c>
      <c r="N87" s="37">
        <f>IFERROR((SUMIFS(JB_26BV,JB_B,1,JB_H,"UUV",JB_F,"SLEP",JB_RC,"ADD"))/N$88,0)</f>
        <v/>
      </c>
      <c r="O87" s="37">
        <f>IFERROR((SUMIFS(JB_26BV,JB_B,1,JB_H,"T-ATS",JB_F,"SLEP",JB_RC,"ADD"))/O$88,0)</f>
        <v/>
      </c>
      <c r="P87" s="43">
        <f>IFERROR((SUMIFS(JB_26BV,JB_B,1,JB_H,"WMSM",JB_F,"SLEP",JB_RC,"ADD"))/P$88,0)</f>
        <v/>
      </c>
      <c r="Q87" s="37">
        <f>IFERROR((SUMIFS(JB_26BV,JB_B,1,JB_H,"WPC",JB_F,"SLEP",JB_RC,"ADD"))/Q$88,0)</f>
        <v/>
      </c>
      <c r="R87" s="37">
        <f>IFERROR((SUMIFS(JB_26BV,JB_B,1,JB_H,"WAGB",JB_F,"SLEP",JB_RC,"ADD"))/R$88,0)</f>
        <v/>
      </c>
      <c r="S87" s="37">
        <f>IFERROR((SUMIFS(JB_26BV,JB_B,1,JB_H,"WCC",JB_F,"SLEP",JB_RC,"ADD"))/S$88,0)</f>
        <v/>
      </c>
      <c r="T87" s="43">
        <f>IFERROR((SUMIFS(JB_26BV,JB_B,1,JB_V,"Auxiliary Ships",JB_F,"SLEP",JB_RC,"ADD")+SUMIFS(JB_26BV,JB_B,1,JB_V,"Combatant Ships",JB_F,"SLEP",JB_RC,"ADD")+SUMIFS(JB_26BV,JB_B,1,JB_V,"Cutters",JB_F,"SLEP",JB_RC,"ADD")+SUMIFS(JB_26BV,JB_B,1,JB_V,"Unmanned Maritime Platforms",JB_F,"SLEP",JB_RC,"ADD"))/T$88,0)</f>
        <v/>
      </c>
    </row>
    <row r="88" ht="10" customHeight="1">
      <c r="A88" s="32" t="inlineStr">
        <is>
          <t>Total ($K)</t>
        </is>
      </c>
      <c r="B88" s="44">
        <f>SUMIFS(JB_26BV,JB_B,1,JB_H,"SSN",JB_RC,"ADD")</f>
        <v/>
      </c>
      <c r="C88" s="33">
        <f>SUMIFS(JB_26BV,JB_B,1,JB_H,"SSBN",JB_RC,"ADD")</f>
        <v/>
      </c>
      <c r="D88" s="33">
        <f>SUMIFS(JB_26BV,JB_B,1,JB_H,"DDG",JB_RC,"ADD")</f>
        <v/>
      </c>
      <c r="E88" s="33">
        <f>SUMIFS(JB_26BV,JB_B,1,JB_H,"CVN",JB_RC,"ADD")</f>
        <v/>
      </c>
      <c r="F88" s="33">
        <f>SUMIFS(JB_26BV,JB_B,1,JB_H,"LSM",JB_RC,"ADD")</f>
        <v/>
      </c>
      <c r="G88" s="33">
        <f>SUMIFS(JB_26BV,JB_B,1,JB_H,"T-AO",JB_RC,"ADD")</f>
        <v/>
      </c>
      <c r="H88" s="33">
        <f>SUMIFS(JB_26BV,JB_B,1,JB_H,"MUSV",JB_RC,"ADD")</f>
        <v/>
      </c>
      <c r="I88" s="33">
        <f>SUMIFS(JB_26BV,JB_B,1,JB_H,"LPD",JB_RC,"ADD")</f>
        <v/>
      </c>
      <c r="J88" s="33">
        <f>SUMIFS(JB_26BV,JB_B,1,JB_H,"T-AKR",JB_RC,"ADD")</f>
        <v/>
      </c>
      <c r="K88" s="33">
        <f>SUMIFS(JB_26BV,JB_B,1,JB_H,"LHA",JB_RC,"ADD")</f>
        <v/>
      </c>
      <c r="L88" s="33">
        <f>SUMIFS(JB_26BV,JB_B,1,JB_H,"T-AGOS",JB_RC,"ADD")</f>
        <v/>
      </c>
      <c r="M88" s="33">
        <f>SUMIFS(JB_26BV,JB_B,1,JB_H,"FFG",JB_RC,"ADD")</f>
        <v/>
      </c>
      <c r="N88" s="33">
        <f>SUMIFS(JB_26BV,JB_B,1,JB_H,"UUV",JB_RC,"ADD")</f>
        <v/>
      </c>
      <c r="O88" s="33">
        <f>SUMIFS(JB_26BV,JB_B,1,JB_H,"T-ATS",JB_RC,"ADD")</f>
        <v/>
      </c>
      <c r="P88" s="44">
        <f>SUMIFS(JB_26BV,JB_B,1,JB_H,"WMSM",JB_RC,"ADD")</f>
        <v/>
      </c>
      <c r="Q88" s="33">
        <f>SUMIFS(JB_26BV,JB_B,1,JB_H,"WPC",JB_RC,"ADD")</f>
        <v/>
      </c>
      <c r="R88" s="33">
        <f>SUMIFS(JB_26BV,JB_B,1,JB_H,"WAGB",JB_RC,"ADD")</f>
        <v/>
      </c>
      <c r="S88" s="33">
        <f>SUMIFS(JB_26BV,JB_B,1,JB_H,"WCC",JB_RC,"ADD")</f>
        <v/>
      </c>
      <c r="T88" s="44">
        <f>SUM(B88:S88)</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J111"/>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10" customHeight="1">
      <c r="A1" s="24" t="inlineStr">
        <is>
          <t>Newbuild SAM — FY2026 ($K)</t>
        </is>
      </c>
      <c r="B1" s="25" t="n"/>
      <c r="C1" s="25" t="n"/>
      <c r="D1" s="25" t="n"/>
      <c r="E1" s="25" t="n"/>
      <c r="F1" s="25" t="n"/>
      <c r="G1" s="25" t="n"/>
      <c r="H1" s="25" t="n"/>
      <c r="I1" s="25" t="n"/>
      <c r="J1" s="25" t="n"/>
    </row>
    <row r="2" ht="10" customHeight="1">
      <c r="A2" s="26" t="inlineStr">
        <is>
          <t>Outsourceable new construction sized at cost-element level. Starts from Newbuild TAM, excludes single-yard/nuclear programs (Submarines, Aircraft Carriers, UUVs), then narrows to hull programs with P-5c exhibit data. P-5c percentage mix applied to net budget authority gives the Newbuild SAM — the market a company could compete in, broken by component.</t>
        </is>
      </c>
    </row>
    <row r="3" ht="10" customHeight="1"/>
    <row r="4" ht="10" customHeight="1">
      <c r="A4" s="27" t="inlineStr">
        <is>
          <t>(A) Bridge: Newbuild TAM → Newbuild SAM (all programs)</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FY2026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Surface Combatants</t>
        </is>
      </c>
      <c r="B14" s="30" t="inlineStr">
        <is>
          <t>USN</t>
        </is>
      </c>
      <c r="C14" s="31">
        <f>SUMIFS(JB_26BV,JB_B,1,JB_W,"Surface Combatants",JB_F,"Full ship DD&amp;C",JB_RC,"ADD")+SUMIFS(JB_26BV,JB_B,1,JB_W,"Surface Combatants",JB_F,"Full ship DD&amp;C / LLTM",JB_RC,"ADD")+SUMIFS(JB_26BV,JB_B,1,JB_W,"Surface Combatants",JB_F,"Full vessel procurement",JB_RC,"ADD")</f>
        <v/>
      </c>
      <c r="D14" s="31">
        <f>SUMIFS(JB_26BV,JB_B,1,JB_W,"Surface Combatants",JB_F,"Advance procurement / LLTM",JB_RC,"ADD")</f>
        <v/>
      </c>
      <c r="E14" s="31">
        <f>SUMIFS(JB_26BV,JB_B,1,JB_W,"Surface Combatants",JB_F,"RCOH",JB_RC,"ADD")</f>
        <v/>
      </c>
      <c r="F14" s="31">
        <f>SUMIFS(JB_26BV,JB_B,1,JB_W,"Surface Combatants",JB_F,"SLEP",JB_RC,"ADD")</f>
        <v/>
      </c>
      <c r="G14" s="31">
        <f>SUMIFS(JB_26BV,JB_B,1,JB_W,"Surface Combatants",JB_RC,"ADD")</f>
        <v/>
      </c>
      <c r="H14" s="37">
        <f>IFERROR(G14/G$26,0)</f>
        <v/>
      </c>
    </row>
    <row r="15" ht="10" customHeight="1">
      <c r="A15" s="30" t="inlineStr">
        <is>
          <t>Expeditionary &amp; Seabasing Ships</t>
        </is>
      </c>
      <c r="B15" s="30" t="inlineStr">
        <is>
          <t>USN</t>
        </is>
      </c>
      <c r="C15" s="31">
        <f>SUMIFS(JB_26BV,JB_B,1,JB_W,"Expeditionary &amp; Seabasing Ships",JB_F,"Full ship DD&amp;C",JB_RC,"ADD")+SUMIFS(JB_26BV,JB_B,1,JB_W,"Expeditionary &amp; Seabasing Ships",JB_F,"Full ship DD&amp;C / LLTM",JB_RC,"ADD")+SUMIFS(JB_26BV,JB_B,1,JB_W,"Expeditionary &amp; Seabasing Ships",JB_F,"Full vessel procurement",JB_RC,"ADD")</f>
        <v/>
      </c>
      <c r="D15" s="31">
        <f>SUMIFS(JB_26BV,JB_B,1,JB_W,"Expeditionary &amp; Seabasing Ships",JB_F,"Advance procurement / LLTM",JB_RC,"ADD")</f>
        <v/>
      </c>
      <c r="E15" s="31">
        <f>SUMIFS(JB_26BV,JB_B,1,JB_W,"Expeditionary &amp; Seabasing Ships",JB_F,"RCOH",JB_RC,"ADD")</f>
        <v/>
      </c>
      <c r="F15" s="31">
        <f>SUMIFS(JB_26BV,JB_B,1,JB_W,"Expeditionary &amp; Seabasing Ships",JB_F,"SLEP",JB_RC,"ADD")</f>
        <v/>
      </c>
      <c r="G15" s="31">
        <f>SUMIFS(JB_26BV,JB_B,1,JB_W,"Expeditionary &amp; Seabasing Ships",JB_RC,"ADD")</f>
        <v/>
      </c>
      <c r="H15" s="37">
        <f>IFERROR(G15/G$26,0)</f>
        <v/>
      </c>
    </row>
    <row r="16" ht="10" customHeight="1">
      <c r="A16" s="30" t="inlineStr">
        <is>
          <t>Combat Logistics Ships</t>
        </is>
      </c>
      <c r="B16" s="30" t="inlineStr">
        <is>
          <t>MSC</t>
        </is>
      </c>
      <c r="C16" s="31">
        <f>SUMIFS(JB_26BV,JB_B,1,JB_W,"Combat Logistics Ships",JB_F,"Full ship DD&amp;C",JB_RC,"ADD")+SUMIFS(JB_26BV,JB_B,1,JB_W,"Combat Logistics Ships",JB_F,"Full ship DD&amp;C / LLTM",JB_RC,"ADD")+SUMIFS(JB_26BV,JB_B,1,JB_W,"Combat Logistics Ships",JB_F,"Full vessel procurement",JB_RC,"ADD")</f>
        <v/>
      </c>
      <c r="D16" s="31">
        <f>SUMIFS(JB_26BV,JB_B,1,JB_W,"Combat Logistics Ships",JB_F,"Advance procurement / LLTM",JB_RC,"ADD")</f>
        <v/>
      </c>
      <c r="E16" s="31">
        <f>SUMIFS(JB_26BV,JB_B,1,JB_W,"Combat Logistics Ships",JB_F,"RCOH",JB_RC,"ADD")</f>
        <v/>
      </c>
      <c r="F16" s="31">
        <f>SUMIFS(JB_26BV,JB_B,1,JB_W,"Combat Logistics Ships",JB_F,"SLEP",JB_RC,"ADD")</f>
        <v/>
      </c>
      <c r="G16" s="31">
        <f>SUMIFS(JB_26BV,JB_B,1,JB_W,"Combat Logistics Ships",JB_RC,"ADD")</f>
        <v/>
      </c>
      <c r="H16" s="37">
        <f>IFERROR(G16/G$26,0)</f>
        <v/>
      </c>
    </row>
    <row r="17" ht="10" customHeight="1">
      <c r="A17" s="30" t="inlineStr">
        <is>
          <t>Amphibious Warfare Ships</t>
        </is>
      </c>
      <c r="B17" s="30" t="inlineStr">
        <is>
          <t>USN</t>
        </is>
      </c>
      <c r="C17" s="31">
        <f>SUMIFS(JB_26BV,JB_B,1,JB_W,"Amphibious Warfare Ships",JB_F,"Full ship DD&amp;C",JB_RC,"ADD")+SUMIFS(JB_26BV,JB_B,1,JB_W,"Amphibious Warfare Ships",JB_F,"Full ship DD&amp;C / LLTM",JB_RC,"ADD")+SUMIFS(JB_26BV,JB_B,1,JB_W,"Amphibious Warfare Ships",JB_F,"Full vessel procurement",JB_RC,"ADD")</f>
        <v/>
      </c>
      <c r="D17" s="31">
        <f>SUMIFS(JB_26BV,JB_B,1,JB_W,"Amphibious Warfare Ships",JB_F,"Advance procurement / LLTM",JB_RC,"ADD")</f>
        <v/>
      </c>
      <c r="E17" s="31">
        <f>SUMIFS(JB_26BV,JB_B,1,JB_W,"Amphibious Warfare Ships",JB_F,"RCOH",JB_RC,"ADD")</f>
        <v/>
      </c>
      <c r="F17" s="31">
        <f>SUMIFS(JB_26BV,JB_B,1,JB_W,"Amphibious Warfare Ships",JB_F,"SLEP",JB_RC,"ADD")</f>
        <v/>
      </c>
      <c r="G17" s="31">
        <f>SUMIFS(JB_26BV,JB_B,1,JB_W,"Amphibious Warfare Ships",JB_RC,"ADD")</f>
        <v/>
      </c>
      <c r="H17" s="37">
        <f>IFERROR(G17/G$26,0)</f>
        <v/>
      </c>
    </row>
    <row r="18" ht="10" customHeight="1">
      <c r="A18" s="30" t="inlineStr">
        <is>
          <t>Unmanned Surface Vehicles</t>
        </is>
      </c>
      <c r="B18" s="30" t="inlineStr">
        <is>
          <t>USN</t>
        </is>
      </c>
      <c r="C18" s="31">
        <f>SUMIFS(JB_26BV,JB_B,1,JB_W,"Unmanned Surface Vehicles",JB_F,"Full ship DD&amp;C",JB_RC,"ADD")+SUMIFS(JB_26BV,JB_B,1,JB_W,"Unmanned Surface Vehicles",JB_F,"Full ship DD&amp;C / LLTM",JB_RC,"ADD")+SUMIFS(JB_26BV,JB_B,1,JB_W,"Unmanned Surface Vehicles",JB_F,"Full vessel procurement",JB_RC,"ADD")</f>
        <v/>
      </c>
      <c r="D18" s="31">
        <f>SUMIFS(JB_26BV,JB_B,1,JB_W,"Unmanned Surface Vehicles",JB_F,"Advance procurement / LLTM",JB_RC,"ADD")</f>
        <v/>
      </c>
      <c r="E18" s="31">
        <f>SUMIFS(JB_26BV,JB_B,1,JB_W,"Unmanned Surface Vehicles",JB_F,"RCOH",JB_RC,"ADD")</f>
        <v/>
      </c>
      <c r="F18" s="31">
        <f>SUMIFS(JB_26BV,JB_B,1,JB_W,"Unmanned Surface Vehicles",JB_F,"SLEP",JB_RC,"ADD")</f>
        <v/>
      </c>
      <c r="G18" s="31">
        <f>SUMIFS(JB_26BV,JB_B,1,JB_W,"Unmanned Surface Vehicles",JB_RC,"ADD")</f>
        <v/>
      </c>
      <c r="H18" s="37">
        <f>IFERROR(G18/G$26,0)</f>
        <v/>
      </c>
    </row>
    <row r="19" ht="10" customHeight="1">
      <c r="A19" s="30" t="inlineStr">
        <is>
          <t>Cargo &amp; Vehicle Cargo Ships</t>
        </is>
      </c>
      <c r="B19" s="30" t="inlineStr">
        <is>
          <t>USN</t>
        </is>
      </c>
      <c r="C19" s="31">
        <f>SUMIFS(JB_26BV,JB_B,1,JB_W,"Cargo &amp; Vehicle Cargo Ships",JB_F,"Full ship DD&amp;C",JB_RC,"ADD")+SUMIFS(JB_26BV,JB_B,1,JB_W,"Cargo &amp; Vehicle Cargo Ships",JB_F,"Full ship DD&amp;C / LLTM",JB_RC,"ADD")+SUMIFS(JB_26BV,JB_B,1,JB_W,"Cargo &amp; Vehicle Cargo Ships",JB_F,"Full vessel procurement",JB_RC,"ADD")</f>
        <v/>
      </c>
      <c r="D19" s="31">
        <f>SUMIFS(JB_26BV,JB_B,1,JB_W,"Cargo &amp; Vehicle Cargo Ships",JB_F,"Advance procurement / LLTM",JB_RC,"ADD")</f>
        <v/>
      </c>
      <c r="E19" s="31">
        <f>SUMIFS(JB_26BV,JB_B,1,JB_W,"Cargo &amp; Vehicle Cargo Ships",JB_F,"RCOH",JB_RC,"ADD")</f>
        <v/>
      </c>
      <c r="F19" s="31">
        <f>SUMIFS(JB_26BV,JB_B,1,JB_W,"Cargo &amp; Vehicle Cargo Ships",JB_F,"SLEP",JB_RC,"ADD")</f>
        <v/>
      </c>
      <c r="G19" s="31">
        <f>SUMIFS(JB_26BV,JB_B,1,JB_W,"Cargo &amp; Vehicle Cargo Ships",JB_RC,"ADD")</f>
        <v/>
      </c>
      <c r="H19" s="37">
        <f>IFERROR(G19/G$26,0)</f>
        <v/>
      </c>
    </row>
    <row r="20" ht="10" customHeight="1">
      <c r="A20" s="30" t="inlineStr">
        <is>
          <t>Surveillance Ships</t>
        </is>
      </c>
      <c r="B20" s="30" t="inlineStr">
        <is>
          <t>USN</t>
        </is>
      </c>
      <c r="C20" s="31">
        <f>SUMIFS(JB_26BV,JB_B,1,JB_W,"Surveillance Ships",JB_F,"Full ship DD&amp;C",JB_RC,"ADD")+SUMIFS(JB_26BV,JB_B,1,JB_W,"Surveillance Ships",JB_F,"Full ship DD&amp;C / LLTM",JB_RC,"ADD")+SUMIFS(JB_26BV,JB_B,1,JB_W,"Surveillance Ships",JB_F,"Full vessel procurement",JB_RC,"ADD")</f>
        <v/>
      </c>
      <c r="D20" s="31">
        <f>SUMIFS(JB_26BV,JB_B,1,JB_W,"Surveillance Ships",JB_F,"Advance procurement / LLTM",JB_RC,"ADD")</f>
        <v/>
      </c>
      <c r="E20" s="31">
        <f>SUMIFS(JB_26BV,JB_B,1,JB_W,"Surveillance Ships",JB_F,"RCOH",JB_RC,"ADD")</f>
        <v/>
      </c>
      <c r="F20" s="31">
        <f>SUMIFS(JB_26BV,JB_B,1,JB_W,"Surveillance Ships",JB_F,"SLEP",JB_RC,"ADD")</f>
        <v/>
      </c>
      <c r="G20" s="31">
        <f>SUMIFS(JB_26BV,JB_B,1,JB_W,"Surveillance Ships",JB_RC,"ADD")</f>
        <v/>
      </c>
      <c r="H20" s="37">
        <f>IFERROR(G20/G$26,0)</f>
        <v/>
      </c>
    </row>
    <row r="21" ht="10" customHeight="1">
      <c r="A21" s="30" t="inlineStr">
        <is>
          <t>Salvage Ships &amp; Fleet Ocean Tugs</t>
        </is>
      </c>
      <c r="B21" s="30" t="inlineStr">
        <is>
          <t>MSC</t>
        </is>
      </c>
      <c r="C21" s="31">
        <f>SUMIFS(JB_26BV,JB_B,1,JB_W,"Salvage Ships &amp; Fleet Ocean Tugs",JB_F,"Full ship DD&amp;C",JB_RC,"ADD")+SUMIFS(JB_26BV,JB_B,1,JB_W,"Salvage Ships &amp; Fleet Ocean Tugs",JB_F,"Full ship DD&amp;C / LLTM",JB_RC,"ADD")+SUMIFS(JB_26BV,JB_B,1,JB_W,"Salvage Ships &amp; Fleet Ocean Tugs",JB_F,"Full vessel procurement",JB_RC,"ADD")</f>
        <v/>
      </c>
      <c r="D21" s="31">
        <f>SUMIFS(JB_26BV,JB_B,1,JB_W,"Salvage Ships &amp; Fleet Ocean Tugs",JB_F,"Advance procurement / LLTM",JB_RC,"ADD")</f>
        <v/>
      </c>
      <c r="E21" s="31">
        <f>SUMIFS(JB_26BV,JB_B,1,JB_W,"Salvage Ships &amp; Fleet Ocean Tugs",JB_F,"RCOH",JB_RC,"ADD")</f>
        <v/>
      </c>
      <c r="F21" s="31">
        <f>SUMIFS(JB_26BV,JB_B,1,JB_W,"Salvage Ships &amp; Fleet Ocean Tugs",JB_F,"SLEP",JB_RC,"ADD")</f>
        <v/>
      </c>
      <c r="G21" s="31">
        <f>SUMIFS(JB_26BV,JB_B,1,JB_W,"Salvage Ships &amp; Fleet Ocean Tugs",JB_RC,"ADD")</f>
        <v/>
      </c>
      <c r="H21" s="37">
        <f>IFERROR(G21/G$26,0)</f>
        <v/>
      </c>
    </row>
    <row r="22" ht="10" customHeight="1">
      <c r="A22" s="30" t="inlineStr">
        <is>
          <t>Offshore Patrol Cutter</t>
        </is>
      </c>
      <c r="B22" s="30" t="inlineStr">
        <is>
          <t>USCG</t>
        </is>
      </c>
      <c r="C22" s="31">
        <f>SUMIFS(JB_26BV,JB_B,1,JB_W,"Offshore Patrol Cutter",JB_F,"Full ship DD&amp;C",JB_RC,"ADD")+SUMIFS(JB_26BV,JB_B,1,JB_W,"Offshore Patrol Cutter",JB_F,"Full ship DD&amp;C / LLTM",JB_RC,"ADD")+SUMIFS(JB_26BV,JB_B,1,JB_W,"Offshore Patrol Cutter",JB_F,"Full vessel procurement",JB_RC,"ADD")</f>
        <v/>
      </c>
      <c r="D22" s="31">
        <f>SUMIFS(JB_26BV,JB_B,1,JB_W,"Offshore Patrol Cutter",JB_F,"Advance procurement / LLTM",JB_RC,"ADD")</f>
        <v/>
      </c>
      <c r="E22" s="31">
        <f>SUMIFS(JB_26BV,JB_B,1,JB_W,"Offshore Patrol Cutter",JB_F,"RCOH",JB_RC,"ADD")</f>
        <v/>
      </c>
      <c r="F22" s="31">
        <f>SUMIFS(JB_26BV,JB_B,1,JB_W,"Offshore Patrol Cutter",JB_F,"SLEP",JB_RC,"ADD")</f>
        <v/>
      </c>
      <c r="G22" s="31">
        <f>SUMIFS(JB_26BV,JB_B,1,JB_W,"Offshore Patrol Cutter",JB_RC,"ADD")</f>
        <v/>
      </c>
      <c r="H22" s="37">
        <f>IFERROR(G22/G$26,0)</f>
        <v/>
      </c>
    </row>
    <row r="23" ht="10" customHeight="1">
      <c r="A23" s="30" t="inlineStr">
        <is>
          <t>Fast Response Cutters</t>
        </is>
      </c>
      <c r="B23" s="30" t="inlineStr">
        <is>
          <t>USCG</t>
        </is>
      </c>
      <c r="C23" s="31">
        <f>SUMIFS(JB_26BV,JB_B,1,JB_W,"Fast Response Cutters",JB_F,"Full ship DD&amp;C",JB_RC,"ADD")+SUMIFS(JB_26BV,JB_B,1,JB_W,"Fast Response Cutters",JB_F,"Full ship DD&amp;C / LLTM",JB_RC,"ADD")+SUMIFS(JB_26BV,JB_B,1,JB_W,"Fast Response Cutters",JB_F,"Full vessel procurement",JB_RC,"ADD")</f>
        <v/>
      </c>
      <c r="D23" s="31">
        <f>SUMIFS(JB_26BV,JB_B,1,JB_W,"Fast Response Cutters",JB_F,"Advance procurement / LLTM",JB_RC,"ADD")</f>
        <v/>
      </c>
      <c r="E23" s="31">
        <f>SUMIFS(JB_26BV,JB_B,1,JB_W,"Fast Response Cutters",JB_F,"RCOH",JB_RC,"ADD")</f>
        <v/>
      </c>
      <c r="F23" s="31">
        <f>SUMIFS(JB_26BV,JB_B,1,JB_W,"Fast Response Cutters",JB_F,"SLEP",JB_RC,"ADD")</f>
        <v/>
      </c>
      <c r="G23" s="31">
        <f>SUMIFS(JB_26BV,JB_B,1,JB_W,"Fast Response Cutters",JB_RC,"ADD")</f>
        <v/>
      </c>
      <c r="H23" s="37">
        <f>IFERROR(G23/G$26,0)</f>
        <v/>
      </c>
    </row>
    <row r="24" ht="10" customHeight="1">
      <c r="A24" s="30" t="inlineStr">
        <is>
          <t>Icebreakers, Oceangoing</t>
        </is>
      </c>
      <c r="B24" s="30" t="inlineStr">
        <is>
          <t>USCG</t>
        </is>
      </c>
      <c r="C24" s="31">
        <f>SUMIFS(JB_26BV,JB_B,1,JB_W,"Icebreakers, Oceangoing",JB_F,"Full ship DD&amp;C",JB_RC,"ADD")+SUMIFS(JB_26BV,JB_B,1,JB_W,"Icebreakers, Oceangoing",JB_F,"Full ship DD&amp;C / LLTM",JB_RC,"ADD")+SUMIFS(JB_26BV,JB_B,1,JB_W,"Icebreakers, Oceangoing",JB_F,"Full vessel procurement",JB_RC,"ADD")</f>
        <v/>
      </c>
      <c r="D24" s="31">
        <f>SUMIFS(JB_26BV,JB_B,1,JB_W,"Icebreakers, Oceangoing",JB_F,"Advance procurement / LLTM",JB_RC,"ADD")</f>
        <v/>
      </c>
      <c r="E24" s="31">
        <f>SUMIFS(JB_26BV,JB_B,1,JB_W,"Icebreakers, Oceangoing",JB_F,"RCOH",JB_RC,"ADD")</f>
        <v/>
      </c>
      <c r="F24" s="31">
        <f>SUMIFS(JB_26BV,JB_B,1,JB_W,"Icebreakers, Oceangoing",JB_F,"SLEP",JB_RC,"ADD")</f>
        <v/>
      </c>
      <c r="G24" s="31">
        <f>SUMIFS(JB_26BV,JB_B,1,JB_W,"Icebreakers, Oceangoing",JB_RC,"ADD")</f>
        <v/>
      </c>
      <c r="H24" s="37">
        <f>IFERROR(G24/G$26,0)</f>
        <v/>
      </c>
    </row>
    <row r="25" ht="10" customHeight="1">
      <c r="A25" s="30" t="inlineStr">
        <is>
          <t>Waterways Commerce Cutters</t>
        </is>
      </c>
      <c r="B25" s="30" t="inlineStr">
        <is>
          <t>USCG</t>
        </is>
      </c>
      <c r="C25" s="31">
        <f>SUMIFS(JB_26BV,JB_B,1,JB_W,"Waterways Commerce Cutters",JB_F,"Full ship DD&amp;C",JB_RC,"ADD")+SUMIFS(JB_26BV,JB_B,1,JB_W,"Waterways Commerce Cutters",JB_F,"Full ship DD&amp;C / LLTM",JB_RC,"ADD")+SUMIFS(JB_26BV,JB_B,1,JB_W,"Waterways Commerce Cutters",JB_F,"Full vessel procurement",JB_RC,"ADD")</f>
        <v/>
      </c>
      <c r="D25" s="31">
        <f>SUMIFS(JB_26BV,JB_B,1,JB_W,"Waterways Commerce Cutters",JB_F,"Advance procurement / LLTM",JB_RC,"ADD")</f>
        <v/>
      </c>
      <c r="E25" s="31">
        <f>SUMIFS(JB_26BV,JB_B,1,JB_W,"Waterways Commerce Cutters",JB_F,"RCOH",JB_RC,"ADD")</f>
        <v/>
      </c>
      <c r="F25" s="31">
        <f>SUMIFS(JB_26BV,JB_B,1,JB_W,"Waterways Commerce Cutters",JB_F,"SLEP",JB_RC,"ADD")</f>
        <v/>
      </c>
      <c r="G25" s="31">
        <f>SUMIFS(JB_26BV,JB_B,1,JB_W,"Waterways Commerce Cutters",JB_RC,"ADD")</f>
        <v/>
      </c>
      <c r="H25" s="37">
        <f>IFERROR(G25/G$26,0)</f>
        <v/>
      </c>
    </row>
    <row r="26" ht="10" customHeight="1">
      <c r="A26" s="32" t="inlineStr">
        <is>
          <t>Newbuild SAM (all programs)</t>
        </is>
      </c>
      <c r="B26" s="32" t="inlineStr"/>
      <c r="C26" s="33">
        <f>SUM(C14:C25)</f>
        <v/>
      </c>
      <c r="D26" s="33">
        <f>SUM(D14:D25)</f>
        <v/>
      </c>
      <c r="E26" s="33">
        <f>SUM(E14:E25)</f>
        <v/>
      </c>
      <c r="F26" s="33">
        <f>SUM(F14:F25)</f>
        <v/>
      </c>
      <c r="G26" s="33">
        <f>SUM(G14:G25)</f>
        <v/>
      </c>
      <c r="H26" s="38" t="n">
        <v>1</v>
      </c>
    </row>
    <row r="27" ht="10" customHeight="1"/>
    <row r="28" ht="10" customHeight="1"/>
    <row r="29" ht="10" customHeight="1">
      <c r="A29" s="27" t="inlineStr">
        <is>
          <t>(C) Newbuild SAM (all programs) by Hull Program — FY2026 ($K)</t>
        </is>
      </c>
      <c r="B29" s="28" t="n"/>
      <c r="C29" s="28" t="n"/>
      <c r="D29" s="28" t="n"/>
      <c r="E29" s="28" t="n"/>
      <c r="F29" s="28" t="n"/>
      <c r="G29" s="28" t="n"/>
      <c r="H29" s="28" t="n"/>
      <c r="I29" s="28" t="n"/>
    </row>
    <row r="30" ht="10" customHeight="1">
      <c r="A30" s="26" t="inlineStr">
        <is>
          <t>Same funding as (B) broken down to individual hull programs — the level at which budget line items are traceable.</t>
        </is>
      </c>
    </row>
    <row r="31" ht="10" customHeight="1">
      <c r="A31" s="29" t="inlineStr">
        <is>
          <t>Hull Program</t>
        </is>
      </c>
      <c r="B31" s="29" t="inlineStr">
        <is>
          <t>Vessel Type</t>
        </is>
      </c>
      <c r="C31" s="29" t="inlineStr">
        <is>
          <t>Service</t>
        </is>
      </c>
      <c r="D31" s="29" t="inlineStr">
        <is>
          <t>DD&amp;C</t>
        </is>
      </c>
      <c r="E31" s="29" t="inlineStr">
        <is>
          <t>AP/LLTM</t>
        </is>
      </c>
      <c r="F31" s="29" t="inlineStr">
        <is>
          <t>RCOH</t>
        </is>
      </c>
      <c r="G31" s="29" t="inlineStr">
        <is>
          <t>SLEP</t>
        </is>
      </c>
      <c r="H31" s="29" t="inlineStr">
        <is>
          <t>Total</t>
        </is>
      </c>
      <c r="I31" s="29" t="inlineStr">
        <is>
          <t>% of Total</t>
        </is>
      </c>
    </row>
    <row r="32" ht="10" customHeight="1">
      <c r="A32" s="30" t="inlineStr">
        <is>
          <t>DDG</t>
        </is>
      </c>
      <c r="B32" s="30" t="inlineStr">
        <is>
          <t>Surface Combatants</t>
        </is>
      </c>
      <c r="C32" s="30" t="inlineStr">
        <is>
          <t>USN</t>
        </is>
      </c>
      <c r="D32" s="31">
        <f>SUMIFS(JB_26BV,JB_B,1,JB_H,"DDG",JB_F,"Full ship DD&amp;C",JB_RC,"ADD")+SUMIFS(JB_26BV,JB_B,1,JB_H,"DDG",JB_F,"Full ship DD&amp;C / LLTM",JB_RC,"ADD")+SUMIFS(JB_26BV,JB_B,1,JB_H,"DDG",JB_F,"Full vessel procurement",JB_RC,"ADD")</f>
        <v/>
      </c>
      <c r="E32" s="31">
        <f>SUMIFS(JB_26BV,JB_B,1,JB_H,"DDG",JB_F,"Advance procurement / LLTM",JB_RC,"ADD")</f>
        <v/>
      </c>
      <c r="F32" s="31">
        <f>SUMIFS(JB_26BV,JB_B,1,JB_H,"DDG",JB_F,"RCOH",JB_RC,"ADD")</f>
        <v/>
      </c>
      <c r="G32" s="31">
        <f>SUMIFS(JB_26BV,JB_B,1,JB_H,"DDG",JB_F,"SLEP",JB_RC,"ADD")</f>
        <v/>
      </c>
      <c r="H32" s="31">
        <f>SUMIFS(JB_26BV,JB_B,1,JB_H,"DDG",JB_RC,"ADD")</f>
        <v/>
      </c>
      <c r="I32" s="37">
        <f>IFERROR(H32/H$46,0)</f>
        <v/>
      </c>
    </row>
    <row r="33" ht="10" customHeight="1">
      <c r="A33" s="30" t="inlineStr">
        <is>
          <t>LSM</t>
        </is>
      </c>
      <c r="B33" s="30" t="inlineStr">
        <is>
          <t>Expeditionary &amp; Seabasing Ships</t>
        </is>
      </c>
      <c r="C33" s="30" t="inlineStr">
        <is>
          <t>USN</t>
        </is>
      </c>
      <c r="D33" s="31">
        <f>SUMIFS(JB_26BV,JB_B,1,JB_H,"LSM",JB_F,"Full ship DD&amp;C",JB_RC,"ADD")+SUMIFS(JB_26BV,JB_B,1,JB_H,"LSM",JB_F,"Full ship DD&amp;C / LLTM",JB_RC,"ADD")+SUMIFS(JB_26BV,JB_B,1,JB_H,"LSM",JB_F,"Full vessel procurement",JB_RC,"ADD")</f>
        <v/>
      </c>
      <c r="E33" s="31">
        <f>SUMIFS(JB_26BV,JB_B,1,JB_H,"LSM",JB_F,"Advance procurement / LLTM",JB_RC,"ADD")</f>
        <v/>
      </c>
      <c r="F33" s="31">
        <f>SUMIFS(JB_26BV,JB_B,1,JB_H,"LSM",JB_F,"RCOH",JB_RC,"ADD")</f>
        <v/>
      </c>
      <c r="G33" s="31">
        <f>SUMIFS(JB_26BV,JB_B,1,JB_H,"LSM",JB_F,"SLEP",JB_RC,"ADD")</f>
        <v/>
      </c>
      <c r="H33" s="31">
        <f>SUMIFS(JB_26BV,JB_B,1,JB_H,"LSM",JB_RC,"ADD")</f>
        <v/>
      </c>
      <c r="I33" s="37">
        <f>IFERROR(H33/H$46,0)</f>
        <v/>
      </c>
    </row>
    <row r="34" ht="10" customHeight="1">
      <c r="A34" s="30" t="inlineStr">
        <is>
          <t>T-AO</t>
        </is>
      </c>
      <c r="B34" s="30" t="inlineStr">
        <is>
          <t>Combat Logistics Ships</t>
        </is>
      </c>
      <c r="C34" s="30" t="inlineStr">
        <is>
          <t>MSC</t>
        </is>
      </c>
      <c r="D34" s="31">
        <f>SUMIFS(JB_26BV,JB_B,1,JB_H,"T-AO",JB_F,"Full ship DD&amp;C",JB_RC,"ADD")+SUMIFS(JB_26BV,JB_B,1,JB_H,"T-AO",JB_F,"Full ship DD&amp;C / LLTM",JB_RC,"ADD")+SUMIFS(JB_26BV,JB_B,1,JB_H,"T-AO",JB_F,"Full vessel procurement",JB_RC,"ADD")</f>
        <v/>
      </c>
      <c r="E34" s="31">
        <f>SUMIFS(JB_26BV,JB_B,1,JB_H,"T-AO",JB_F,"Advance procurement / LLTM",JB_RC,"ADD")</f>
        <v/>
      </c>
      <c r="F34" s="31">
        <f>SUMIFS(JB_26BV,JB_B,1,JB_H,"T-AO",JB_F,"RCOH",JB_RC,"ADD")</f>
        <v/>
      </c>
      <c r="G34" s="31">
        <f>SUMIFS(JB_26BV,JB_B,1,JB_H,"T-AO",JB_F,"SLEP",JB_RC,"ADD")</f>
        <v/>
      </c>
      <c r="H34" s="31">
        <f>SUMIFS(JB_26BV,JB_B,1,JB_H,"T-AO",JB_RC,"ADD")</f>
        <v/>
      </c>
      <c r="I34" s="37">
        <f>IFERROR(H34/H$46,0)</f>
        <v/>
      </c>
    </row>
    <row r="35" ht="10" customHeight="1">
      <c r="A35" s="30" t="inlineStr">
        <is>
          <t>MUSV</t>
        </is>
      </c>
      <c r="B35" s="30" t="inlineStr">
        <is>
          <t>Unmanned Surface Vehicles</t>
        </is>
      </c>
      <c r="C35" s="30" t="inlineStr">
        <is>
          <t>USN</t>
        </is>
      </c>
      <c r="D35" s="31">
        <f>SUMIFS(JB_26BV,JB_B,1,JB_H,"MUSV",JB_F,"Full ship DD&amp;C",JB_RC,"ADD")+SUMIFS(JB_26BV,JB_B,1,JB_H,"MUSV",JB_F,"Full ship DD&amp;C / LLTM",JB_RC,"ADD")+SUMIFS(JB_26BV,JB_B,1,JB_H,"MUSV",JB_F,"Full vessel procurement",JB_RC,"ADD")</f>
        <v/>
      </c>
      <c r="E35" s="31">
        <f>SUMIFS(JB_26BV,JB_B,1,JB_H,"MUSV",JB_F,"Advance procurement / LLTM",JB_RC,"ADD")</f>
        <v/>
      </c>
      <c r="F35" s="31">
        <f>SUMIFS(JB_26BV,JB_B,1,JB_H,"MUSV",JB_F,"RCOH",JB_RC,"ADD")</f>
        <v/>
      </c>
      <c r="G35" s="31">
        <f>SUMIFS(JB_26BV,JB_B,1,JB_H,"MUSV",JB_F,"SLEP",JB_RC,"ADD")</f>
        <v/>
      </c>
      <c r="H35" s="31">
        <f>SUMIFS(JB_26BV,JB_B,1,JB_H,"MUSV",JB_RC,"ADD")</f>
        <v/>
      </c>
      <c r="I35" s="37">
        <f>IFERROR(H35/H$46,0)</f>
        <v/>
      </c>
    </row>
    <row r="36" ht="10" customHeight="1">
      <c r="A36" s="30" t="inlineStr">
        <is>
          <t>LPD</t>
        </is>
      </c>
      <c r="B36" s="30" t="inlineStr">
        <is>
          <t>Amphibious Warfare Ships</t>
        </is>
      </c>
      <c r="C36" s="30" t="inlineStr">
        <is>
          <t>USN</t>
        </is>
      </c>
      <c r="D36" s="31">
        <f>SUMIFS(JB_26BV,JB_B,1,JB_H,"LPD",JB_F,"Full ship DD&amp;C",JB_RC,"ADD")+SUMIFS(JB_26BV,JB_B,1,JB_H,"LPD",JB_F,"Full ship DD&amp;C / LLTM",JB_RC,"ADD")+SUMIFS(JB_26BV,JB_B,1,JB_H,"LPD",JB_F,"Full vessel procurement",JB_RC,"ADD")</f>
        <v/>
      </c>
      <c r="E36" s="31">
        <f>SUMIFS(JB_26BV,JB_B,1,JB_H,"LPD",JB_F,"Advance procurement / LLTM",JB_RC,"ADD")</f>
        <v/>
      </c>
      <c r="F36" s="31">
        <f>SUMIFS(JB_26BV,JB_B,1,JB_H,"LPD",JB_F,"RCOH",JB_RC,"ADD")</f>
        <v/>
      </c>
      <c r="G36" s="31">
        <f>SUMIFS(JB_26BV,JB_B,1,JB_H,"LPD",JB_F,"SLEP",JB_RC,"ADD")</f>
        <v/>
      </c>
      <c r="H36" s="31">
        <f>SUMIFS(JB_26BV,JB_B,1,JB_H,"LPD",JB_RC,"ADD")</f>
        <v/>
      </c>
      <c r="I36" s="37">
        <f>IFERROR(H36/H$46,0)</f>
        <v/>
      </c>
    </row>
    <row r="37" ht="10" customHeight="1">
      <c r="A37" s="30" t="inlineStr">
        <is>
          <t>T-AKR</t>
        </is>
      </c>
      <c r="B37" s="30" t="inlineStr">
        <is>
          <t>Cargo &amp; Vehicle Cargo Ships</t>
        </is>
      </c>
      <c r="C37" s="30" t="inlineStr">
        <is>
          <t>MSC</t>
        </is>
      </c>
      <c r="D37" s="31">
        <f>SUMIFS(JB_26BV,JB_B,1,JB_H,"T-AKR",JB_F,"Full ship DD&amp;C",JB_RC,"ADD")+SUMIFS(JB_26BV,JB_B,1,JB_H,"T-AKR",JB_F,"Full ship DD&amp;C / LLTM",JB_RC,"ADD")+SUMIFS(JB_26BV,JB_B,1,JB_H,"T-AKR",JB_F,"Full vessel procurement",JB_RC,"ADD")</f>
        <v/>
      </c>
      <c r="E37" s="31">
        <f>SUMIFS(JB_26BV,JB_B,1,JB_H,"T-AKR",JB_F,"Advance procurement / LLTM",JB_RC,"ADD")</f>
        <v/>
      </c>
      <c r="F37" s="31">
        <f>SUMIFS(JB_26BV,JB_B,1,JB_H,"T-AKR",JB_F,"RCOH",JB_RC,"ADD")</f>
        <v/>
      </c>
      <c r="G37" s="31">
        <f>SUMIFS(JB_26BV,JB_B,1,JB_H,"T-AKR",JB_F,"SLEP",JB_RC,"ADD")</f>
        <v/>
      </c>
      <c r="H37" s="31">
        <f>SUMIFS(JB_26BV,JB_B,1,JB_H,"T-AKR",JB_RC,"ADD")</f>
        <v/>
      </c>
      <c r="I37" s="37">
        <f>IFERROR(H37/H$46,0)</f>
        <v/>
      </c>
    </row>
    <row r="38" ht="10" customHeight="1">
      <c r="A38" s="30" t="inlineStr">
        <is>
          <t>LHA</t>
        </is>
      </c>
      <c r="B38" s="30" t="inlineStr">
        <is>
          <t>Amphibious Warfare Ships</t>
        </is>
      </c>
      <c r="C38" s="30" t="inlineStr">
        <is>
          <t>USN</t>
        </is>
      </c>
      <c r="D38" s="31">
        <f>SUMIFS(JB_26BV,JB_B,1,JB_H,"LHA",JB_F,"Full ship DD&amp;C",JB_RC,"ADD")+SUMIFS(JB_26BV,JB_B,1,JB_H,"LHA",JB_F,"Full ship DD&amp;C / LLTM",JB_RC,"ADD")+SUMIFS(JB_26BV,JB_B,1,JB_H,"LHA",JB_F,"Full vessel procurement",JB_RC,"ADD")</f>
        <v/>
      </c>
      <c r="E38" s="31">
        <f>SUMIFS(JB_26BV,JB_B,1,JB_H,"LHA",JB_F,"Advance procurement / LLTM",JB_RC,"ADD")</f>
        <v/>
      </c>
      <c r="F38" s="31">
        <f>SUMIFS(JB_26BV,JB_B,1,JB_H,"LHA",JB_F,"RCOH",JB_RC,"ADD")</f>
        <v/>
      </c>
      <c r="G38" s="31">
        <f>SUMIFS(JB_26BV,JB_B,1,JB_H,"LHA",JB_F,"SLEP",JB_RC,"ADD")</f>
        <v/>
      </c>
      <c r="H38" s="31">
        <f>SUMIFS(JB_26BV,JB_B,1,JB_H,"LHA",JB_RC,"ADD")</f>
        <v/>
      </c>
      <c r="I38" s="37">
        <f>IFERROR(H38/H$46,0)</f>
        <v/>
      </c>
    </row>
    <row r="39" ht="10" customHeight="1">
      <c r="A39" s="30" t="inlineStr">
        <is>
          <t>T-AGOS</t>
        </is>
      </c>
      <c r="B39" s="30" t="inlineStr">
        <is>
          <t>Surveillance Ships</t>
        </is>
      </c>
      <c r="C39" s="30" t="inlineStr">
        <is>
          <t>MSC</t>
        </is>
      </c>
      <c r="D39" s="31">
        <f>SUMIFS(JB_26BV,JB_B,1,JB_H,"T-AGOS",JB_F,"Full ship DD&amp;C",JB_RC,"ADD")+SUMIFS(JB_26BV,JB_B,1,JB_H,"T-AGOS",JB_F,"Full ship DD&amp;C / LLTM",JB_RC,"ADD")+SUMIFS(JB_26BV,JB_B,1,JB_H,"T-AGOS",JB_F,"Full vessel procurement",JB_RC,"ADD")</f>
        <v/>
      </c>
      <c r="E39" s="31">
        <f>SUMIFS(JB_26BV,JB_B,1,JB_H,"T-AGOS",JB_F,"Advance procurement / LLTM",JB_RC,"ADD")</f>
        <v/>
      </c>
      <c r="F39" s="31">
        <f>SUMIFS(JB_26BV,JB_B,1,JB_H,"T-AGOS",JB_F,"RCOH",JB_RC,"ADD")</f>
        <v/>
      </c>
      <c r="G39" s="31">
        <f>SUMIFS(JB_26BV,JB_B,1,JB_H,"T-AGOS",JB_F,"SLEP",JB_RC,"ADD")</f>
        <v/>
      </c>
      <c r="H39" s="31">
        <f>SUMIFS(JB_26BV,JB_B,1,JB_H,"T-AGOS",JB_RC,"ADD")</f>
        <v/>
      </c>
      <c r="I39" s="37">
        <f>IFERROR(H39/H$46,0)</f>
        <v/>
      </c>
    </row>
    <row r="40" ht="10" customHeight="1">
      <c r="A40" s="30" t="inlineStr">
        <is>
          <t>FFG</t>
        </is>
      </c>
      <c r="B40" s="30" t="inlineStr">
        <is>
          <t>Surface Combatants</t>
        </is>
      </c>
      <c r="C40" s="30" t="inlineStr">
        <is>
          <t>USN</t>
        </is>
      </c>
      <c r="D40" s="31">
        <f>SUMIFS(JB_26BV,JB_B,1,JB_H,"FFG",JB_F,"Full ship DD&amp;C",JB_RC,"ADD")+SUMIFS(JB_26BV,JB_B,1,JB_H,"FFG",JB_F,"Full ship DD&amp;C / LLTM",JB_RC,"ADD")+SUMIFS(JB_26BV,JB_B,1,JB_H,"FFG",JB_F,"Full vessel procurement",JB_RC,"ADD")</f>
        <v/>
      </c>
      <c r="E40" s="31">
        <f>SUMIFS(JB_26BV,JB_B,1,JB_H,"FFG",JB_F,"Advance procurement / LLTM",JB_RC,"ADD")</f>
        <v/>
      </c>
      <c r="F40" s="31">
        <f>SUMIFS(JB_26BV,JB_B,1,JB_H,"FFG",JB_F,"RCOH",JB_RC,"ADD")</f>
        <v/>
      </c>
      <c r="G40" s="31">
        <f>SUMIFS(JB_26BV,JB_B,1,JB_H,"FFG",JB_F,"SLEP",JB_RC,"ADD")</f>
        <v/>
      </c>
      <c r="H40" s="31">
        <f>SUMIFS(JB_26BV,JB_B,1,JB_H,"FFG",JB_RC,"ADD")</f>
        <v/>
      </c>
      <c r="I40" s="37">
        <f>IFERROR(H40/H$46,0)</f>
        <v/>
      </c>
    </row>
    <row r="41" ht="10" customHeight="1">
      <c r="A41" s="30" t="inlineStr">
        <is>
          <t>T-ATS</t>
        </is>
      </c>
      <c r="B41" s="30" t="inlineStr">
        <is>
          <t>Salvage Ships &amp; Fleet Ocean Tugs</t>
        </is>
      </c>
      <c r="C41" s="30" t="inlineStr">
        <is>
          <t>MSC</t>
        </is>
      </c>
      <c r="D41" s="31">
        <f>SUMIFS(JB_26BV,JB_B,1,JB_H,"T-ATS",JB_F,"Full ship DD&amp;C",JB_RC,"ADD")+SUMIFS(JB_26BV,JB_B,1,JB_H,"T-ATS",JB_F,"Full ship DD&amp;C / LLTM",JB_RC,"ADD")+SUMIFS(JB_26BV,JB_B,1,JB_H,"T-ATS",JB_F,"Full vessel procurement",JB_RC,"ADD")</f>
        <v/>
      </c>
      <c r="E41" s="31">
        <f>SUMIFS(JB_26BV,JB_B,1,JB_H,"T-ATS",JB_F,"Advance procurement / LLTM",JB_RC,"ADD")</f>
        <v/>
      </c>
      <c r="F41" s="31">
        <f>SUMIFS(JB_26BV,JB_B,1,JB_H,"T-ATS",JB_F,"RCOH",JB_RC,"ADD")</f>
        <v/>
      </c>
      <c r="G41" s="31">
        <f>SUMIFS(JB_26BV,JB_B,1,JB_H,"T-ATS",JB_F,"SLEP",JB_RC,"ADD")</f>
        <v/>
      </c>
      <c r="H41" s="31">
        <f>SUMIFS(JB_26BV,JB_B,1,JB_H,"T-ATS",JB_RC,"ADD")</f>
        <v/>
      </c>
      <c r="I41" s="37">
        <f>IFERROR(H41/H$46,0)</f>
        <v/>
      </c>
    </row>
    <row r="42" ht="10" customHeight="1">
      <c r="A42" s="30" t="inlineStr">
        <is>
          <t>WMSM</t>
        </is>
      </c>
      <c r="B42" s="30" t="inlineStr">
        <is>
          <t>Offshore Patrol Cutter</t>
        </is>
      </c>
      <c r="C42" s="30" t="inlineStr">
        <is>
          <t>USCG</t>
        </is>
      </c>
      <c r="D42" s="31">
        <f>SUMIFS(JB_26BV,JB_B,1,JB_H,"WMSM",JB_F,"Full ship DD&amp;C",JB_RC,"ADD")+SUMIFS(JB_26BV,JB_B,1,JB_H,"WMSM",JB_F,"Full ship DD&amp;C / LLTM",JB_RC,"ADD")+SUMIFS(JB_26BV,JB_B,1,JB_H,"WMSM",JB_F,"Full vessel procurement",JB_RC,"ADD")</f>
        <v/>
      </c>
      <c r="E42" s="31">
        <f>SUMIFS(JB_26BV,JB_B,1,JB_H,"WMSM",JB_F,"Advance procurement / LLTM",JB_RC,"ADD")</f>
        <v/>
      </c>
      <c r="F42" s="31">
        <f>SUMIFS(JB_26BV,JB_B,1,JB_H,"WMSM",JB_F,"RCOH",JB_RC,"ADD")</f>
        <v/>
      </c>
      <c r="G42" s="31">
        <f>SUMIFS(JB_26BV,JB_B,1,JB_H,"WMSM",JB_F,"SLEP",JB_RC,"ADD")</f>
        <v/>
      </c>
      <c r="H42" s="31">
        <f>SUMIFS(JB_26BV,JB_B,1,JB_H,"WMSM",JB_RC,"ADD")</f>
        <v/>
      </c>
      <c r="I42" s="37">
        <f>IFERROR(H42/H$46,0)</f>
        <v/>
      </c>
    </row>
    <row r="43" ht="10" customHeight="1">
      <c r="A43" s="30" t="inlineStr">
        <is>
          <t>WPC</t>
        </is>
      </c>
      <c r="B43" s="30" t="inlineStr">
        <is>
          <t>Fast Response Cutters</t>
        </is>
      </c>
      <c r="C43" s="30" t="inlineStr">
        <is>
          <t>USCG</t>
        </is>
      </c>
      <c r="D43" s="31">
        <f>SUMIFS(JB_26BV,JB_B,1,JB_H,"WPC",JB_F,"Full ship DD&amp;C",JB_RC,"ADD")+SUMIFS(JB_26BV,JB_B,1,JB_H,"WPC",JB_F,"Full ship DD&amp;C / LLTM",JB_RC,"ADD")+SUMIFS(JB_26BV,JB_B,1,JB_H,"WPC",JB_F,"Full vessel procurement",JB_RC,"ADD")</f>
        <v/>
      </c>
      <c r="E43" s="31">
        <f>SUMIFS(JB_26BV,JB_B,1,JB_H,"WPC",JB_F,"Advance procurement / LLTM",JB_RC,"ADD")</f>
        <v/>
      </c>
      <c r="F43" s="31">
        <f>SUMIFS(JB_26BV,JB_B,1,JB_H,"WPC",JB_F,"RCOH",JB_RC,"ADD")</f>
        <v/>
      </c>
      <c r="G43" s="31">
        <f>SUMIFS(JB_26BV,JB_B,1,JB_H,"WPC",JB_F,"SLEP",JB_RC,"ADD")</f>
        <v/>
      </c>
      <c r="H43" s="31">
        <f>SUMIFS(JB_26BV,JB_B,1,JB_H,"WPC",JB_RC,"ADD")</f>
        <v/>
      </c>
      <c r="I43" s="37">
        <f>IFERROR(H43/H$46,0)</f>
        <v/>
      </c>
    </row>
    <row r="44" ht="10" customHeight="1">
      <c r="A44" s="30" t="inlineStr">
        <is>
          <t>WAGB</t>
        </is>
      </c>
      <c r="B44" s="30" t="inlineStr">
        <is>
          <t>Icebreakers, Oceangoing</t>
        </is>
      </c>
      <c r="C44" s="30" t="inlineStr">
        <is>
          <t>USCG</t>
        </is>
      </c>
      <c r="D44" s="31">
        <f>SUMIFS(JB_26BV,JB_B,1,JB_H,"WAGB",JB_F,"Full ship DD&amp;C",JB_RC,"ADD")+SUMIFS(JB_26BV,JB_B,1,JB_H,"WAGB",JB_F,"Full ship DD&amp;C / LLTM",JB_RC,"ADD")+SUMIFS(JB_26BV,JB_B,1,JB_H,"WAGB",JB_F,"Full vessel procurement",JB_RC,"ADD")</f>
        <v/>
      </c>
      <c r="E44" s="31">
        <f>SUMIFS(JB_26BV,JB_B,1,JB_H,"WAGB",JB_F,"Advance procurement / LLTM",JB_RC,"ADD")</f>
        <v/>
      </c>
      <c r="F44" s="31">
        <f>SUMIFS(JB_26BV,JB_B,1,JB_H,"WAGB",JB_F,"RCOH",JB_RC,"ADD")</f>
        <v/>
      </c>
      <c r="G44" s="31">
        <f>SUMIFS(JB_26BV,JB_B,1,JB_H,"WAGB",JB_F,"SLEP",JB_RC,"ADD")</f>
        <v/>
      </c>
      <c r="H44" s="31">
        <f>SUMIFS(JB_26BV,JB_B,1,JB_H,"WAGB",JB_RC,"ADD")</f>
        <v/>
      </c>
      <c r="I44" s="37">
        <f>IFERROR(H44/H$46,0)</f>
        <v/>
      </c>
    </row>
    <row r="45" ht="10" customHeight="1">
      <c r="A45" s="30" t="inlineStr">
        <is>
          <t>WCC</t>
        </is>
      </c>
      <c r="B45" s="30" t="inlineStr">
        <is>
          <t>Waterways Commerce Cutters</t>
        </is>
      </c>
      <c r="C45" s="30" t="inlineStr">
        <is>
          <t>USCG</t>
        </is>
      </c>
      <c r="D45" s="31">
        <f>SUMIFS(JB_26BV,JB_B,1,JB_H,"WCC",JB_F,"Full ship DD&amp;C",JB_RC,"ADD")+SUMIFS(JB_26BV,JB_B,1,JB_H,"WCC",JB_F,"Full ship DD&amp;C / LLTM",JB_RC,"ADD")+SUMIFS(JB_26BV,JB_B,1,JB_H,"WCC",JB_F,"Full vessel procurement",JB_RC,"ADD")</f>
        <v/>
      </c>
      <c r="E45" s="31">
        <f>SUMIFS(JB_26BV,JB_B,1,JB_H,"WCC",JB_F,"Advance procurement / LLTM",JB_RC,"ADD")</f>
        <v/>
      </c>
      <c r="F45" s="31">
        <f>SUMIFS(JB_26BV,JB_B,1,JB_H,"WCC",JB_F,"RCOH",JB_RC,"ADD")</f>
        <v/>
      </c>
      <c r="G45" s="31">
        <f>SUMIFS(JB_26BV,JB_B,1,JB_H,"WCC",JB_F,"SLEP",JB_RC,"ADD")</f>
        <v/>
      </c>
      <c r="H45" s="31">
        <f>SUMIFS(JB_26BV,JB_B,1,JB_H,"WCC",JB_RC,"ADD")</f>
        <v/>
      </c>
      <c r="I45" s="37">
        <f>IFERROR(H45/H$46,0)</f>
        <v/>
      </c>
    </row>
    <row r="46" ht="10" customHeight="1">
      <c r="A46" s="32" t="inlineStr">
        <is>
          <t>Newbuild SAM (all programs)</t>
        </is>
      </c>
      <c r="B46" s="32" t="inlineStr"/>
      <c r="C46" s="32" t="inlineStr"/>
      <c r="D46" s="33">
        <f>SUM(D32:D45)</f>
        <v/>
      </c>
      <c r="E46" s="33">
        <f>SUM(E32:E45)</f>
        <v/>
      </c>
      <c r="F46" s="33">
        <f>SUM(F32:F45)</f>
        <v/>
      </c>
      <c r="G46" s="33">
        <f>SUM(G32:G45)</f>
        <v/>
      </c>
      <c r="H46" s="33">
        <f>SUM(H32:H45)</f>
        <v/>
      </c>
      <c r="I46" s="38" t="n">
        <v>1</v>
      </c>
    </row>
    <row r="47" ht="10" customHeight="1"/>
    <row r="48" ht="10" customHeight="1"/>
    <row r="49" ht="10" customHeight="1">
      <c r="A49" s="27" t="inlineStr">
        <is>
          <t>(C→D) Bridge: All Programs → Cost-Element Coverage</t>
        </is>
      </c>
      <c r="B49" s="28" t="n"/>
    </row>
    <row r="50" ht="10" customHeight="1">
      <c r="A50" s="30" t="inlineStr">
        <is>
          <t>Newbuild SAM (all programs)</t>
        </is>
      </c>
      <c r="B50" s="31">
        <f>H46</f>
        <v/>
      </c>
    </row>
    <row r="51" ht="10" customHeight="1">
      <c r="A51" s="30" t="inlineStr">
        <is>
          <t xml:space="preserve">  Less: WMSM (Offshore Patrol Cutter, USCG — no P-5c)</t>
        </is>
      </c>
      <c r="B51" s="31">
        <f>-SUMIFS(JB_26BV,JB_B,1,JB_H,"WMSM",JB_RC,"ADD")</f>
        <v/>
      </c>
    </row>
    <row r="52" ht="10" customHeight="1">
      <c r="A52" s="30" t="inlineStr">
        <is>
          <t xml:space="preserve">  Less: WPC (Fast Response Cutters, USCG — no P-5c)</t>
        </is>
      </c>
      <c r="B52" s="31">
        <f>-SUMIFS(JB_26BV,JB_B,1,JB_H,"WPC",JB_RC,"ADD")</f>
        <v/>
      </c>
    </row>
    <row r="53" ht="10" customHeight="1">
      <c r="A53" s="30" t="inlineStr">
        <is>
          <t xml:space="preserve">  Less: WAGB (Icebreakers, Oceangoing, USCG — no P-5c)</t>
        </is>
      </c>
      <c r="B53" s="31">
        <f>-SUMIFS(JB_26BV,JB_B,1,JB_H,"WAGB",JB_RC,"ADD")</f>
        <v/>
      </c>
    </row>
    <row r="54" ht="10" customHeight="1">
      <c r="A54" s="30" t="inlineStr">
        <is>
          <t xml:space="preserve">  Less: WCC (Waterways Commerce Cutters, USCG — no P-5c)</t>
        </is>
      </c>
      <c r="B54" s="31">
        <f>-SUMIFS(JB_26BV,JB_B,1,JB_H,"WCC",JB_RC,"ADD")</f>
        <v/>
      </c>
    </row>
    <row r="55" ht="10" customHeight="1">
      <c r="A55" s="30" t="inlineStr">
        <is>
          <t xml:space="preserve">  Less: LSM (Expeditionary &amp; Seabasing Ships — no P-5c)</t>
        </is>
      </c>
      <c r="B55" s="31">
        <f>-SUMIFS(JB_26BV,JB_B,1,JB_H,"LSM",JB_RC,"ADD")</f>
        <v/>
      </c>
    </row>
    <row r="56" ht="10" customHeight="1">
      <c r="A56" s="30" t="inlineStr">
        <is>
          <t xml:space="preserve">  Less: MUSV (Unmanned Surface Vehicles — no P-5c)</t>
        </is>
      </c>
      <c r="B56" s="31">
        <f>-SUMIFS(JB_26BV,JB_B,1,JB_H,"MUSV",JB_RC,"ADD")</f>
        <v/>
      </c>
    </row>
    <row r="57" ht="10" customHeight="1">
      <c r="A57" s="30" t="inlineStr">
        <is>
          <t xml:space="preserve">  Less: T-AKR (Cargo &amp; Vehicle Cargo Ships — no P-5c)</t>
        </is>
      </c>
      <c r="B57" s="31">
        <f>-SUMIFS(JB_26BV,JB_B,1,JB_H,"T-AKR",JB_RC,"ADD")</f>
        <v/>
      </c>
    </row>
    <row r="58" ht="10" customHeight="1">
      <c r="A58" s="32" t="inlineStr">
        <is>
          <t>Newbuild SAM (cost-element coverage)</t>
        </is>
      </c>
      <c r="B58" s="33">
        <f>SUM(B50:B57)</f>
        <v/>
      </c>
    </row>
    <row r="59" ht="10" customHeight="1"/>
    <row r="60" ht="10" customHeight="1"/>
    <row r="61" ht="10" customHeight="1">
      <c r="A61" s="27" t="inlineStr">
        <is>
          <t>(D) P-5c Gross Cost Category Breakdown by Hull — FY2026 ($K)</t>
        </is>
      </c>
      <c r="B61" s="28" t="n"/>
      <c r="C61" s="28" t="n"/>
      <c r="D61" s="28" t="n"/>
      <c r="E61" s="28" t="n"/>
      <c r="F61" s="28" t="n"/>
      <c r="G61" s="28" t="n"/>
      <c r="H61" s="28" t="n"/>
      <c r="I61" s="28" t="n"/>
      <c r="J61" s="28" t="n"/>
    </row>
    <row r="62" ht="10" customHeight="1">
      <c r="A62" s="26" t="inlineStr">
        <is>
          <t>Gross total-ship-estimate costs from Exhibit P-5c. These are pre-AP/SFF and will NOT match SAM net totals.</t>
        </is>
      </c>
    </row>
    <row r="63" ht="10" customHeight="1">
      <c r="A63" s="39" t="n"/>
      <c r="B63" s="40" t="inlineStr">
        <is>
          <t>USN</t>
        </is>
      </c>
      <c r="C63" s="39" t="n"/>
      <c r="D63" s="39" t="n"/>
      <c r="E63" s="39" t="n"/>
      <c r="F63" s="39" t="n"/>
      <c r="G63" s="39" t="n"/>
      <c r="H63" s="39" t="n"/>
      <c r="I63" s="39" t="n"/>
      <c r="J63" s="41" t="n"/>
    </row>
    <row r="64" ht="10" customHeight="1">
      <c r="A64" s="29" t="inlineStr">
        <is>
          <t>Cost Category</t>
        </is>
      </c>
      <c r="B64" s="42" t="inlineStr">
        <is>
          <t>DDG</t>
        </is>
      </c>
      <c r="C64" s="29" t="inlineStr">
        <is>
          <t>FFG</t>
        </is>
      </c>
      <c r="D64" s="29" t="inlineStr">
        <is>
          <t>LPD</t>
        </is>
      </c>
      <c r="E64" s="29" t="inlineStr">
        <is>
          <t>LHA</t>
        </is>
      </c>
      <c r="F64" s="29" t="inlineStr">
        <is>
          <t>T-AGOS</t>
        </is>
      </c>
      <c r="G64" s="29" t="inlineStr">
        <is>
          <t>T-EPF</t>
        </is>
      </c>
      <c r="H64" s="29" t="inlineStr">
        <is>
          <t>T-AO</t>
        </is>
      </c>
      <c r="I64" s="29" t="inlineStr">
        <is>
          <t>T-ATS</t>
        </is>
      </c>
      <c r="J64" s="42" t="inlineStr">
        <is>
          <t>Total</t>
        </is>
      </c>
    </row>
    <row r="65" ht="10" customHeight="1">
      <c r="A65" s="30" t="inlineStr">
        <is>
          <t>Plan Costs</t>
        </is>
      </c>
      <c r="B65" s="45">
        <f>SUMIFS(JB_26BV,JB_B,1,JB_EX,"P-5c",JB_CC,"Plan Costs",JB_H,"DDG",JB_RC,"ALT")</f>
        <v/>
      </c>
      <c r="C65" s="31">
        <f>SUMIFS(JB_26BV,JB_B,1,JB_EX,"P-5c",JB_CC,"Plan Costs",JB_H,"FFG",JB_RC,"ALT")</f>
        <v/>
      </c>
      <c r="D65" s="31">
        <f>SUMIFS(JB_26BV,JB_B,1,JB_EX,"P-5c",JB_CC,"Plan Costs",JB_H,"LPD",JB_RC,"ALT")</f>
        <v/>
      </c>
      <c r="E65" s="31">
        <f>SUMIFS(JB_26BV,JB_B,1,JB_EX,"P-5c",JB_CC,"Plan Costs",JB_H,"LHA",JB_RC,"ALT")</f>
        <v/>
      </c>
      <c r="F65" s="31">
        <f>SUMIFS(JB_26BV,JB_B,1,JB_EX,"P-5c",JB_CC,"Plan Costs",JB_H,"T-AGOS",JB_RC,"ALT")</f>
        <v/>
      </c>
      <c r="G65" s="31">
        <f>SUMIFS(JB_26BV,JB_B,1,JB_EX,"P-5c",JB_CC,"Plan Costs",JB_H,"T-EPF",JB_RC,"ALT")</f>
        <v/>
      </c>
      <c r="H65" s="31">
        <f>SUMIFS(JB_26BV,JB_B,1,JB_EX,"P-5c",JB_CC,"Plan Costs",JB_H,"T-AO",JB_RC,"ALT")</f>
        <v/>
      </c>
      <c r="I65" s="31">
        <f>SUMIFS(JB_26BV,JB_B,1,JB_EX,"P-5c",JB_CC,"Plan Costs",JB_H,"T-ATS",JB_RC,"ALT")</f>
        <v/>
      </c>
      <c r="J65" s="45">
        <f>SUM(B65:I65)</f>
        <v/>
      </c>
    </row>
    <row r="66" ht="10" customHeight="1">
      <c r="A66" s="30" t="inlineStr">
        <is>
          <t>Basic Construction</t>
        </is>
      </c>
      <c r="B66" s="45">
        <f>SUMIFS(JB_26BV,JB_B,1,JB_EX,"P-5c",JB_CC,"Basic Construction",JB_H,"DDG",JB_RC,"ALT")</f>
        <v/>
      </c>
      <c r="C66" s="31">
        <f>SUMIFS(JB_26BV,JB_B,1,JB_EX,"P-5c",JB_CC,"Basic Construction",JB_H,"FFG",JB_RC,"ALT")</f>
        <v/>
      </c>
      <c r="D66" s="31">
        <f>SUMIFS(JB_26BV,JB_B,1,JB_EX,"P-5c",JB_CC,"Basic Construction",JB_H,"LPD",JB_RC,"ALT")</f>
        <v/>
      </c>
      <c r="E66" s="31">
        <f>SUMIFS(JB_26BV,JB_B,1,JB_EX,"P-5c",JB_CC,"Basic Construction",JB_H,"LHA",JB_RC,"ALT")</f>
        <v/>
      </c>
      <c r="F66" s="31">
        <f>SUMIFS(JB_26BV,JB_B,1,JB_EX,"P-5c",JB_CC,"Basic Construction",JB_H,"T-AGOS",JB_RC,"ALT")</f>
        <v/>
      </c>
      <c r="G66" s="31">
        <f>SUMIFS(JB_26BV,JB_B,1,JB_EX,"P-5c",JB_CC,"Basic Construction",JB_H,"T-EPF",JB_RC,"ALT")</f>
        <v/>
      </c>
      <c r="H66" s="31">
        <f>SUMIFS(JB_26BV,JB_B,1,JB_EX,"P-5c",JB_CC,"Basic Construction",JB_H,"T-AO",JB_RC,"ALT")</f>
        <v/>
      </c>
      <c r="I66" s="31">
        <f>SUMIFS(JB_26BV,JB_B,1,JB_EX,"P-5c",JB_CC,"Basic Construction",JB_H,"T-ATS",JB_RC,"ALT")</f>
        <v/>
      </c>
      <c r="J66" s="45">
        <f>SUM(B66:I66)</f>
        <v/>
      </c>
    </row>
    <row r="67" ht="10" customHeight="1">
      <c r="A67" s="30" t="inlineStr">
        <is>
          <t>Change Orders</t>
        </is>
      </c>
      <c r="B67" s="45">
        <f>SUMIFS(JB_26BV,JB_B,1,JB_EX,"P-5c",JB_CC,"Change Orders",JB_H,"DDG",JB_RC,"ALT")</f>
        <v/>
      </c>
      <c r="C67" s="31">
        <f>SUMIFS(JB_26BV,JB_B,1,JB_EX,"P-5c",JB_CC,"Change Orders",JB_H,"FFG",JB_RC,"ALT")</f>
        <v/>
      </c>
      <c r="D67" s="31">
        <f>SUMIFS(JB_26BV,JB_B,1,JB_EX,"P-5c",JB_CC,"Change Orders",JB_H,"LPD",JB_RC,"ALT")</f>
        <v/>
      </c>
      <c r="E67" s="31">
        <f>SUMIFS(JB_26BV,JB_B,1,JB_EX,"P-5c",JB_CC,"Change Orders",JB_H,"LHA",JB_RC,"ALT")</f>
        <v/>
      </c>
      <c r="F67" s="31">
        <f>SUMIFS(JB_26BV,JB_B,1,JB_EX,"P-5c",JB_CC,"Change Orders",JB_H,"T-AGOS",JB_RC,"ALT")</f>
        <v/>
      </c>
      <c r="G67" s="31">
        <f>SUMIFS(JB_26BV,JB_B,1,JB_EX,"P-5c",JB_CC,"Change Orders",JB_H,"T-EPF",JB_RC,"ALT")</f>
        <v/>
      </c>
      <c r="H67" s="31">
        <f>SUMIFS(JB_26BV,JB_B,1,JB_EX,"P-5c",JB_CC,"Change Orders",JB_H,"T-AO",JB_RC,"ALT")</f>
        <v/>
      </c>
      <c r="I67" s="31">
        <f>SUMIFS(JB_26BV,JB_B,1,JB_EX,"P-5c",JB_CC,"Change Orders",JB_H,"T-ATS",JB_RC,"ALT")</f>
        <v/>
      </c>
      <c r="J67" s="45">
        <f>SUM(B67:I67)</f>
        <v/>
      </c>
    </row>
    <row r="68" ht="10" customHeight="1">
      <c r="A68" s="30" t="inlineStr">
        <is>
          <t>Electronics</t>
        </is>
      </c>
      <c r="B68" s="45">
        <f>SUMIFS(JB_26BV,JB_B,1,JB_EX,"P-5c",JB_CC,"Electronics",JB_H,"DDG",JB_RC,"ALT")</f>
        <v/>
      </c>
      <c r="C68" s="31">
        <f>SUMIFS(JB_26BV,JB_B,1,JB_EX,"P-5c",JB_CC,"Electronics",JB_H,"FFG",JB_RC,"ALT")</f>
        <v/>
      </c>
      <c r="D68" s="31">
        <f>SUMIFS(JB_26BV,JB_B,1,JB_EX,"P-5c",JB_CC,"Electronics",JB_H,"LPD",JB_RC,"ALT")</f>
        <v/>
      </c>
      <c r="E68" s="31">
        <f>SUMIFS(JB_26BV,JB_B,1,JB_EX,"P-5c",JB_CC,"Electronics",JB_H,"LHA",JB_RC,"ALT")</f>
        <v/>
      </c>
      <c r="F68" s="31">
        <f>SUMIFS(JB_26BV,JB_B,1,JB_EX,"P-5c",JB_CC,"Electronics",JB_H,"T-AGOS",JB_RC,"ALT")</f>
        <v/>
      </c>
      <c r="G68" s="31">
        <f>SUMIFS(JB_26BV,JB_B,1,JB_EX,"P-5c",JB_CC,"Electronics",JB_H,"T-EPF",JB_RC,"ALT")</f>
        <v/>
      </c>
      <c r="H68" s="31">
        <f>SUMIFS(JB_26BV,JB_B,1,JB_EX,"P-5c",JB_CC,"Electronics",JB_H,"T-AO",JB_RC,"ALT")</f>
        <v/>
      </c>
      <c r="I68" s="31">
        <f>SUMIFS(JB_26BV,JB_B,1,JB_EX,"P-5c",JB_CC,"Electronics",JB_H,"T-ATS",JB_RC,"ALT")</f>
        <v/>
      </c>
      <c r="J68" s="45">
        <f>SUM(B68:I68)</f>
        <v/>
      </c>
    </row>
    <row r="69" ht="10" customHeight="1">
      <c r="A69" s="30" t="inlineStr">
        <is>
          <t>Hull, Mechanical, and Electrical</t>
        </is>
      </c>
      <c r="B69" s="45">
        <f>SUMIFS(JB_26BV,JB_B,1,JB_EX,"P-5c",JB_CC,"Hull, Mechanical, and Electrical",JB_H,"DDG",JB_RC,"ALT")</f>
        <v/>
      </c>
      <c r="C69" s="31">
        <f>SUMIFS(JB_26BV,JB_B,1,JB_EX,"P-5c",JB_CC,"Hull, Mechanical, and Electrical",JB_H,"FFG",JB_RC,"ALT")</f>
        <v/>
      </c>
      <c r="D69" s="31">
        <f>SUMIFS(JB_26BV,JB_B,1,JB_EX,"P-5c",JB_CC,"Hull, Mechanical, and Electrical",JB_H,"LPD",JB_RC,"ALT")</f>
        <v/>
      </c>
      <c r="E69" s="31">
        <f>SUMIFS(JB_26BV,JB_B,1,JB_EX,"P-5c",JB_CC,"Hull, Mechanical, and Electrical",JB_H,"LHA",JB_RC,"ALT")</f>
        <v/>
      </c>
      <c r="F69" s="31">
        <f>SUMIFS(JB_26BV,JB_B,1,JB_EX,"P-5c",JB_CC,"Hull, Mechanical, and Electrical",JB_H,"T-AGOS",JB_RC,"ALT")</f>
        <v/>
      </c>
      <c r="G69" s="31">
        <f>SUMIFS(JB_26BV,JB_B,1,JB_EX,"P-5c",JB_CC,"Hull, Mechanical, and Electrical",JB_H,"T-EPF",JB_RC,"ALT")</f>
        <v/>
      </c>
      <c r="H69" s="31">
        <f>SUMIFS(JB_26BV,JB_B,1,JB_EX,"P-5c",JB_CC,"Hull, Mechanical, and Electrical",JB_H,"T-AO",JB_RC,"ALT")</f>
        <v/>
      </c>
      <c r="I69" s="31">
        <f>SUMIFS(JB_26BV,JB_B,1,JB_EX,"P-5c",JB_CC,"Hull, Mechanical, and Electrical",JB_H,"T-ATS",JB_RC,"ALT")</f>
        <v/>
      </c>
      <c r="J69" s="45">
        <f>SUM(B69:I69)</f>
        <v/>
      </c>
    </row>
    <row r="70" ht="10" customHeight="1">
      <c r="A70" s="30" t="inlineStr">
        <is>
          <t>Ordnance</t>
        </is>
      </c>
      <c r="B70" s="45">
        <f>SUMIFS(JB_26BV,JB_B,1,JB_EX,"P-5c",JB_CC,"Ordnance",JB_H,"DDG",JB_RC,"ALT")</f>
        <v/>
      </c>
      <c r="C70" s="31">
        <f>SUMIFS(JB_26BV,JB_B,1,JB_EX,"P-5c",JB_CC,"Ordnance",JB_H,"FFG",JB_RC,"ALT")</f>
        <v/>
      </c>
      <c r="D70" s="31">
        <f>SUMIFS(JB_26BV,JB_B,1,JB_EX,"P-5c",JB_CC,"Ordnance",JB_H,"LPD",JB_RC,"ALT")</f>
        <v/>
      </c>
      <c r="E70" s="31">
        <f>SUMIFS(JB_26BV,JB_B,1,JB_EX,"P-5c",JB_CC,"Ordnance",JB_H,"LHA",JB_RC,"ALT")</f>
        <v/>
      </c>
      <c r="F70" s="31">
        <f>SUMIFS(JB_26BV,JB_B,1,JB_EX,"P-5c",JB_CC,"Ordnance",JB_H,"T-AGOS",JB_RC,"ALT")</f>
        <v/>
      </c>
      <c r="G70" s="31">
        <f>SUMIFS(JB_26BV,JB_B,1,JB_EX,"P-5c",JB_CC,"Ordnance",JB_H,"T-EPF",JB_RC,"ALT")</f>
        <v/>
      </c>
      <c r="H70" s="31">
        <f>SUMIFS(JB_26BV,JB_B,1,JB_EX,"P-5c",JB_CC,"Ordnance",JB_H,"T-AO",JB_RC,"ALT")</f>
        <v/>
      </c>
      <c r="I70" s="31">
        <f>SUMIFS(JB_26BV,JB_B,1,JB_EX,"P-5c",JB_CC,"Ordnance",JB_H,"T-ATS",JB_RC,"ALT")</f>
        <v/>
      </c>
      <c r="J70" s="45">
        <f>SUM(B70:I70)</f>
        <v/>
      </c>
    </row>
    <row r="71" ht="10" customHeight="1">
      <c r="A71" s="30" t="inlineStr">
        <is>
          <t>Other Cost</t>
        </is>
      </c>
      <c r="B71" s="45">
        <f>SUMIFS(JB_26BV,JB_B,1,JB_EX,"P-5c",JB_CC,"Other Cost",JB_H,"DDG",JB_RC,"ALT")</f>
        <v/>
      </c>
      <c r="C71" s="31">
        <f>SUMIFS(JB_26BV,JB_B,1,JB_EX,"P-5c",JB_CC,"Other Cost",JB_H,"FFG",JB_RC,"ALT")</f>
        <v/>
      </c>
      <c r="D71" s="31">
        <f>SUMIFS(JB_26BV,JB_B,1,JB_EX,"P-5c",JB_CC,"Other Cost",JB_H,"LPD",JB_RC,"ALT")</f>
        <v/>
      </c>
      <c r="E71" s="31">
        <f>SUMIFS(JB_26BV,JB_B,1,JB_EX,"P-5c",JB_CC,"Other Cost",JB_H,"LHA",JB_RC,"ALT")</f>
        <v/>
      </c>
      <c r="F71" s="31">
        <f>SUMIFS(JB_26BV,JB_B,1,JB_EX,"P-5c",JB_CC,"Other Cost",JB_H,"T-AGOS",JB_RC,"ALT")</f>
        <v/>
      </c>
      <c r="G71" s="31">
        <f>SUMIFS(JB_26BV,JB_B,1,JB_EX,"P-5c",JB_CC,"Other Cost",JB_H,"T-EPF",JB_RC,"ALT")</f>
        <v/>
      </c>
      <c r="H71" s="31">
        <f>SUMIFS(JB_26BV,JB_B,1,JB_EX,"P-5c",JB_CC,"Other Cost",JB_H,"T-AO",JB_RC,"ALT")</f>
        <v/>
      </c>
      <c r="I71" s="31">
        <f>SUMIFS(JB_26BV,JB_B,1,JB_EX,"P-5c",JB_CC,"Other Cost",JB_H,"T-ATS",JB_RC,"ALT")</f>
        <v/>
      </c>
      <c r="J71" s="45">
        <f>SUM(B71:I71)</f>
        <v/>
      </c>
    </row>
    <row r="72" ht="10" customHeight="1">
      <c r="A72" s="32" t="inlineStr">
        <is>
          <t>Gross Total ($K)</t>
        </is>
      </c>
      <c r="B72" s="44">
        <f>SUM(B65:B71)</f>
        <v/>
      </c>
      <c r="C72" s="33">
        <f>SUM(C65:C71)</f>
        <v/>
      </c>
      <c r="D72" s="33">
        <f>SUM(D65:D71)</f>
        <v/>
      </c>
      <c r="E72" s="33">
        <f>SUM(E65:E71)</f>
        <v/>
      </c>
      <c r="F72" s="33">
        <f>SUM(F65:F71)</f>
        <v/>
      </c>
      <c r="G72" s="33">
        <f>SUM(G65:G71)</f>
        <v/>
      </c>
      <c r="H72" s="33">
        <f>SUM(H65:H71)</f>
        <v/>
      </c>
      <c r="I72" s="33">
        <f>SUM(I65:I71)</f>
        <v/>
      </c>
      <c r="J72" s="44">
        <f>SUM(J65:J71)</f>
        <v/>
      </c>
    </row>
    <row r="73" ht="10" customHeight="1"/>
    <row r="74" ht="10" customHeight="1">
      <c r="A74" s="46" t="inlineStr">
        <is>
          <t>Cost category mix (% of gross total per hull program)</t>
        </is>
      </c>
      <c r="B74" s="41" t="n"/>
      <c r="C74" s="39" t="n"/>
      <c r="D74" s="39" t="n"/>
      <c r="E74" s="39" t="n"/>
      <c r="F74" s="39" t="n"/>
      <c r="G74" s="39" t="n"/>
      <c r="H74" s="39" t="n"/>
      <c r="I74" s="39" t="n"/>
      <c r="J74" s="41" t="n"/>
    </row>
    <row r="75" ht="10" customHeight="1">
      <c r="A75" s="29" t="inlineStr">
        <is>
          <t>Cost Category</t>
        </is>
      </c>
      <c r="B75" s="42" t="inlineStr">
        <is>
          <t>DDG</t>
        </is>
      </c>
      <c r="C75" s="29" t="inlineStr">
        <is>
          <t>FFG</t>
        </is>
      </c>
      <c r="D75" s="29" t="inlineStr">
        <is>
          <t>LPD</t>
        </is>
      </c>
      <c r="E75" s="29" t="inlineStr">
        <is>
          <t>LHA</t>
        </is>
      </c>
      <c r="F75" s="29" t="inlineStr">
        <is>
          <t>T-AGOS</t>
        </is>
      </c>
      <c r="G75" s="29" t="inlineStr">
        <is>
          <t>T-EPF</t>
        </is>
      </c>
      <c r="H75" s="29" t="inlineStr">
        <is>
          <t>T-AO</t>
        </is>
      </c>
      <c r="I75" s="29" t="inlineStr">
        <is>
          <t>T-ATS</t>
        </is>
      </c>
      <c r="J75" s="42" t="inlineStr">
        <is>
          <t>Total</t>
        </is>
      </c>
    </row>
    <row r="76" ht="10" customHeight="1">
      <c r="A76" s="30" t="inlineStr">
        <is>
          <t>Plan Costs</t>
        </is>
      </c>
      <c r="B76" s="43">
        <f>IFERROR(B65/B$72,0)</f>
        <v/>
      </c>
      <c r="C76" s="37">
        <f>IFERROR(C65/C$72,0)</f>
        <v/>
      </c>
      <c r="D76" s="37">
        <f>IFERROR(D65/D$72,0)</f>
        <v/>
      </c>
      <c r="E76" s="37">
        <f>IFERROR(E65/E$72,0)</f>
        <v/>
      </c>
      <c r="F76" s="37">
        <f>IFERROR(F65/F$72,0)</f>
        <v/>
      </c>
      <c r="G76" s="37">
        <f>IFERROR(G65/G$72,0)</f>
        <v/>
      </c>
      <c r="H76" s="37">
        <f>IFERROR(H65/H$72,0)</f>
        <v/>
      </c>
      <c r="I76" s="37">
        <f>IFERROR(I65/I$72,0)</f>
        <v/>
      </c>
      <c r="J76" s="43">
        <f>IFERROR(J65/J$72,0)</f>
        <v/>
      </c>
    </row>
    <row r="77" ht="10" customHeight="1">
      <c r="A77" s="30" t="inlineStr">
        <is>
          <t>Basic Construction</t>
        </is>
      </c>
      <c r="B77" s="43">
        <f>IFERROR(B66/B$72,0)</f>
        <v/>
      </c>
      <c r="C77" s="37">
        <f>IFERROR(C66/C$72,0)</f>
        <v/>
      </c>
      <c r="D77" s="37">
        <f>IFERROR(D66/D$72,0)</f>
        <v/>
      </c>
      <c r="E77" s="37">
        <f>IFERROR(E66/E$72,0)</f>
        <v/>
      </c>
      <c r="F77" s="37">
        <f>IFERROR(F66/F$72,0)</f>
        <v/>
      </c>
      <c r="G77" s="37">
        <f>IFERROR(G66/G$72,0)</f>
        <v/>
      </c>
      <c r="H77" s="37">
        <f>IFERROR(H66/H$72,0)</f>
        <v/>
      </c>
      <c r="I77" s="37">
        <f>IFERROR(I66/I$72,0)</f>
        <v/>
      </c>
      <c r="J77" s="43">
        <f>IFERROR(J66/J$72,0)</f>
        <v/>
      </c>
    </row>
    <row r="78" ht="10" customHeight="1">
      <c r="A78" s="30" t="inlineStr">
        <is>
          <t>Change Orders</t>
        </is>
      </c>
      <c r="B78" s="43">
        <f>IFERROR(B67/B$72,0)</f>
        <v/>
      </c>
      <c r="C78" s="37">
        <f>IFERROR(C67/C$72,0)</f>
        <v/>
      </c>
      <c r="D78" s="37">
        <f>IFERROR(D67/D$72,0)</f>
        <v/>
      </c>
      <c r="E78" s="37">
        <f>IFERROR(E67/E$72,0)</f>
        <v/>
      </c>
      <c r="F78" s="37">
        <f>IFERROR(F67/F$72,0)</f>
        <v/>
      </c>
      <c r="G78" s="37">
        <f>IFERROR(G67/G$72,0)</f>
        <v/>
      </c>
      <c r="H78" s="37">
        <f>IFERROR(H67/H$72,0)</f>
        <v/>
      </c>
      <c r="I78" s="37">
        <f>IFERROR(I67/I$72,0)</f>
        <v/>
      </c>
      <c r="J78" s="43">
        <f>IFERROR(J67/J$72,0)</f>
        <v/>
      </c>
    </row>
    <row r="79" ht="10" customHeight="1">
      <c r="A79" s="30" t="inlineStr">
        <is>
          <t>Electronics</t>
        </is>
      </c>
      <c r="B79" s="43">
        <f>IFERROR(B68/B$72,0)</f>
        <v/>
      </c>
      <c r="C79" s="37">
        <f>IFERROR(C68/C$72,0)</f>
        <v/>
      </c>
      <c r="D79" s="37">
        <f>IFERROR(D68/D$72,0)</f>
        <v/>
      </c>
      <c r="E79" s="37">
        <f>IFERROR(E68/E$72,0)</f>
        <v/>
      </c>
      <c r="F79" s="37">
        <f>IFERROR(F68/F$72,0)</f>
        <v/>
      </c>
      <c r="G79" s="37">
        <f>IFERROR(G68/G$72,0)</f>
        <v/>
      </c>
      <c r="H79" s="37">
        <f>IFERROR(H68/H$72,0)</f>
        <v/>
      </c>
      <c r="I79" s="37">
        <f>IFERROR(I68/I$72,0)</f>
        <v/>
      </c>
      <c r="J79" s="43">
        <f>IFERROR(J68/J$72,0)</f>
        <v/>
      </c>
    </row>
    <row r="80" ht="10" customHeight="1">
      <c r="A80" s="30" t="inlineStr">
        <is>
          <t>Hull, Mechanical, and Electrical</t>
        </is>
      </c>
      <c r="B80" s="43">
        <f>IFERROR(B69/B$72,0)</f>
        <v/>
      </c>
      <c r="C80" s="37">
        <f>IFERROR(C69/C$72,0)</f>
        <v/>
      </c>
      <c r="D80" s="37">
        <f>IFERROR(D69/D$72,0)</f>
        <v/>
      </c>
      <c r="E80" s="37">
        <f>IFERROR(E69/E$72,0)</f>
        <v/>
      </c>
      <c r="F80" s="37">
        <f>IFERROR(F69/F$72,0)</f>
        <v/>
      </c>
      <c r="G80" s="37">
        <f>IFERROR(G69/G$72,0)</f>
        <v/>
      </c>
      <c r="H80" s="37">
        <f>IFERROR(H69/H$72,0)</f>
        <v/>
      </c>
      <c r="I80" s="37">
        <f>IFERROR(I69/I$72,0)</f>
        <v/>
      </c>
      <c r="J80" s="43">
        <f>IFERROR(J69/J$72,0)</f>
        <v/>
      </c>
    </row>
    <row r="81" ht="10" customHeight="1">
      <c r="A81" s="30" t="inlineStr">
        <is>
          <t>Ordnance</t>
        </is>
      </c>
      <c r="B81" s="43">
        <f>IFERROR(B70/B$72,0)</f>
        <v/>
      </c>
      <c r="C81" s="37">
        <f>IFERROR(C70/C$72,0)</f>
        <v/>
      </c>
      <c r="D81" s="37">
        <f>IFERROR(D70/D$72,0)</f>
        <v/>
      </c>
      <c r="E81" s="37">
        <f>IFERROR(E70/E$72,0)</f>
        <v/>
      </c>
      <c r="F81" s="37">
        <f>IFERROR(F70/F$72,0)</f>
        <v/>
      </c>
      <c r="G81" s="37">
        <f>IFERROR(G70/G$72,0)</f>
        <v/>
      </c>
      <c r="H81" s="37">
        <f>IFERROR(H70/H$72,0)</f>
        <v/>
      </c>
      <c r="I81" s="37">
        <f>IFERROR(I70/I$72,0)</f>
        <v/>
      </c>
      <c r="J81" s="43">
        <f>IFERROR(J70/J$72,0)</f>
        <v/>
      </c>
    </row>
    <row r="82" ht="10" customHeight="1">
      <c r="A82" s="30" t="inlineStr">
        <is>
          <t>Other Cost</t>
        </is>
      </c>
      <c r="B82" s="43">
        <f>IFERROR(B71/B$72,0)</f>
        <v/>
      </c>
      <c r="C82" s="37">
        <f>IFERROR(C71/C$72,0)</f>
        <v/>
      </c>
      <c r="D82" s="37">
        <f>IFERROR(D71/D$72,0)</f>
        <v/>
      </c>
      <c r="E82" s="37">
        <f>IFERROR(E71/E$72,0)</f>
        <v/>
      </c>
      <c r="F82" s="37">
        <f>IFERROR(F71/F$72,0)</f>
        <v/>
      </c>
      <c r="G82" s="37">
        <f>IFERROR(G71/G$72,0)</f>
        <v/>
      </c>
      <c r="H82" s="37">
        <f>IFERROR(H71/H$72,0)</f>
        <v/>
      </c>
      <c r="I82" s="37">
        <f>IFERROR(I71/I$72,0)</f>
        <v/>
      </c>
      <c r="J82" s="43">
        <f>IFERROR(J71/J$72,0)</f>
        <v/>
      </c>
    </row>
    <row r="83" ht="10" customHeight="1">
      <c r="A83" s="32" t="inlineStr">
        <is>
          <t>Total</t>
        </is>
      </c>
      <c r="B83" s="47" t="n">
        <v>1</v>
      </c>
      <c r="C83" s="38" t="n">
        <v>1</v>
      </c>
      <c r="D83" s="38" t="n">
        <v>1</v>
      </c>
      <c r="E83" s="38" t="n">
        <v>1</v>
      </c>
      <c r="F83" s="38" t="n">
        <v>1</v>
      </c>
      <c r="G83" s="38" t="n">
        <v>1</v>
      </c>
      <c r="H83" s="38" t="n">
        <v>1</v>
      </c>
      <c r="I83" s="38" t="n">
        <v>1</v>
      </c>
      <c r="J83" s="47" t="n">
        <v>1</v>
      </c>
    </row>
    <row r="84" ht="10" customHeight="1"/>
    <row r="85" ht="10" customHeight="1"/>
    <row r="86" ht="10" customHeight="1">
      <c r="A86" s="27" t="inlineStr">
        <is>
          <t>(E) Newbuild SAM (cost-element coverage) — FY2026 ($K)</t>
        </is>
      </c>
      <c r="B86" s="28" t="n"/>
      <c r="C86" s="28" t="n"/>
      <c r="D86" s="28" t="n"/>
      <c r="E86" s="28" t="n"/>
      <c r="F86" s="28" t="n"/>
      <c r="G86" s="28" t="n"/>
      <c r="H86" s="28" t="n"/>
      <c r="I86" s="28" t="n"/>
    </row>
    <row r="87" ht="10" customHeight="1">
      <c r="A87" s="26" t="inlineStr">
        <is>
          <t>P-5c percentage mix from (D) applied to SAM net budget-authority totals. This is the Newbuild SAM — the outsourceable new-construction market sized at component level.</t>
        </is>
      </c>
    </row>
    <row r="88" ht="10" customHeight="1">
      <c r="A88" s="39" t="n"/>
      <c r="B88" s="40" t="inlineStr">
        <is>
          <t>USN</t>
        </is>
      </c>
      <c r="C88" s="39" t="n"/>
      <c r="D88" s="39" t="n"/>
      <c r="E88" s="39" t="n"/>
      <c r="F88" s="39" t="n"/>
      <c r="G88" s="39" t="n"/>
      <c r="H88" s="39" t="n"/>
      <c r="I88" s="41" t="n"/>
    </row>
    <row r="89" ht="10" customHeight="1">
      <c r="A89" s="29" t="inlineStr">
        <is>
          <t>Cost Category</t>
        </is>
      </c>
      <c r="B89" s="42" t="inlineStr">
        <is>
          <t>DDG</t>
        </is>
      </c>
      <c r="C89" s="29" t="inlineStr">
        <is>
          <t>T-AO</t>
        </is>
      </c>
      <c r="D89" s="29" t="inlineStr">
        <is>
          <t>LPD</t>
        </is>
      </c>
      <c r="E89" s="29" t="inlineStr">
        <is>
          <t>LHA</t>
        </is>
      </c>
      <c r="F89" s="29" t="inlineStr">
        <is>
          <t>T-AGOS</t>
        </is>
      </c>
      <c r="G89" s="29" t="inlineStr">
        <is>
          <t>FFG</t>
        </is>
      </c>
      <c r="H89" s="29" t="inlineStr">
        <is>
          <t>T-ATS</t>
        </is>
      </c>
      <c r="I89" s="42" t="inlineStr">
        <is>
          <t>Total</t>
        </is>
      </c>
    </row>
    <row r="90" ht="10" customHeight="1">
      <c r="A90" s="35" t="inlineStr">
        <is>
          <t>SAM Net Total ($K)</t>
        </is>
      </c>
      <c r="B90" s="48">
        <f>SUMIFS(JB_26BV,JB_B,1,JB_H,"DDG",JB_RC,"ADD")</f>
        <v/>
      </c>
      <c r="C90" s="36">
        <f>SUMIFS(JB_26BV,JB_B,1,JB_H,"T-AO",JB_RC,"ADD")</f>
        <v/>
      </c>
      <c r="D90" s="36">
        <f>SUMIFS(JB_26BV,JB_B,1,JB_H,"LPD",JB_RC,"ADD")</f>
        <v/>
      </c>
      <c r="E90" s="36">
        <f>SUMIFS(JB_26BV,JB_B,1,JB_H,"LHA",JB_RC,"ADD")</f>
        <v/>
      </c>
      <c r="F90" s="36">
        <f>SUMIFS(JB_26BV,JB_B,1,JB_H,"T-AGOS",JB_RC,"ADD")</f>
        <v/>
      </c>
      <c r="G90" s="36">
        <f>SUMIFS(JB_26BV,JB_B,1,JB_H,"FFG",JB_RC,"ADD")</f>
        <v/>
      </c>
      <c r="H90" s="36">
        <f>SUMIFS(JB_26BV,JB_B,1,JB_H,"T-ATS",JB_RC,"ADD")</f>
        <v/>
      </c>
      <c r="I90" s="48">
        <f>SUM(B90:H90)</f>
        <v/>
      </c>
    </row>
    <row r="91" ht="10" customHeight="1">
      <c r="A91" s="30" t="inlineStr">
        <is>
          <t>Plan Costs</t>
        </is>
      </c>
      <c r="B91" s="45">
        <f>IFERROR(B$90*(SUMIFS(JB_26BV,JB_B,1,JB_EX,"P-5c",JB_CC,"Plan Costs",JB_H,"DDG",JB_RC,"ALT"))/(SUMIFS(JB_26BV,JB_B,1,JB_EX,"P-5c",JB_H,"DDG",JB_RC,"ALT")),0)</f>
        <v/>
      </c>
      <c r="C91" s="31">
        <f>IFERROR(C$90*(SUMIFS(JB_26BV,JB_B,1,JB_EX,"P-5c",JB_CC,"Plan Costs",JB_H,"T-AO",JB_RC,"ALT"))/(SUMIFS(JB_26BV,JB_B,1,JB_EX,"P-5c",JB_H,"T-AO",JB_RC,"ALT")),0)</f>
        <v/>
      </c>
      <c r="D91" s="31">
        <f>IFERROR(D$90*(SUMIFS(JB_26BV,JB_B,1,JB_EX,"P-5c",JB_CC,"Plan Costs",JB_H,"LPD",JB_RC,"ALT"))/(SUMIFS(JB_26BV,JB_B,1,JB_EX,"P-5c",JB_H,"LPD",JB_RC,"ALT")),0)</f>
        <v/>
      </c>
      <c r="E91" s="31">
        <f>IFERROR(E$90*(SUMIFS(JB_26BV,JB_B,1,JB_EX,"P-5c",JB_CC,"Plan Costs",JB_H,"LHA",JB_RC,"ALT"))/(SUMIFS(JB_26BV,JB_B,1,JB_EX,"P-5c",JB_H,"LHA",JB_RC,"ALT")),0)</f>
        <v/>
      </c>
      <c r="F91" s="31">
        <f>IFERROR(F$90*(SUMIFS(JB_26BV,JB_B,1,JB_EX,"P-5c",JB_CC,"Plan Costs",JB_H,"T-AGOS",JB_RC,"ALT"))/(SUMIFS(JB_26BV,JB_B,1,JB_EX,"P-5c",JB_H,"T-AGOS",JB_RC,"ALT")),0)</f>
        <v/>
      </c>
      <c r="G91" s="31">
        <f>IFERROR(G$90*(SUMIFS(JB_26BV,JB_B,1,JB_EX,"P-5c",JB_CC,"Plan Costs",JB_H,"FFG",JB_RC,"ALT"))/(SUMIFS(JB_26BV,JB_B,1,JB_EX,"P-5c",JB_H,"FFG",JB_RC,"ALT")),0)</f>
        <v/>
      </c>
      <c r="H91" s="31">
        <f>IFERROR(H$90*(SUMIFS(JB_26BV,JB_B,1,JB_EX,"P-5c",JB_CC,"Plan Costs",JB_H,"T-ATS",JB_RC,"ALT"))/(SUMIFS(JB_26BV,JB_B,1,JB_EX,"P-5c",JB_H,"T-ATS",JB_RC,"ALT")),0)</f>
        <v/>
      </c>
      <c r="I91" s="45">
        <f>SUM(B91:H91)</f>
        <v/>
      </c>
    </row>
    <row r="92" ht="10" customHeight="1">
      <c r="A92" s="30" t="inlineStr">
        <is>
          <t>Basic Construction</t>
        </is>
      </c>
      <c r="B92" s="45">
        <f>IFERROR(B$90*(SUMIFS(JB_26BV,JB_B,1,JB_EX,"P-5c",JB_CC,"Basic Construction",JB_H,"DDG",JB_RC,"ALT"))/(SUMIFS(JB_26BV,JB_B,1,JB_EX,"P-5c",JB_H,"DDG",JB_RC,"ALT")),0)</f>
        <v/>
      </c>
      <c r="C92" s="31">
        <f>IFERROR(C$90*(SUMIFS(JB_26BV,JB_B,1,JB_EX,"P-5c",JB_CC,"Basic Construction",JB_H,"T-AO",JB_RC,"ALT"))/(SUMIFS(JB_26BV,JB_B,1,JB_EX,"P-5c",JB_H,"T-AO",JB_RC,"ALT")),0)</f>
        <v/>
      </c>
      <c r="D92" s="31">
        <f>IFERROR(D$90*(SUMIFS(JB_26BV,JB_B,1,JB_EX,"P-5c",JB_CC,"Basic Construction",JB_H,"LPD",JB_RC,"ALT"))/(SUMIFS(JB_26BV,JB_B,1,JB_EX,"P-5c",JB_H,"LPD",JB_RC,"ALT")),0)</f>
        <v/>
      </c>
      <c r="E92" s="31">
        <f>IFERROR(E$90*(SUMIFS(JB_26BV,JB_B,1,JB_EX,"P-5c",JB_CC,"Basic Construction",JB_H,"LHA",JB_RC,"ALT"))/(SUMIFS(JB_26BV,JB_B,1,JB_EX,"P-5c",JB_H,"LHA",JB_RC,"ALT")),0)</f>
        <v/>
      </c>
      <c r="F92" s="31">
        <f>IFERROR(F$90*(SUMIFS(JB_26BV,JB_B,1,JB_EX,"P-5c",JB_CC,"Basic Construction",JB_H,"T-AGOS",JB_RC,"ALT"))/(SUMIFS(JB_26BV,JB_B,1,JB_EX,"P-5c",JB_H,"T-AGOS",JB_RC,"ALT")),0)</f>
        <v/>
      </c>
      <c r="G92" s="31">
        <f>IFERROR(G$90*(SUMIFS(JB_26BV,JB_B,1,JB_EX,"P-5c",JB_CC,"Basic Construction",JB_H,"FFG",JB_RC,"ALT"))/(SUMIFS(JB_26BV,JB_B,1,JB_EX,"P-5c",JB_H,"FFG",JB_RC,"ALT")),0)</f>
        <v/>
      </c>
      <c r="H92" s="31">
        <f>IFERROR(H$90*(SUMIFS(JB_26BV,JB_B,1,JB_EX,"P-5c",JB_CC,"Basic Construction",JB_H,"T-ATS",JB_RC,"ALT"))/(SUMIFS(JB_26BV,JB_B,1,JB_EX,"P-5c",JB_H,"T-ATS",JB_RC,"ALT")),0)</f>
        <v/>
      </c>
      <c r="I92" s="45">
        <f>SUM(B92:H92)</f>
        <v/>
      </c>
    </row>
    <row r="93" ht="10" customHeight="1">
      <c r="A93" s="30" t="inlineStr">
        <is>
          <t>Change Orders</t>
        </is>
      </c>
      <c r="B93" s="45">
        <f>IFERROR(B$90*(SUMIFS(JB_26BV,JB_B,1,JB_EX,"P-5c",JB_CC,"Change Orders",JB_H,"DDG",JB_RC,"ALT"))/(SUMIFS(JB_26BV,JB_B,1,JB_EX,"P-5c",JB_H,"DDG",JB_RC,"ALT")),0)</f>
        <v/>
      </c>
      <c r="C93" s="31">
        <f>IFERROR(C$90*(SUMIFS(JB_26BV,JB_B,1,JB_EX,"P-5c",JB_CC,"Change Orders",JB_H,"T-AO",JB_RC,"ALT"))/(SUMIFS(JB_26BV,JB_B,1,JB_EX,"P-5c",JB_H,"T-AO",JB_RC,"ALT")),0)</f>
        <v/>
      </c>
      <c r="D93" s="31">
        <f>IFERROR(D$90*(SUMIFS(JB_26BV,JB_B,1,JB_EX,"P-5c",JB_CC,"Change Orders",JB_H,"LPD",JB_RC,"ALT"))/(SUMIFS(JB_26BV,JB_B,1,JB_EX,"P-5c",JB_H,"LPD",JB_RC,"ALT")),0)</f>
        <v/>
      </c>
      <c r="E93" s="31">
        <f>IFERROR(E$90*(SUMIFS(JB_26BV,JB_B,1,JB_EX,"P-5c",JB_CC,"Change Orders",JB_H,"LHA",JB_RC,"ALT"))/(SUMIFS(JB_26BV,JB_B,1,JB_EX,"P-5c",JB_H,"LHA",JB_RC,"ALT")),0)</f>
        <v/>
      </c>
      <c r="F93" s="31">
        <f>IFERROR(F$90*(SUMIFS(JB_26BV,JB_B,1,JB_EX,"P-5c",JB_CC,"Change Orders",JB_H,"T-AGOS",JB_RC,"ALT"))/(SUMIFS(JB_26BV,JB_B,1,JB_EX,"P-5c",JB_H,"T-AGOS",JB_RC,"ALT")),0)</f>
        <v/>
      </c>
      <c r="G93" s="31">
        <f>IFERROR(G$90*(SUMIFS(JB_26BV,JB_B,1,JB_EX,"P-5c",JB_CC,"Change Orders",JB_H,"FFG",JB_RC,"ALT"))/(SUMIFS(JB_26BV,JB_B,1,JB_EX,"P-5c",JB_H,"FFG",JB_RC,"ALT")),0)</f>
        <v/>
      </c>
      <c r="H93" s="31">
        <f>IFERROR(H$90*(SUMIFS(JB_26BV,JB_B,1,JB_EX,"P-5c",JB_CC,"Change Orders",JB_H,"T-ATS",JB_RC,"ALT"))/(SUMIFS(JB_26BV,JB_B,1,JB_EX,"P-5c",JB_H,"T-ATS",JB_RC,"ALT")),0)</f>
        <v/>
      </c>
      <c r="I93" s="45">
        <f>SUM(B93:H93)</f>
        <v/>
      </c>
    </row>
    <row r="94" ht="10" customHeight="1">
      <c r="A94" s="30" t="inlineStr">
        <is>
          <t>Electronics</t>
        </is>
      </c>
      <c r="B94" s="45">
        <f>IFERROR(B$90*(SUMIFS(JB_26BV,JB_B,1,JB_EX,"P-5c",JB_CC,"Electronics",JB_H,"DDG",JB_RC,"ALT"))/(SUMIFS(JB_26BV,JB_B,1,JB_EX,"P-5c",JB_H,"DDG",JB_RC,"ALT")),0)</f>
        <v/>
      </c>
      <c r="C94" s="31">
        <f>IFERROR(C$90*(SUMIFS(JB_26BV,JB_B,1,JB_EX,"P-5c",JB_CC,"Electronics",JB_H,"T-AO",JB_RC,"ALT"))/(SUMIFS(JB_26BV,JB_B,1,JB_EX,"P-5c",JB_H,"T-AO",JB_RC,"ALT")),0)</f>
        <v/>
      </c>
      <c r="D94" s="31">
        <f>IFERROR(D$90*(SUMIFS(JB_26BV,JB_B,1,JB_EX,"P-5c",JB_CC,"Electronics",JB_H,"LPD",JB_RC,"ALT"))/(SUMIFS(JB_26BV,JB_B,1,JB_EX,"P-5c",JB_H,"LPD",JB_RC,"ALT")),0)</f>
        <v/>
      </c>
      <c r="E94" s="31">
        <f>IFERROR(E$90*(SUMIFS(JB_26BV,JB_B,1,JB_EX,"P-5c",JB_CC,"Electronics",JB_H,"LHA",JB_RC,"ALT"))/(SUMIFS(JB_26BV,JB_B,1,JB_EX,"P-5c",JB_H,"LHA",JB_RC,"ALT")),0)</f>
        <v/>
      </c>
      <c r="F94" s="31">
        <f>IFERROR(F$90*(SUMIFS(JB_26BV,JB_B,1,JB_EX,"P-5c",JB_CC,"Electronics",JB_H,"T-AGOS",JB_RC,"ALT"))/(SUMIFS(JB_26BV,JB_B,1,JB_EX,"P-5c",JB_H,"T-AGOS",JB_RC,"ALT")),0)</f>
        <v/>
      </c>
      <c r="G94" s="31">
        <f>IFERROR(G$90*(SUMIFS(JB_26BV,JB_B,1,JB_EX,"P-5c",JB_CC,"Electronics",JB_H,"FFG",JB_RC,"ALT"))/(SUMIFS(JB_26BV,JB_B,1,JB_EX,"P-5c",JB_H,"FFG",JB_RC,"ALT")),0)</f>
        <v/>
      </c>
      <c r="H94" s="31">
        <f>IFERROR(H$90*(SUMIFS(JB_26BV,JB_B,1,JB_EX,"P-5c",JB_CC,"Electronics",JB_H,"T-ATS",JB_RC,"ALT"))/(SUMIFS(JB_26BV,JB_B,1,JB_EX,"P-5c",JB_H,"T-ATS",JB_RC,"ALT")),0)</f>
        <v/>
      </c>
      <c r="I94" s="45">
        <f>SUM(B94:H94)</f>
        <v/>
      </c>
    </row>
    <row r="95" ht="10" customHeight="1">
      <c r="A95" s="30" t="inlineStr">
        <is>
          <t>Hull, Mechanical, and Electrical</t>
        </is>
      </c>
      <c r="B95" s="45">
        <f>IFERROR(B$90*(SUMIFS(JB_26BV,JB_B,1,JB_EX,"P-5c",JB_CC,"Hull, Mechanical, and Electrical",JB_H,"DDG",JB_RC,"ALT"))/(SUMIFS(JB_26BV,JB_B,1,JB_EX,"P-5c",JB_H,"DDG",JB_RC,"ALT")),0)</f>
        <v/>
      </c>
      <c r="C95" s="31">
        <f>IFERROR(C$90*(SUMIFS(JB_26BV,JB_B,1,JB_EX,"P-5c",JB_CC,"Hull, Mechanical, and Electrical",JB_H,"T-AO",JB_RC,"ALT"))/(SUMIFS(JB_26BV,JB_B,1,JB_EX,"P-5c",JB_H,"T-AO",JB_RC,"ALT")),0)</f>
        <v/>
      </c>
      <c r="D95" s="31">
        <f>IFERROR(D$90*(SUMIFS(JB_26BV,JB_B,1,JB_EX,"P-5c",JB_CC,"Hull, Mechanical, and Electrical",JB_H,"LPD",JB_RC,"ALT"))/(SUMIFS(JB_26BV,JB_B,1,JB_EX,"P-5c",JB_H,"LPD",JB_RC,"ALT")),0)</f>
        <v/>
      </c>
      <c r="E95" s="31">
        <f>IFERROR(E$90*(SUMIFS(JB_26BV,JB_B,1,JB_EX,"P-5c",JB_CC,"Hull, Mechanical, and Electrical",JB_H,"LHA",JB_RC,"ALT"))/(SUMIFS(JB_26BV,JB_B,1,JB_EX,"P-5c",JB_H,"LHA",JB_RC,"ALT")),0)</f>
        <v/>
      </c>
      <c r="F95" s="31">
        <f>IFERROR(F$90*(SUMIFS(JB_26BV,JB_B,1,JB_EX,"P-5c",JB_CC,"Hull, Mechanical, and Electrical",JB_H,"T-AGOS",JB_RC,"ALT"))/(SUMIFS(JB_26BV,JB_B,1,JB_EX,"P-5c",JB_H,"T-AGOS",JB_RC,"ALT")),0)</f>
        <v/>
      </c>
      <c r="G95" s="31">
        <f>IFERROR(G$90*(SUMIFS(JB_26BV,JB_B,1,JB_EX,"P-5c",JB_CC,"Hull, Mechanical, and Electrical",JB_H,"FFG",JB_RC,"ALT"))/(SUMIFS(JB_26BV,JB_B,1,JB_EX,"P-5c",JB_H,"FFG",JB_RC,"ALT")),0)</f>
        <v/>
      </c>
      <c r="H95" s="31">
        <f>IFERROR(H$90*(SUMIFS(JB_26BV,JB_B,1,JB_EX,"P-5c",JB_CC,"Hull, Mechanical, and Electrical",JB_H,"T-ATS",JB_RC,"ALT"))/(SUMIFS(JB_26BV,JB_B,1,JB_EX,"P-5c",JB_H,"T-ATS",JB_RC,"ALT")),0)</f>
        <v/>
      </c>
      <c r="I95" s="45">
        <f>SUM(B95:H95)</f>
        <v/>
      </c>
    </row>
    <row r="96" ht="10" customHeight="1">
      <c r="A96" s="30" t="inlineStr">
        <is>
          <t>Ordnance</t>
        </is>
      </c>
      <c r="B96" s="45">
        <f>IFERROR(B$90*(SUMIFS(JB_26BV,JB_B,1,JB_EX,"P-5c",JB_CC,"Ordnance",JB_H,"DDG",JB_RC,"ALT"))/(SUMIFS(JB_26BV,JB_B,1,JB_EX,"P-5c",JB_H,"DDG",JB_RC,"ALT")),0)</f>
        <v/>
      </c>
      <c r="C96" s="31">
        <f>IFERROR(C$90*(SUMIFS(JB_26BV,JB_B,1,JB_EX,"P-5c",JB_CC,"Ordnance",JB_H,"T-AO",JB_RC,"ALT"))/(SUMIFS(JB_26BV,JB_B,1,JB_EX,"P-5c",JB_H,"T-AO",JB_RC,"ALT")),0)</f>
        <v/>
      </c>
      <c r="D96" s="31">
        <f>IFERROR(D$90*(SUMIFS(JB_26BV,JB_B,1,JB_EX,"P-5c",JB_CC,"Ordnance",JB_H,"LPD",JB_RC,"ALT"))/(SUMIFS(JB_26BV,JB_B,1,JB_EX,"P-5c",JB_H,"LPD",JB_RC,"ALT")),0)</f>
        <v/>
      </c>
      <c r="E96" s="31">
        <f>IFERROR(E$90*(SUMIFS(JB_26BV,JB_B,1,JB_EX,"P-5c",JB_CC,"Ordnance",JB_H,"LHA",JB_RC,"ALT"))/(SUMIFS(JB_26BV,JB_B,1,JB_EX,"P-5c",JB_H,"LHA",JB_RC,"ALT")),0)</f>
        <v/>
      </c>
      <c r="F96" s="31">
        <f>IFERROR(F$90*(SUMIFS(JB_26BV,JB_B,1,JB_EX,"P-5c",JB_CC,"Ordnance",JB_H,"T-AGOS",JB_RC,"ALT"))/(SUMIFS(JB_26BV,JB_B,1,JB_EX,"P-5c",JB_H,"T-AGOS",JB_RC,"ALT")),0)</f>
        <v/>
      </c>
      <c r="G96" s="31">
        <f>IFERROR(G$90*(SUMIFS(JB_26BV,JB_B,1,JB_EX,"P-5c",JB_CC,"Ordnance",JB_H,"FFG",JB_RC,"ALT"))/(SUMIFS(JB_26BV,JB_B,1,JB_EX,"P-5c",JB_H,"FFG",JB_RC,"ALT")),0)</f>
        <v/>
      </c>
      <c r="H96" s="31">
        <f>IFERROR(H$90*(SUMIFS(JB_26BV,JB_B,1,JB_EX,"P-5c",JB_CC,"Ordnance",JB_H,"T-ATS",JB_RC,"ALT"))/(SUMIFS(JB_26BV,JB_B,1,JB_EX,"P-5c",JB_H,"T-ATS",JB_RC,"ALT")),0)</f>
        <v/>
      </c>
      <c r="I96" s="45">
        <f>SUM(B96:H96)</f>
        <v/>
      </c>
    </row>
    <row r="97" ht="10" customHeight="1">
      <c r="A97" s="30" t="inlineStr">
        <is>
          <t>Other Cost</t>
        </is>
      </c>
      <c r="B97" s="45">
        <f>IFERROR(B$90*(SUMIFS(JB_26BV,JB_B,1,JB_EX,"P-5c",JB_CC,"Other Cost",JB_H,"DDG",JB_RC,"ALT"))/(SUMIFS(JB_26BV,JB_B,1,JB_EX,"P-5c",JB_H,"DDG",JB_RC,"ALT")),0)</f>
        <v/>
      </c>
      <c r="C97" s="31">
        <f>IFERROR(C$90*(SUMIFS(JB_26BV,JB_B,1,JB_EX,"P-5c",JB_CC,"Other Cost",JB_H,"T-AO",JB_RC,"ALT"))/(SUMIFS(JB_26BV,JB_B,1,JB_EX,"P-5c",JB_H,"T-AO",JB_RC,"ALT")),0)</f>
        <v/>
      </c>
      <c r="D97" s="31">
        <f>IFERROR(D$90*(SUMIFS(JB_26BV,JB_B,1,JB_EX,"P-5c",JB_CC,"Other Cost",JB_H,"LPD",JB_RC,"ALT"))/(SUMIFS(JB_26BV,JB_B,1,JB_EX,"P-5c",JB_H,"LPD",JB_RC,"ALT")),0)</f>
        <v/>
      </c>
      <c r="E97" s="31">
        <f>IFERROR(E$90*(SUMIFS(JB_26BV,JB_B,1,JB_EX,"P-5c",JB_CC,"Other Cost",JB_H,"LHA",JB_RC,"ALT"))/(SUMIFS(JB_26BV,JB_B,1,JB_EX,"P-5c",JB_H,"LHA",JB_RC,"ALT")),0)</f>
        <v/>
      </c>
      <c r="F97" s="31">
        <f>IFERROR(F$90*(SUMIFS(JB_26BV,JB_B,1,JB_EX,"P-5c",JB_CC,"Other Cost",JB_H,"T-AGOS",JB_RC,"ALT"))/(SUMIFS(JB_26BV,JB_B,1,JB_EX,"P-5c",JB_H,"T-AGOS",JB_RC,"ALT")),0)</f>
        <v/>
      </c>
      <c r="G97" s="31">
        <f>IFERROR(G$90*(SUMIFS(JB_26BV,JB_B,1,JB_EX,"P-5c",JB_CC,"Other Cost",JB_H,"FFG",JB_RC,"ALT"))/(SUMIFS(JB_26BV,JB_B,1,JB_EX,"P-5c",JB_H,"FFG",JB_RC,"ALT")),0)</f>
        <v/>
      </c>
      <c r="H97" s="31">
        <f>IFERROR(H$90*(SUMIFS(JB_26BV,JB_B,1,JB_EX,"P-5c",JB_CC,"Other Cost",JB_H,"T-ATS",JB_RC,"ALT"))/(SUMIFS(JB_26BV,JB_B,1,JB_EX,"P-5c",JB_H,"T-ATS",JB_RC,"ALT")),0)</f>
        <v/>
      </c>
      <c r="I97" s="45">
        <f>SUM(B97:H97)</f>
        <v/>
      </c>
    </row>
    <row r="98" ht="10" customHeight="1">
      <c r="A98" s="32" t="inlineStr">
        <is>
          <t>Newbuild SAM ($K)</t>
        </is>
      </c>
      <c r="B98" s="44">
        <f>SUM(B91:B97)</f>
        <v/>
      </c>
      <c r="C98" s="33">
        <f>SUM(C91:C97)</f>
        <v/>
      </c>
      <c r="D98" s="33">
        <f>SUM(D91:D97)</f>
        <v/>
      </c>
      <c r="E98" s="33">
        <f>SUM(E91:E97)</f>
        <v/>
      </c>
      <c r="F98" s="33">
        <f>SUM(F91:F97)</f>
        <v/>
      </c>
      <c r="G98" s="33">
        <f>SUM(G91:G97)</f>
        <v/>
      </c>
      <c r="H98" s="33">
        <f>SUM(H91:H97)</f>
        <v/>
      </c>
      <c r="I98" s="44">
        <f>SUM(I91:I97)</f>
        <v/>
      </c>
    </row>
    <row r="99" ht="10" customHeight="1"/>
    <row r="100" ht="10" customHeight="1"/>
    <row r="101" ht="10" customHeight="1">
      <c r="A101" s="27" t="inlineStr">
        <is>
          <t>(F) Newbuild SAM — Cost Category Mix by Hull (Mekko)</t>
        </is>
      </c>
      <c r="B101" s="28" t="n"/>
      <c r="C101" s="28" t="n"/>
      <c r="D101" s="28" t="n"/>
      <c r="E101" s="28" t="n"/>
      <c r="F101" s="28" t="n"/>
      <c r="G101" s="28" t="n"/>
      <c r="H101" s="28" t="n"/>
      <c r="I101" s="28" t="n"/>
    </row>
    <row r="102" ht="10" customHeight="1">
      <c r="A102" s="39" t="n"/>
      <c r="B102" s="40" t="inlineStr">
        <is>
          <t>USN</t>
        </is>
      </c>
      <c r="C102" s="39" t="n"/>
      <c r="D102" s="39" t="n"/>
      <c r="E102" s="39" t="n"/>
      <c r="F102" s="39" t="n"/>
      <c r="G102" s="39" t="n"/>
      <c r="H102" s="39" t="n"/>
      <c r="I102" s="41" t="n"/>
    </row>
    <row r="103" ht="10" customHeight="1">
      <c r="A103" s="29" t="inlineStr">
        <is>
          <t>Cost Category</t>
        </is>
      </c>
      <c r="B103" s="42" t="inlineStr">
        <is>
          <t>DDG</t>
        </is>
      </c>
      <c r="C103" s="29" t="inlineStr">
        <is>
          <t>T-AO</t>
        </is>
      </c>
      <c r="D103" s="29" t="inlineStr">
        <is>
          <t>LPD</t>
        </is>
      </c>
      <c r="E103" s="29" t="inlineStr">
        <is>
          <t>LHA</t>
        </is>
      </c>
      <c r="F103" s="29" t="inlineStr">
        <is>
          <t>T-AGOS</t>
        </is>
      </c>
      <c r="G103" s="29" t="inlineStr">
        <is>
          <t>FFG</t>
        </is>
      </c>
      <c r="H103" s="29" t="inlineStr">
        <is>
          <t>T-ATS</t>
        </is>
      </c>
      <c r="I103" s="42" t="inlineStr">
        <is>
          <t>Total</t>
        </is>
      </c>
    </row>
    <row r="104" ht="10" customHeight="1">
      <c r="A104" s="30" t="inlineStr">
        <is>
          <t>Plan Costs</t>
        </is>
      </c>
      <c r="B104" s="43">
        <f>IFERROR((SUMIFS(JB_26BV,JB_B,1,JB_EX,"P-5c",JB_CC,"Plan Costs",JB_H,"DDG",JB_RC,"ALT"))/(SUMIFS(JB_26BV,JB_B,1,JB_EX,"P-5c",JB_H,"DDG",JB_RC,"ALT")),0)</f>
        <v/>
      </c>
      <c r="C104" s="37">
        <f>IFERROR((SUMIFS(JB_26BV,JB_B,1,JB_EX,"P-5c",JB_CC,"Plan Costs",JB_H,"T-AO",JB_RC,"ALT"))/(SUMIFS(JB_26BV,JB_B,1,JB_EX,"P-5c",JB_H,"T-AO",JB_RC,"ALT")),0)</f>
        <v/>
      </c>
      <c r="D104" s="37">
        <f>IFERROR((SUMIFS(JB_26BV,JB_B,1,JB_EX,"P-5c",JB_CC,"Plan Costs",JB_H,"LPD",JB_RC,"ALT"))/(SUMIFS(JB_26BV,JB_B,1,JB_EX,"P-5c",JB_H,"LPD",JB_RC,"ALT")),0)</f>
        <v/>
      </c>
      <c r="E104" s="37">
        <f>IFERROR((SUMIFS(JB_26BV,JB_B,1,JB_EX,"P-5c",JB_CC,"Plan Costs",JB_H,"LHA",JB_RC,"ALT"))/(SUMIFS(JB_26BV,JB_B,1,JB_EX,"P-5c",JB_H,"LHA",JB_RC,"ALT")),0)</f>
        <v/>
      </c>
      <c r="F104" s="37">
        <f>IFERROR((SUMIFS(JB_26BV,JB_B,1,JB_EX,"P-5c",JB_CC,"Plan Costs",JB_H,"T-AGOS",JB_RC,"ALT"))/(SUMIFS(JB_26BV,JB_B,1,JB_EX,"P-5c",JB_H,"T-AGOS",JB_RC,"ALT")),0)</f>
        <v/>
      </c>
      <c r="G104" s="37">
        <f>IFERROR((SUMIFS(JB_26BV,JB_B,1,JB_EX,"P-5c",JB_CC,"Plan Costs",JB_H,"FFG",JB_RC,"ALT"))/(SUMIFS(JB_26BV,JB_B,1,JB_EX,"P-5c",JB_H,"FFG",JB_RC,"ALT")),0)</f>
        <v/>
      </c>
      <c r="H104" s="37">
        <f>IFERROR((SUMIFS(JB_26BV,JB_B,1,JB_EX,"P-5c",JB_CC,"Plan Costs",JB_H,"T-ATS",JB_RC,"ALT"))/(SUMIFS(JB_26BV,JB_B,1,JB_EX,"P-5c",JB_H,"T-ATS",JB_RC,"ALT")),0)</f>
        <v/>
      </c>
      <c r="I104" s="43">
        <f>IFERROR(SUMPRODUCT(B104:H104,B$111:H$111)/I$111,0)</f>
        <v/>
      </c>
    </row>
    <row r="105" ht="10" customHeight="1">
      <c r="A105" s="30" t="inlineStr">
        <is>
          <t>Basic Construction</t>
        </is>
      </c>
      <c r="B105" s="43">
        <f>IFERROR((SUMIFS(JB_26BV,JB_B,1,JB_EX,"P-5c",JB_CC,"Basic Construction",JB_H,"DDG",JB_RC,"ALT"))/(SUMIFS(JB_26BV,JB_B,1,JB_EX,"P-5c",JB_H,"DDG",JB_RC,"ALT")),0)</f>
        <v/>
      </c>
      <c r="C105" s="37">
        <f>IFERROR((SUMIFS(JB_26BV,JB_B,1,JB_EX,"P-5c",JB_CC,"Basic Construction",JB_H,"T-AO",JB_RC,"ALT"))/(SUMIFS(JB_26BV,JB_B,1,JB_EX,"P-5c",JB_H,"T-AO",JB_RC,"ALT")),0)</f>
        <v/>
      </c>
      <c r="D105" s="37">
        <f>IFERROR((SUMIFS(JB_26BV,JB_B,1,JB_EX,"P-5c",JB_CC,"Basic Construction",JB_H,"LPD",JB_RC,"ALT"))/(SUMIFS(JB_26BV,JB_B,1,JB_EX,"P-5c",JB_H,"LPD",JB_RC,"ALT")),0)</f>
        <v/>
      </c>
      <c r="E105" s="37">
        <f>IFERROR((SUMIFS(JB_26BV,JB_B,1,JB_EX,"P-5c",JB_CC,"Basic Construction",JB_H,"LHA",JB_RC,"ALT"))/(SUMIFS(JB_26BV,JB_B,1,JB_EX,"P-5c",JB_H,"LHA",JB_RC,"ALT")),0)</f>
        <v/>
      </c>
      <c r="F105" s="37">
        <f>IFERROR((SUMIFS(JB_26BV,JB_B,1,JB_EX,"P-5c",JB_CC,"Basic Construction",JB_H,"T-AGOS",JB_RC,"ALT"))/(SUMIFS(JB_26BV,JB_B,1,JB_EX,"P-5c",JB_H,"T-AGOS",JB_RC,"ALT")),0)</f>
        <v/>
      </c>
      <c r="G105" s="37">
        <f>IFERROR((SUMIFS(JB_26BV,JB_B,1,JB_EX,"P-5c",JB_CC,"Basic Construction",JB_H,"FFG",JB_RC,"ALT"))/(SUMIFS(JB_26BV,JB_B,1,JB_EX,"P-5c",JB_H,"FFG",JB_RC,"ALT")),0)</f>
        <v/>
      </c>
      <c r="H105" s="37">
        <f>IFERROR((SUMIFS(JB_26BV,JB_B,1,JB_EX,"P-5c",JB_CC,"Basic Construction",JB_H,"T-ATS",JB_RC,"ALT"))/(SUMIFS(JB_26BV,JB_B,1,JB_EX,"P-5c",JB_H,"T-ATS",JB_RC,"ALT")),0)</f>
        <v/>
      </c>
      <c r="I105" s="43">
        <f>IFERROR(SUMPRODUCT(B105:H105,B$111:H$111)/I$111,0)</f>
        <v/>
      </c>
    </row>
    <row r="106" ht="10" customHeight="1">
      <c r="A106" s="30" t="inlineStr">
        <is>
          <t>Change Orders</t>
        </is>
      </c>
      <c r="B106" s="43">
        <f>IFERROR((SUMIFS(JB_26BV,JB_B,1,JB_EX,"P-5c",JB_CC,"Change Orders",JB_H,"DDG",JB_RC,"ALT"))/(SUMIFS(JB_26BV,JB_B,1,JB_EX,"P-5c",JB_H,"DDG",JB_RC,"ALT")),0)</f>
        <v/>
      </c>
      <c r="C106" s="37">
        <f>IFERROR((SUMIFS(JB_26BV,JB_B,1,JB_EX,"P-5c",JB_CC,"Change Orders",JB_H,"T-AO",JB_RC,"ALT"))/(SUMIFS(JB_26BV,JB_B,1,JB_EX,"P-5c",JB_H,"T-AO",JB_RC,"ALT")),0)</f>
        <v/>
      </c>
      <c r="D106" s="37">
        <f>IFERROR((SUMIFS(JB_26BV,JB_B,1,JB_EX,"P-5c",JB_CC,"Change Orders",JB_H,"LPD",JB_RC,"ALT"))/(SUMIFS(JB_26BV,JB_B,1,JB_EX,"P-5c",JB_H,"LPD",JB_RC,"ALT")),0)</f>
        <v/>
      </c>
      <c r="E106" s="37">
        <f>IFERROR((SUMIFS(JB_26BV,JB_B,1,JB_EX,"P-5c",JB_CC,"Change Orders",JB_H,"LHA",JB_RC,"ALT"))/(SUMIFS(JB_26BV,JB_B,1,JB_EX,"P-5c",JB_H,"LHA",JB_RC,"ALT")),0)</f>
        <v/>
      </c>
      <c r="F106" s="37">
        <f>IFERROR((SUMIFS(JB_26BV,JB_B,1,JB_EX,"P-5c",JB_CC,"Change Orders",JB_H,"T-AGOS",JB_RC,"ALT"))/(SUMIFS(JB_26BV,JB_B,1,JB_EX,"P-5c",JB_H,"T-AGOS",JB_RC,"ALT")),0)</f>
        <v/>
      </c>
      <c r="G106" s="37">
        <f>IFERROR((SUMIFS(JB_26BV,JB_B,1,JB_EX,"P-5c",JB_CC,"Change Orders",JB_H,"FFG",JB_RC,"ALT"))/(SUMIFS(JB_26BV,JB_B,1,JB_EX,"P-5c",JB_H,"FFG",JB_RC,"ALT")),0)</f>
        <v/>
      </c>
      <c r="H106" s="37">
        <f>IFERROR((SUMIFS(JB_26BV,JB_B,1,JB_EX,"P-5c",JB_CC,"Change Orders",JB_H,"T-ATS",JB_RC,"ALT"))/(SUMIFS(JB_26BV,JB_B,1,JB_EX,"P-5c",JB_H,"T-ATS",JB_RC,"ALT")),0)</f>
        <v/>
      </c>
      <c r="I106" s="43">
        <f>IFERROR(SUMPRODUCT(B106:H106,B$111:H$111)/I$111,0)</f>
        <v/>
      </c>
    </row>
    <row r="107" ht="10" customHeight="1">
      <c r="A107" s="30" t="inlineStr">
        <is>
          <t>Electronics</t>
        </is>
      </c>
      <c r="B107" s="43">
        <f>IFERROR((SUMIFS(JB_26BV,JB_B,1,JB_EX,"P-5c",JB_CC,"Electronics",JB_H,"DDG",JB_RC,"ALT"))/(SUMIFS(JB_26BV,JB_B,1,JB_EX,"P-5c",JB_H,"DDG",JB_RC,"ALT")),0)</f>
        <v/>
      </c>
      <c r="C107" s="37">
        <f>IFERROR((SUMIFS(JB_26BV,JB_B,1,JB_EX,"P-5c",JB_CC,"Electronics",JB_H,"T-AO",JB_RC,"ALT"))/(SUMIFS(JB_26BV,JB_B,1,JB_EX,"P-5c",JB_H,"T-AO",JB_RC,"ALT")),0)</f>
        <v/>
      </c>
      <c r="D107" s="37">
        <f>IFERROR((SUMIFS(JB_26BV,JB_B,1,JB_EX,"P-5c",JB_CC,"Electronics",JB_H,"LPD",JB_RC,"ALT"))/(SUMIFS(JB_26BV,JB_B,1,JB_EX,"P-5c",JB_H,"LPD",JB_RC,"ALT")),0)</f>
        <v/>
      </c>
      <c r="E107" s="37">
        <f>IFERROR((SUMIFS(JB_26BV,JB_B,1,JB_EX,"P-5c",JB_CC,"Electronics",JB_H,"LHA",JB_RC,"ALT"))/(SUMIFS(JB_26BV,JB_B,1,JB_EX,"P-5c",JB_H,"LHA",JB_RC,"ALT")),0)</f>
        <v/>
      </c>
      <c r="F107" s="37">
        <f>IFERROR((SUMIFS(JB_26BV,JB_B,1,JB_EX,"P-5c",JB_CC,"Electronics",JB_H,"T-AGOS",JB_RC,"ALT"))/(SUMIFS(JB_26BV,JB_B,1,JB_EX,"P-5c",JB_H,"T-AGOS",JB_RC,"ALT")),0)</f>
        <v/>
      </c>
      <c r="G107" s="37">
        <f>IFERROR((SUMIFS(JB_26BV,JB_B,1,JB_EX,"P-5c",JB_CC,"Electronics",JB_H,"FFG",JB_RC,"ALT"))/(SUMIFS(JB_26BV,JB_B,1,JB_EX,"P-5c",JB_H,"FFG",JB_RC,"ALT")),0)</f>
        <v/>
      </c>
      <c r="H107" s="37">
        <f>IFERROR((SUMIFS(JB_26BV,JB_B,1,JB_EX,"P-5c",JB_CC,"Electronics",JB_H,"T-ATS",JB_RC,"ALT"))/(SUMIFS(JB_26BV,JB_B,1,JB_EX,"P-5c",JB_H,"T-ATS",JB_RC,"ALT")),0)</f>
        <v/>
      </c>
      <c r="I107" s="43">
        <f>IFERROR(SUMPRODUCT(B107:H107,B$111:H$111)/I$111,0)</f>
        <v/>
      </c>
    </row>
    <row r="108" ht="10" customHeight="1">
      <c r="A108" s="30" t="inlineStr">
        <is>
          <t>Hull, Mechanical, and Electrical</t>
        </is>
      </c>
      <c r="B108" s="43">
        <f>IFERROR((SUMIFS(JB_26BV,JB_B,1,JB_EX,"P-5c",JB_CC,"Hull, Mechanical, and Electrical",JB_H,"DDG",JB_RC,"ALT"))/(SUMIFS(JB_26BV,JB_B,1,JB_EX,"P-5c",JB_H,"DDG",JB_RC,"ALT")),0)</f>
        <v/>
      </c>
      <c r="C108" s="37">
        <f>IFERROR((SUMIFS(JB_26BV,JB_B,1,JB_EX,"P-5c",JB_CC,"Hull, Mechanical, and Electrical",JB_H,"T-AO",JB_RC,"ALT"))/(SUMIFS(JB_26BV,JB_B,1,JB_EX,"P-5c",JB_H,"T-AO",JB_RC,"ALT")),0)</f>
        <v/>
      </c>
      <c r="D108" s="37">
        <f>IFERROR((SUMIFS(JB_26BV,JB_B,1,JB_EX,"P-5c",JB_CC,"Hull, Mechanical, and Electrical",JB_H,"LPD",JB_RC,"ALT"))/(SUMIFS(JB_26BV,JB_B,1,JB_EX,"P-5c",JB_H,"LPD",JB_RC,"ALT")),0)</f>
        <v/>
      </c>
      <c r="E108" s="37">
        <f>IFERROR((SUMIFS(JB_26BV,JB_B,1,JB_EX,"P-5c",JB_CC,"Hull, Mechanical, and Electrical",JB_H,"LHA",JB_RC,"ALT"))/(SUMIFS(JB_26BV,JB_B,1,JB_EX,"P-5c",JB_H,"LHA",JB_RC,"ALT")),0)</f>
        <v/>
      </c>
      <c r="F108" s="37">
        <f>IFERROR((SUMIFS(JB_26BV,JB_B,1,JB_EX,"P-5c",JB_CC,"Hull, Mechanical, and Electrical",JB_H,"T-AGOS",JB_RC,"ALT"))/(SUMIFS(JB_26BV,JB_B,1,JB_EX,"P-5c",JB_H,"T-AGOS",JB_RC,"ALT")),0)</f>
        <v/>
      </c>
      <c r="G108" s="37">
        <f>IFERROR((SUMIFS(JB_26BV,JB_B,1,JB_EX,"P-5c",JB_CC,"Hull, Mechanical, and Electrical",JB_H,"FFG",JB_RC,"ALT"))/(SUMIFS(JB_26BV,JB_B,1,JB_EX,"P-5c",JB_H,"FFG",JB_RC,"ALT")),0)</f>
        <v/>
      </c>
      <c r="H108" s="37">
        <f>IFERROR((SUMIFS(JB_26BV,JB_B,1,JB_EX,"P-5c",JB_CC,"Hull, Mechanical, and Electrical",JB_H,"T-ATS",JB_RC,"ALT"))/(SUMIFS(JB_26BV,JB_B,1,JB_EX,"P-5c",JB_H,"T-ATS",JB_RC,"ALT")),0)</f>
        <v/>
      </c>
      <c r="I108" s="43">
        <f>IFERROR(SUMPRODUCT(B108:H108,B$111:H$111)/I$111,0)</f>
        <v/>
      </c>
    </row>
    <row r="109" ht="10" customHeight="1">
      <c r="A109" s="30" t="inlineStr">
        <is>
          <t>Ordnance</t>
        </is>
      </c>
      <c r="B109" s="43">
        <f>IFERROR((SUMIFS(JB_26BV,JB_B,1,JB_EX,"P-5c",JB_CC,"Ordnance",JB_H,"DDG",JB_RC,"ALT"))/(SUMIFS(JB_26BV,JB_B,1,JB_EX,"P-5c",JB_H,"DDG",JB_RC,"ALT")),0)</f>
        <v/>
      </c>
      <c r="C109" s="37">
        <f>IFERROR((SUMIFS(JB_26BV,JB_B,1,JB_EX,"P-5c",JB_CC,"Ordnance",JB_H,"T-AO",JB_RC,"ALT"))/(SUMIFS(JB_26BV,JB_B,1,JB_EX,"P-5c",JB_H,"T-AO",JB_RC,"ALT")),0)</f>
        <v/>
      </c>
      <c r="D109" s="37">
        <f>IFERROR((SUMIFS(JB_26BV,JB_B,1,JB_EX,"P-5c",JB_CC,"Ordnance",JB_H,"LPD",JB_RC,"ALT"))/(SUMIFS(JB_26BV,JB_B,1,JB_EX,"P-5c",JB_H,"LPD",JB_RC,"ALT")),0)</f>
        <v/>
      </c>
      <c r="E109" s="37">
        <f>IFERROR((SUMIFS(JB_26BV,JB_B,1,JB_EX,"P-5c",JB_CC,"Ordnance",JB_H,"LHA",JB_RC,"ALT"))/(SUMIFS(JB_26BV,JB_B,1,JB_EX,"P-5c",JB_H,"LHA",JB_RC,"ALT")),0)</f>
        <v/>
      </c>
      <c r="F109" s="37">
        <f>IFERROR((SUMIFS(JB_26BV,JB_B,1,JB_EX,"P-5c",JB_CC,"Ordnance",JB_H,"T-AGOS",JB_RC,"ALT"))/(SUMIFS(JB_26BV,JB_B,1,JB_EX,"P-5c",JB_H,"T-AGOS",JB_RC,"ALT")),0)</f>
        <v/>
      </c>
      <c r="G109" s="37">
        <f>IFERROR((SUMIFS(JB_26BV,JB_B,1,JB_EX,"P-5c",JB_CC,"Ordnance",JB_H,"FFG",JB_RC,"ALT"))/(SUMIFS(JB_26BV,JB_B,1,JB_EX,"P-5c",JB_H,"FFG",JB_RC,"ALT")),0)</f>
        <v/>
      </c>
      <c r="H109" s="37">
        <f>IFERROR((SUMIFS(JB_26BV,JB_B,1,JB_EX,"P-5c",JB_CC,"Ordnance",JB_H,"T-ATS",JB_RC,"ALT"))/(SUMIFS(JB_26BV,JB_B,1,JB_EX,"P-5c",JB_H,"T-ATS",JB_RC,"ALT")),0)</f>
        <v/>
      </c>
      <c r="I109" s="43">
        <f>IFERROR(SUMPRODUCT(B109:H109,B$111:H$111)/I$111,0)</f>
        <v/>
      </c>
    </row>
    <row r="110" ht="10" customHeight="1">
      <c r="A110" s="30" t="inlineStr">
        <is>
          <t>Other Cost</t>
        </is>
      </c>
      <c r="B110" s="43">
        <f>IFERROR((SUMIFS(JB_26BV,JB_B,1,JB_EX,"P-5c",JB_CC,"Other Cost",JB_H,"DDG",JB_RC,"ALT"))/(SUMIFS(JB_26BV,JB_B,1,JB_EX,"P-5c",JB_H,"DDG",JB_RC,"ALT")),0)</f>
        <v/>
      </c>
      <c r="C110" s="37">
        <f>IFERROR((SUMIFS(JB_26BV,JB_B,1,JB_EX,"P-5c",JB_CC,"Other Cost",JB_H,"T-AO",JB_RC,"ALT"))/(SUMIFS(JB_26BV,JB_B,1,JB_EX,"P-5c",JB_H,"T-AO",JB_RC,"ALT")),0)</f>
        <v/>
      </c>
      <c r="D110" s="37">
        <f>IFERROR((SUMIFS(JB_26BV,JB_B,1,JB_EX,"P-5c",JB_CC,"Other Cost",JB_H,"LPD",JB_RC,"ALT"))/(SUMIFS(JB_26BV,JB_B,1,JB_EX,"P-5c",JB_H,"LPD",JB_RC,"ALT")),0)</f>
        <v/>
      </c>
      <c r="E110" s="37">
        <f>IFERROR((SUMIFS(JB_26BV,JB_B,1,JB_EX,"P-5c",JB_CC,"Other Cost",JB_H,"LHA",JB_RC,"ALT"))/(SUMIFS(JB_26BV,JB_B,1,JB_EX,"P-5c",JB_H,"LHA",JB_RC,"ALT")),0)</f>
        <v/>
      </c>
      <c r="F110" s="37">
        <f>IFERROR((SUMIFS(JB_26BV,JB_B,1,JB_EX,"P-5c",JB_CC,"Other Cost",JB_H,"T-AGOS",JB_RC,"ALT"))/(SUMIFS(JB_26BV,JB_B,1,JB_EX,"P-5c",JB_H,"T-AGOS",JB_RC,"ALT")),0)</f>
        <v/>
      </c>
      <c r="G110" s="37">
        <f>IFERROR((SUMIFS(JB_26BV,JB_B,1,JB_EX,"P-5c",JB_CC,"Other Cost",JB_H,"FFG",JB_RC,"ALT"))/(SUMIFS(JB_26BV,JB_B,1,JB_EX,"P-5c",JB_H,"FFG",JB_RC,"ALT")),0)</f>
        <v/>
      </c>
      <c r="H110" s="37">
        <f>IFERROR((SUMIFS(JB_26BV,JB_B,1,JB_EX,"P-5c",JB_CC,"Other Cost",JB_H,"T-ATS",JB_RC,"ALT"))/(SUMIFS(JB_26BV,JB_B,1,JB_EX,"P-5c",JB_H,"T-ATS",JB_RC,"ALT")),0)</f>
        <v/>
      </c>
      <c r="I110" s="43">
        <f>IFERROR(SUMPRODUCT(B110:H110,B$111:H$111)/I$111,0)</f>
        <v/>
      </c>
    </row>
    <row r="111" ht="10" customHeight="1">
      <c r="A111" s="32" t="inlineStr">
        <is>
          <t>Total ($K)</t>
        </is>
      </c>
      <c r="B111" s="44">
        <f>SUMIFS(JB_26BV,JB_B,1,JB_H,"DDG",JB_RC,"ADD")</f>
        <v/>
      </c>
      <c r="C111" s="33">
        <f>SUMIFS(JB_26BV,JB_B,1,JB_H,"T-AO",JB_RC,"ADD")</f>
        <v/>
      </c>
      <c r="D111" s="33">
        <f>SUMIFS(JB_26BV,JB_B,1,JB_H,"LPD",JB_RC,"ADD")</f>
        <v/>
      </c>
      <c r="E111" s="33">
        <f>SUMIFS(JB_26BV,JB_B,1,JB_H,"LHA",JB_RC,"ADD")</f>
        <v/>
      </c>
      <c r="F111" s="33">
        <f>SUMIFS(JB_26BV,JB_B,1,JB_H,"T-AGOS",JB_RC,"ADD")</f>
        <v/>
      </c>
      <c r="G111" s="33">
        <f>SUMIFS(JB_26BV,JB_B,1,JB_H,"FFG",JB_RC,"ADD")</f>
        <v/>
      </c>
      <c r="H111" s="33">
        <f>SUMIFS(JB_26BV,JB_B,1,JB_H,"T-ATS",JB_RC,"ADD")</f>
        <v/>
      </c>
      <c r="I111" s="44">
        <f>SUM(B111:H111)</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J242"/>
  <sheetViews>
    <sheetView showGridLines="0" workbookViewId="0">
      <selection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10" customHeight="1">
      <c r="A1" s="24" t="inlineStr">
        <is>
          <t>Newbuild SAM Cost Detail — FY2026 ($K)</t>
        </is>
      </c>
      <c r="B1" s="25" t="n"/>
      <c r="C1" s="25" t="n"/>
      <c r="D1" s="25" t="n"/>
      <c r="E1" s="25" t="n"/>
      <c r="F1" s="25" t="n"/>
      <c r="G1" s="25" t="n"/>
      <c r="H1" s="25" t="n"/>
      <c r="I1" s="25" t="n"/>
      <c r="J1" s="25" t="n"/>
    </row>
    <row r="2" ht="10" customHeight="1">
      <c r="A2" s="26" t="inlineStr">
        <is>
          <t>Gross ship-cost breakdown from P-5c and P-8a exhibits by hull program. NOT net budget authority — see Newbuild SAM for reconciled values.</t>
        </is>
      </c>
    </row>
    <row r="3" ht="10" customHeight="1"/>
    <row r="4" ht="10" customHeight="1">
      <c r="A4" s="27" t="inlineStr">
        <is>
          <t>(A) P-5c Total Ship Cost by Hull &amp; Cost Category — FY2026 ($K)</t>
        </is>
      </c>
      <c r="B4" s="28" t="n"/>
      <c r="C4" s="28" t="n"/>
      <c r="D4" s="28" t="n"/>
      <c r="E4" s="28" t="n"/>
      <c r="F4" s="28" t="n"/>
      <c r="G4" s="28" t="n"/>
      <c r="H4" s="28" t="n"/>
      <c r="I4" s="28" t="n"/>
      <c r="J4" s="28" t="n"/>
    </row>
    <row r="5" ht="10" customHeight="1">
      <c r="A5" s="39" t="n"/>
      <c r="B5" s="40" t="inlineStr">
        <is>
          <t>USN</t>
        </is>
      </c>
      <c r="C5" s="39" t="n"/>
      <c r="D5" s="39" t="n"/>
      <c r="E5" s="39" t="n"/>
      <c r="F5" s="39" t="n"/>
      <c r="G5" s="39" t="n"/>
      <c r="H5" s="39" t="n"/>
      <c r="I5" s="39" t="n"/>
      <c r="J5" s="41" t="n"/>
    </row>
    <row r="6" ht="10" customHeight="1">
      <c r="A6" s="29" t="inlineStr">
        <is>
          <t>Cost Category</t>
        </is>
      </c>
      <c r="B6" s="42" t="inlineStr">
        <is>
          <t>DDG</t>
        </is>
      </c>
      <c r="C6" s="29" t="inlineStr">
        <is>
          <t>FFG</t>
        </is>
      </c>
      <c r="D6" s="29" t="inlineStr">
        <is>
          <t>LPD</t>
        </is>
      </c>
      <c r="E6" s="29" t="inlineStr">
        <is>
          <t>LHA</t>
        </is>
      </c>
      <c r="F6" s="29" t="inlineStr">
        <is>
          <t>T-AGOS</t>
        </is>
      </c>
      <c r="G6" s="29" t="inlineStr">
        <is>
          <t>T-EPF</t>
        </is>
      </c>
      <c r="H6" s="29" t="inlineStr">
        <is>
          <t>T-AO</t>
        </is>
      </c>
      <c r="I6" s="29" t="inlineStr">
        <is>
          <t>T-ATS</t>
        </is>
      </c>
      <c r="J6" s="42" t="inlineStr">
        <is>
          <t>Total</t>
        </is>
      </c>
    </row>
    <row r="7" ht="10" customHeight="1">
      <c r="A7" s="30" t="inlineStr">
        <is>
          <t>Plan Costs</t>
        </is>
      </c>
      <c r="B7" s="45">
        <f>SUMIFS(JB_26BV,JB_B,1,JB_EX,"P-5c",JB_CC,"Plan Costs",JB_H,"DDG",JB_RC,"ALT")</f>
        <v/>
      </c>
      <c r="C7" s="31">
        <f>SUMIFS(JB_26BV,JB_B,1,JB_EX,"P-5c",JB_CC,"Plan Costs",JB_H,"FFG",JB_RC,"ALT")</f>
        <v/>
      </c>
      <c r="D7" s="31">
        <f>SUMIFS(JB_26BV,JB_B,1,JB_EX,"P-5c",JB_CC,"Plan Costs",JB_H,"LPD",JB_RC,"ALT")</f>
        <v/>
      </c>
      <c r="E7" s="31">
        <f>SUMIFS(JB_26BV,JB_B,1,JB_EX,"P-5c",JB_CC,"Plan Costs",JB_H,"LHA",JB_RC,"ALT")</f>
        <v/>
      </c>
      <c r="F7" s="31">
        <f>SUMIFS(JB_26BV,JB_B,1,JB_EX,"P-5c",JB_CC,"Plan Costs",JB_H,"T-AGOS",JB_RC,"ALT")</f>
        <v/>
      </c>
      <c r="G7" s="31">
        <f>SUMIFS(JB_26BV,JB_B,1,JB_EX,"P-5c",JB_CC,"Plan Costs",JB_H,"T-EPF",JB_RC,"ALT")</f>
        <v/>
      </c>
      <c r="H7" s="31">
        <f>SUMIFS(JB_26BV,JB_B,1,JB_EX,"P-5c",JB_CC,"Plan Costs",JB_H,"T-AO",JB_RC,"ALT")</f>
        <v/>
      </c>
      <c r="I7" s="31">
        <f>SUMIFS(JB_26BV,JB_B,1,JB_EX,"P-5c",JB_CC,"Plan Costs",JB_H,"T-ATS",JB_RC,"ALT")</f>
        <v/>
      </c>
      <c r="J7" s="45">
        <f>SUM(B7:I7)</f>
        <v/>
      </c>
    </row>
    <row r="8" ht="10" customHeight="1">
      <c r="A8" s="30" t="inlineStr">
        <is>
          <t>Basic Construction</t>
        </is>
      </c>
      <c r="B8" s="45">
        <f>SUMIFS(JB_26BV,JB_B,1,JB_EX,"P-5c",JB_CC,"Basic Construction",JB_H,"DDG",JB_RC,"ALT")</f>
        <v/>
      </c>
      <c r="C8" s="31">
        <f>SUMIFS(JB_26BV,JB_B,1,JB_EX,"P-5c",JB_CC,"Basic Construction",JB_H,"FFG",JB_RC,"ALT")</f>
        <v/>
      </c>
      <c r="D8" s="31">
        <f>SUMIFS(JB_26BV,JB_B,1,JB_EX,"P-5c",JB_CC,"Basic Construction",JB_H,"LPD",JB_RC,"ALT")</f>
        <v/>
      </c>
      <c r="E8" s="31">
        <f>SUMIFS(JB_26BV,JB_B,1,JB_EX,"P-5c",JB_CC,"Basic Construction",JB_H,"LHA",JB_RC,"ALT")</f>
        <v/>
      </c>
      <c r="F8" s="31">
        <f>SUMIFS(JB_26BV,JB_B,1,JB_EX,"P-5c",JB_CC,"Basic Construction",JB_H,"T-AGOS",JB_RC,"ALT")</f>
        <v/>
      </c>
      <c r="G8" s="31">
        <f>SUMIFS(JB_26BV,JB_B,1,JB_EX,"P-5c",JB_CC,"Basic Construction",JB_H,"T-EPF",JB_RC,"ALT")</f>
        <v/>
      </c>
      <c r="H8" s="31">
        <f>SUMIFS(JB_26BV,JB_B,1,JB_EX,"P-5c",JB_CC,"Basic Construction",JB_H,"T-AO",JB_RC,"ALT")</f>
        <v/>
      </c>
      <c r="I8" s="31">
        <f>SUMIFS(JB_26BV,JB_B,1,JB_EX,"P-5c",JB_CC,"Basic Construction",JB_H,"T-ATS",JB_RC,"ALT")</f>
        <v/>
      </c>
      <c r="J8" s="45">
        <f>SUM(B8:I8)</f>
        <v/>
      </c>
    </row>
    <row r="9" ht="10" customHeight="1">
      <c r="A9" s="30" t="inlineStr">
        <is>
          <t>Change Orders</t>
        </is>
      </c>
      <c r="B9" s="45">
        <f>SUMIFS(JB_26BV,JB_B,1,JB_EX,"P-5c",JB_CC,"Change Orders",JB_H,"DDG",JB_RC,"ALT")</f>
        <v/>
      </c>
      <c r="C9" s="31">
        <f>SUMIFS(JB_26BV,JB_B,1,JB_EX,"P-5c",JB_CC,"Change Orders",JB_H,"FFG",JB_RC,"ALT")</f>
        <v/>
      </c>
      <c r="D9" s="31">
        <f>SUMIFS(JB_26BV,JB_B,1,JB_EX,"P-5c",JB_CC,"Change Orders",JB_H,"LPD",JB_RC,"ALT")</f>
        <v/>
      </c>
      <c r="E9" s="31">
        <f>SUMIFS(JB_26BV,JB_B,1,JB_EX,"P-5c",JB_CC,"Change Orders",JB_H,"LHA",JB_RC,"ALT")</f>
        <v/>
      </c>
      <c r="F9" s="31">
        <f>SUMIFS(JB_26BV,JB_B,1,JB_EX,"P-5c",JB_CC,"Change Orders",JB_H,"T-AGOS",JB_RC,"ALT")</f>
        <v/>
      </c>
      <c r="G9" s="31">
        <f>SUMIFS(JB_26BV,JB_B,1,JB_EX,"P-5c",JB_CC,"Change Orders",JB_H,"T-EPF",JB_RC,"ALT")</f>
        <v/>
      </c>
      <c r="H9" s="31">
        <f>SUMIFS(JB_26BV,JB_B,1,JB_EX,"P-5c",JB_CC,"Change Orders",JB_H,"T-AO",JB_RC,"ALT")</f>
        <v/>
      </c>
      <c r="I9" s="31">
        <f>SUMIFS(JB_26BV,JB_B,1,JB_EX,"P-5c",JB_CC,"Change Orders",JB_H,"T-ATS",JB_RC,"ALT")</f>
        <v/>
      </c>
      <c r="J9" s="45">
        <f>SUM(B9:I9)</f>
        <v/>
      </c>
    </row>
    <row r="10" ht="10" customHeight="1">
      <c r="A10" s="30" t="inlineStr">
        <is>
          <t>Electronics</t>
        </is>
      </c>
      <c r="B10" s="45">
        <f>SUMIFS(JB_26BV,JB_B,1,JB_EX,"P-5c",JB_CC,"Electronics",JB_H,"DDG",JB_RC,"ALT")</f>
        <v/>
      </c>
      <c r="C10" s="31">
        <f>SUMIFS(JB_26BV,JB_B,1,JB_EX,"P-5c",JB_CC,"Electronics",JB_H,"FFG",JB_RC,"ALT")</f>
        <v/>
      </c>
      <c r="D10" s="31">
        <f>SUMIFS(JB_26BV,JB_B,1,JB_EX,"P-5c",JB_CC,"Electronics",JB_H,"LPD",JB_RC,"ALT")</f>
        <v/>
      </c>
      <c r="E10" s="31">
        <f>SUMIFS(JB_26BV,JB_B,1,JB_EX,"P-5c",JB_CC,"Electronics",JB_H,"LHA",JB_RC,"ALT")</f>
        <v/>
      </c>
      <c r="F10" s="31">
        <f>SUMIFS(JB_26BV,JB_B,1,JB_EX,"P-5c",JB_CC,"Electronics",JB_H,"T-AGOS",JB_RC,"ALT")</f>
        <v/>
      </c>
      <c r="G10" s="31">
        <f>SUMIFS(JB_26BV,JB_B,1,JB_EX,"P-5c",JB_CC,"Electronics",JB_H,"T-EPF",JB_RC,"ALT")</f>
        <v/>
      </c>
      <c r="H10" s="31">
        <f>SUMIFS(JB_26BV,JB_B,1,JB_EX,"P-5c",JB_CC,"Electronics",JB_H,"T-AO",JB_RC,"ALT")</f>
        <v/>
      </c>
      <c r="I10" s="31">
        <f>SUMIFS(JB_26BV,JB_B,1,JB_EX,"P-5c",JB_CC,"Electronics",JB_H,"T-ATS",JB_RC,"ALT")</f>
        <v/>
      </c>
      <c r="J10" s="45">
        <f>SUM(B10:I10)</f>
        <v/>
      </c>
    </row>
    <row r="11" ht="10" customHeight="1">
      <c r="A11" s="30" t="inlineStr">
        <is>
          <t>Hull, Mechanical, and Electrical</t>
        </is>
      </c>
      <c r="B11" s="45">
        <f>SUMIFS(JB_26BV,JB_B,1,JB_EX,"P-5c",JB_CC,"Hull, Mechanical, and Electrical",JB_H,"DDG",JB_RC,"ALT")</f>
        <v/>
      </c>
      <c r="C11" s="31">
        <f>SUMIFS(JB_26BV,JB_B,1,JB_EX,"P-5c",JB_CC,"Hull, Mechanical, and Electrical",JB_H,"FFG",JB_RC,"ALT")</f>
        <v/>
      </c>
      <c r="D11" s="31">
        <f>SUMIFS(JB_26BV,JB_B,1,JB_EX,"P-5c",JB_CC,"Hull, Mechanical, and Electrical",JB_H,"LPD",JB_RC,"ALT")</f>
        <v/>
      </c>
      <c r="E11" s="31">
        <f>SUMIFS(JB_26BV,JB_B,1,JB_EX,"P-5c",JB_CC,"Hull, Mechanical, and Electrical",JB_H,"LHA",JB_RC,"ALT")</f>
        <v/>
      </c>
      <c r="F11" s="31">
        <f>SUMIFS(JB_26BV,JB_B,1,JB_EX,"P-5c",JB_CC,"Hull, Mechanical, and Electrical",JB_H,"T-AGOS",JB_RC,"ALT")</f>
        <v/>
      </c>
      <c r="G11" s="31">
        <f>SUMIFS(JB_26BV,JB_B,1,JB_EX,"P-5c",JB_CC,"Hull, Mechanical, and Electrical",JB_H,"T-EPF",JB_RC,"ALT")</f>
        <v/>
      </c>
      <c r="H11" s="31">
        <f>SUMIFS(JB_26BV,JB_B,1,JB_EX,"P-5c",JB_CC,"Hull, Mechanical, and Electrical",JB_H,"T-AO",JB_RC,"ALT")</f>
        <v/>
      </c>
      <c r="I11" s="31">
        <f>SUMIFS(JB_26BV,JB_B,1,JB_EX,"P-5c",JB_CC,"Hull, Mechanical, and Electrical",JB_H,"T-ATS",JB_RC,"ALT")</f>
        <v/>
      </c>
      <c r="J11" s="45">
        <f>SUM(B11:I11)</f>
        <v/>
      </c>
    </row>
    <row r="12" ht="10" customHeight="1">
      <c r="A12" s="30" t="inlineStr">
        <is>
          <t>Ordnance</t>
        </is>
      </c>
      <c r="B12" s="45">
        <f>SUMIFS(JB_26BV,JB_B,1,JB_EX,"P-5c",JB_CC,"Ordnance",JB_H,"DDG",JB_RC,"ALT")</f>
        <v/>
      </c>
      <c r="C12" s="31">
        <f>SUMIFS(JB_26BV,JB_B,1,JB_EX,"P-5c",JB_CC,"Ordnance",JB_H,"FFG",JB_RC,"ALT")</f>
        <v/>
      </c>
      <c r="D12" s="31">
        <f>SUMIFS(JB_26BV,JB_B,1,JB_EX,"P-5c",JB_CC,"Ordnance",JB_H,"LPD",JB_RC,"ALT")</f>
        <v/>
      </c>
      <c r="E12" s="31">
        <f>SUMIFS(JB_26BV,JB_B,1,JB_EX,"P-5c",JB_CC,"Ordnance",JB_H,"LHA",JB_RC,"ALT")</f>
        <v/>
      </c>
      <c r="F12" s="31">
        <f>SUMIFS(JB_26BV,JB_B,1,JB_EX,"P-5c",JB_CC,"Ordnance",JB_H,"T-AGOS",JB_RC,"ALT")</f>
        <v/>
      </c>
      <c r="G12" s="31">
        <f>SUMIFS(JB_26BV,JB_B,1,JB_EX,"P-5c",JB_CC,"Ordnance",JB_H,"T-EPF",JB_RC,"ALT")</f>
        <v/>
      </c>
      <c r="H12" s="31">
        <f>SUMIFS(JB_26BV,JB_B,1,JB_EX,"P-5c",JB_CC,"Ordnance",JB_H,"T-AO",JB_RC,"ALT")</f>
        <v/>
      </c>
      <c r="I12" s="31">
        <f>SUMIFS(JB_26BV,JB_B,1,JB_EX,"P-5c",JB_CC,"Ordnance",JB_H,"T-ATS",JB_RC,"ALT")</f>
        <v/>
      </c>
      <c r="J12" s="45">
        <f>SUM(B12:I12)</f>
        <v/>
      </c>
    </row>
    <row r="13" ht="10" customHeight="1">
      <c r="A13" s="30" t="inlineStr">
        <is>
          <t>Other Cost</t>
        </is>
      </c>
      <c r="B13" s="45">
        <f>SUMIFS(JB_26BV,JB_B,1,JB_EX,"P-5c",JB_CC,"Other Cost",JB_H,"DDG",JB_RC,"ALT")</f>
        <v/>
      </c>
      <c r="C13" s="31">
        <f>SUMIFS(JB_26BV,JB_B,1,JB_EX,"P-5c",JB_CC,"Other Cost",JB_H,"FFG",JB_RC,"ALT")</f>
        <v/>
      </c>
      <c r="D13" s="31">
        <f>SUMIFS(JB_26BV,JB_B,1,JB_EX,"P-5c",JB_CC,"Other Cost",JB_H,"LPD",JB_RC,"ALT")</f>
        <v/>
      </c>
      <c r="E13" s="31">
        <f>SUMIFS(JB_26BV,JB_B,1,JB_EX,"P-5c",JB_CC,"Other Cost",JB_H,"LHA",JB_RC,"ALT")</f>
        <v/>
      </c>
      <c r="F13" s="31">
        <f>SUMIFS(JB_26BV,JB_B,1,JB_EX,"P-5c",JB_CC,"Other Cost",JB_H,"T-AGOS",JB_RC,"ALT")</f>
        <v/>
      </c>
      <c r="G13" s="31">
        <f>SUMIFS(JB_26BV,JB_B,1,JB_EX,"P-5c",JB_CC,"Other Cost",JB_H,"T-EPF",JB_RC,"ALT")</f>
        <v/>
      </c>
      <c r="H13" s="31">
        <f>SUMIFS(JB_26BV,JB_B,1,JB_EX,"P-5c",JB_CC,"Other Cost",JB_H,"T-AO",JB_RC,"ALT")</f>
        <v/>
      </c>
      <c r="I13" s="31">
        <f>SUMIFS(JB_26BV,JB_B,1,JB_EX,"P-5c",JB_CC,"Other Cost",JB_H,"T-ATS",JB_RC,"ALT")</f>
        <v/>
      </c>
      <c r="J13" s="45">
        <f>SUM(B13:I13)</f>
        <v/>
      </c>
    </row>
    <row r="14" ht="10" customHeight="1">
      <c r="A14" s="32" t="inlineStr">
        <is>
          <t>Gross Total ($K)</t>
        </is>
      </c>
      <c r="B14" s="44">
        <f>SUM(B7:B13)</f>
        <v/>
      </c>
      <c r="C14" s="33">
        <f>SUM(C7:C13)</f>
        <v/>
      </c>
      <c r="D14" s="33">
        <f>SUM(D7:D13)</f>
        <v/>
      </c>
      <c r="E14" s="33">
        <f>SUM(E7:E13)</f>
        <v/>
      </c>
      <c r="F14" s="33">
        <f>SUM(F7:F13)</f>
        <v/>
      </c>
      <c r="G14" s="33">
        <f>SUM(G7:G13)</f>
        <v/>
      </c>
      <c r="H14" s="33">
        <f>SUM(H7:H13)</f>
        <v/>
      </c>
      <c r="I14" s="33">
        <f>SUM(I7:I13)</f>
        <v/>
      </c>
      <c r="J14" s="44">
        <f>SUM(J7:J13)</f>
        <v/>
      </c>
    </row>
    <row r="15" ht="10" customHeight="1"/>
    <row r="16" ht="10" customHeight="1"/>
    <row r="17" ht="10" customHeight="1">
      <c r="A17" s="27" t="inlineStr">
        <is>
          <t>(B) P-8a System-Level Detail by Hull Program — FY2026 ($K)</t>
        </is>
      </c>
      <c r="B17" s="28" t="n"/>
      <c r="C17" s="28" t="n"/>
      <c r="D17" s="28" t="n"/>
    </row>
    <row r="18" ht="10" customHeight="1">
      <c r="A18" s="26" t="inlineStr">
        <is>
          <t>Individual GFE systems from Exhibit P-8a, grouped by cost category within each hull program.</t>
        </is>
      </c>
    </row>
    <row r="19" ht="10" customHeight="1"/>
    <row r="20" ht="10" customHeight="1">
      <c r="A20" s="46" t="inlineStr">
        <is>
          <t>DDG (Surface Combatants)</t>
        </is>
      </c>
      <c r="B20" s="39" t="n"/>
      <c r="C20" s="39" t="n"/>
      <c r="D20" s="39" t="n"/>
    </row>
    <row r="21" ht="10" customHeight="1">
      <c r="A21" s="29" t="inlineStr">
        <is>
          <t>System</t>
        </is>
      </c>
      <c r="B21" s="29" t="inlineStr">
        <is>
          <t>Cost Category</t>
        </is>
      </c>
      <c r="C21" s="29" t="inlineStr">
        <is>
          <t>FY2026 ($K)</t>
        </is>
      </c>
      <c r="D21" s="29" t="inlineStr">
        <is>
          <t>% of Hull</t>
        </is>
      </c>
    </row>
    <row r="22" ht="10" customHeight="1">
      <c r="A22" s="30" t="inlineStr">
        <is>
          <t>VERTICAL LAUNCHING SYSTEM (VLS) MK 57 4-CELL MODULES</t>
        </is>
      </c>
      <c r="B22" s="26" t="inlineStr">
        <is>
          <t>Electronics</t>
        </is>
      </c>
      <c r="C22" s="49">
        <f>SUMIFS(JB_26BV,JB_B,1,JB_EX,"P-8a",JB_CC,"Electronics",JB_H,"DDG",JB_CE,"VERTICAL LAUNCHING SYSTEM (VLS) MK 57 4-CELL MODULES",JB_RC,"ALT")</f>
        <v/>
      </c>
      <c r="D22" s="37">
        <f>IFERROR(C22/C$80,0)</f>
        <v/>
      </c>
    </row>
    <row r="23" ht="10" customHeight="1">
      <c r="A23" s="30" t="inlineStr">
        <is>
          <t>MULTI FUNCTION RADAR (MFR)</t>
        </is>
      </c>
      <c r="B23" s="26" t="inlineStr">
        <is>
          <t>Electronics</t>
        </is>
      </c>
      <c r="C23" s="49">
        <f>SUMIFS(JB_26BV,JB_B,1,JB_EX,"P-8a",JB_CC,"Electronics",JB_H,"DDG",JB_CE,"MULTI FUNCTION RADAR (MFR)",JB_RC,"ALT")</f>
        <v/>
      </c>
      <c r="D23" s="37">
        <f>IFERROR(C23/C$80,0)</f>
        <v/>
      </c>
    </row>
    <row r="24" ht="10" customHeight="1">
      <c r="A24" s="30" t="inlineStr">
        <is>
          <t>TOTAL SHIP COMPUTING ENVIRONMENT (TSCE)</t>
        </is>
      </c>
      <c r="B24" s="26" t="inlineStr">
        <is>
          <t>Electronics</t>
        </is>
      </c>
      <c r="C24" s="49">
        <f>SUMIFS(JB_26BV,JB_B,1,JB_EX,"P-8a",JB_CC,"Electronics",JB_H,"DDG",JB_CE,"TOTAL SHIP COMPUTING ENVIRONMENT (TSCE)",JB_RC,"ALT")</f>
        <v/>
      </c>
      <c r="D24" s="37">
        <f>IFERROR(C24/C$80,0)</f>
        <v/>
      </c>
    </row>
    <row r="25" ht="10" customHeight="1">
      <c r="A25" s="30" t="inlineStr">
        <is>
          <t>AN/SLQ-32 SEWIP V(7)</t>
        </is>
      </c>
      <c r="B25" s="26" t="inlineStr">
        <is>
          <t>Electronics</t>
        </is>
      </c>
      <c r="C25" s="49">
        <f>SUMIFS(JB_26BV,JB_B,1,JB_EX,"P-8a",JB_CC,"Electronics",JB_H,"DDG",JB_CE,"AN/SLQ-32 SEWIP V(7)",JB_RC,"ALT")</f>
        <v/>
      </c>
      <c r="D25" s="37">
        <f>IFERROR(C25/C$80,0)</f>
        <v/>
      </c>
    </row>
    <row r="26" ht="10" customHeight="1">
      <c r="A26" s="30" t="inlineStr">
        <is>
          <t>EXCOMM</t>
        </is>
      </c>
      <c r="B26" s="26" t="inlineStr">
        <is>
          <t>Electronics</t>
        </is>
      </c>
      <c r="C26" s="49">
        <f>SUMIFS(JB_26BV,JB_B,1,JB_EX,"P-8a",JB_CC,"Electronics",JB_H,"DDG",JB_CE,"EXCOMM",JB_RC,"ALT")</f>
        <v/>
      </c>
      <c r="D26" s="37">
        <f>IFERROR(C26/C$80,0)</f>
        <v/>
      </c>
    </row>
    <row r="27" ht="10" customHeight="1">
      <c r="A27" s="30" t="inlineStr">
        <is>
          <t>SQQ 89 ASW</t>
        </is>
      </c>
      <c r="B27" s="26" t="inlineStr">
        <is>
          <t>Electronics</t>
        </is>
      </c>
      <c r="C27" s="49">
        <f>SUMIFS(JB_26BV,JB_B,1,JB_EX,"P-8a",JB_CC,"Electronics",JB_H,"DDG",JB_CE,"SQQ 89 ASW",JB_RC,"ALT")</f>
        <v/>
      </c>
      <c r="D27" s="37">
        <f>IFERROR(C27/C$80,0)</f>
        <v/>
      </c>
    </row>
    <row r="28" ht="10" customHeight="1">
      <c r="A28" s="30" t="inlineStr">
        <is>
          <t>MISSION SYSTEM ENGR INTEGR &amp; TEST (MSEIT)</t>
        </is>
      </c>
      <c r="B28" s="26" t="inlineStr">
        <is>
          <t>Electronics</t>
        </is>
      </c>
      <c r="C28" s="49">
        <f>SUMIFS(JB_26BV,JB_B,1,JB_EX,"P-8a",JB_CC,"Electronics",JB_H,"DDG",JB_CE,"MISSION SYSTEM ENGR INTEGR &amp; TEST (MSEIT)",JB_RC,"ALT")</f>
        <v/>
      </c>
      <c r="D28" s="37">
        <f>IFERROR(C28/C$80,0)</f>
        <v/>
      </c>
    </row>
    <row r="29" ht="10" customHeight="1">
      <c r="A29" s="30" t="inlineStr">
        <is>
          <t>MISSION SYSTEM ACTIVATION</t>
        </is>
      </c>
      <c r="B29" s="26" t="inlineStr">
        <is>
          <t>Electronics</t>
        </is>
      </c>
      <c r="C29" s="49">
        <f>SUMIFS(JB_26BV,JB_B,1,JB_EX,"P-8a",JB_CC,"Electronics",JB_H,"DDG",JB_CE,"MISSION SYSTEM ACTIVATION",JB_RC,"ALT")</f>
        <v/>
      </c>
      <c r="D29" s="37">
        <f>IFERROR(C29/C$80,0)</f>
        <v/>
      </c>
    </row>
    <row r="30" ht="10" customHeight="1">
      <c r="A30" s="30" t="inlineStr">
        <is>
          <t>SHIP CONTROL SYSTEM (SCS)</t>
        </is>
      </c>
      <c r="B30" s="26" t="inlineStr">
        <is>
          <t>Electronics</t>
        </is>
      </c>
      <c r="C30" s="49">
        <f>SUMIFS(JB_26BV,JB_B,1,JB_EX,"P-8a",JB_CC,"Electronics",JB_H,"DDG",JB_CE,"SHIP CONTROL SYSTEM (SCS)",JB_RC,"ALT")</f>
        <v/>
      </c>
      <c r="D30" s="37">
        <f>IFERROR(C30/C$80,0)</f>
        <v/>
      </c>
    </row>
    <row r="31" ht="10" customHeight="1">
      <c r="A31" s="30" t="inlineStr">
        <is>
          <t>INTEGRATED UNDERSEA WARFARE (IUSW) SYSTEM</t>
        </is>
      </c>
      <c r="B31" s="26" t="inlineStr">
        <is>
          <t>Electronics</t>
        </is>
      </c>
      <c r="C31" s="49">
        <f>SUMIFS(JB_26BV,JB_B,1,JB_EX,"P-8a",JB_CC,"Electronics",JB_H,"DDG",JB_CE,"INTEGRATED UNDERSEA WARFARE (IUSW) SYSTEM",JB_RC,"ALT")</f>
        <v/>
      </c>
      <c r="D31" s="37">
        <f>IFERROR(C31/C$80,0)</f>
        <v/>
      </c>
    </row>
    <row r="32" ht="10" customHeight="1">
      <c r="A32" s="30" t="inlineStr">
        <is>
          <t>MISC. ELECTRONICS</t>
        </is>
      </c>
      <c r="B32" s="26" t="inlineStr">
        <is>
          <t>Electronics</t>
        </is>
      </c>
      <c r="C32" s="49">
        <f>SUMIFS(JB_26BV,JB_B,1,JB_EX,"P-8a",JB_CC,"Electronics",JB_H,"DDG",JB_CE,"MISC. ELECTRONICS",JB_RC,"ALT")</f>
        <v/>
      </c>
      <c r="D32" s="37">
        <f>IFERROR(C32/C$80,0)</f>
        <v/>
      </c>
    </row>
    <row r="33" ht="10" customHeight="1">
      <c r="A33" s="30" t="inlineStr">
        <is>
          <t>EXTERIOR COMMUNICATIONS (EXCOMMS)</t>
        </is>
      </c>
      <c r="B33" s="26" t="inlineStr">
        <is>
          <t>Electronics</t>
        </is>
      </c>
      <c r="C33" s="49">
        <f>SUMIFS(JB_26BV,JB_B,1,JB_EX,"P-8a",JB_CC,"Electronics",JB_H,"DDG",JB_CE,"EXTERIOR COMMUNICATIONS (EXCOMMS)",JB_RC,"ALT")</f>
        <v/>
      </c>
      <c r="D33" s="37">
        <f>IFERROR(C33/C$80,0)</f>
        <v/>
      </c>
    </row>
    <row r="34" ht="10" customHeight="1">
      <c r="A34" s="30" t="inlineStr">
        <is>
          <t>SPECTRAL</t>
        </is>
      </c>
      <c r="B34" s="26" t="inlineStr">
        <is>
          <t>Electronics</t>
        </is>
      </c>
      <c r="C34" s="49">
        <f>SUMIFS(JB_26BV,JB_B,1,JB_EX,"P-8a",JB_CC,"Electronics",JB_H,"DDG",JB_CE,"SPECTRAL",JB_RC,"ALT")</f>
        <v/>
      </c>
      <c r="D34" s="37">
        <f>IFERROR(C34/C$80,0)</f>
        <v/>
      </c>
    </row>
    <row r="35" ht="10" customHeight="1">
      <c r="A35" s="30" t="inlineStr">
        <is>
          <t>DDG 1002 TSCE MODERNIZATION</t>
        </is>
      </c>
      <c r="B35" s="26" t="inlineStr">
        <is>
          <t>Electronics</t>
        </is>
      </c>
      <c r="C35" s="49">
        <f>SUMIFS(JB_26BV,JB_B,1,JB_EX,"P-8a",JB_CC,"Electronics",JB_H,"DDG",JB_CE,"DDG 1002 TSCE MODERNIZATION",JB_RC,"ALT")</f>
        <v/>
      </c>
      <c r="D35" s="37">
        <f>IFERROR(C35/C$80,0)</f>
        <v/>
      </c>
    </row>
    <row r="36" ht="10" customHeight="1">
      <c r="A36" s="30" t="inlineStr">
        <is>
          <t>USQ 82(V) GEDMS</t>
        </is>
      </c>
      <c r="B36" s="26" t="inlineStr">
        <is>
          <t>Electronics</t>
        </is>
      </c>
      <c r="C36" s="49">
        <f>SUMIFS(JB_26BV,JB_B,1,JB_EX,"P-8a",JB_CC,"Electronics",JB_H,"DDG",JB_CE,"USQ 82(V) GEDMS",JB_RC,"ALT")</f>
        <v/>
      </c>
      <c r="D36" s="37">
        <f>IFERROR(C36/C$80,0)</f>
        <v/>
      </c>
    </row>
    <row r="37" ht="10" customHeight="1">
      <c r="A37" s="30" t="inlineStr">
        <is>
          <t>ELECTRO-OPTICAL / INFRARED (EO/IR)</t>
        </is>
      </c>
      <c r="B37" s="26" t="inlineStr">
        <is>
          <t>Electronics</t>
        </is>
      </c>
      <c r="C37" s="49">
        <f>SUMIFS(JB_26BV,JB_B,1,JB_EX,"P-8a",JB_CC,"Electronics",JB_H,"DDG",JB_CE,"ELECTRO-OPTICAL / INFRARED (EO/IR)",JB_RC,"ALT")</f>
        <v/>
      </c>
      <c r="D37" s="37">
        <f>IFERROR(C37/C$80,0)</f>
        <v/>
      </c>
    </row>
    <row r="38" ht="10" customHeight="1">
      <c r="A38" s="30" t="inlineStr">
        <is>
          <t>IDENTIFICATION FRIEND OR FOE (IFF)</t>
        </is>
      </c>
      <c r="B38" s="26" t="inlineStr">
        <is>
          <t>Electronics</t>
        </is>
      </c>
      <c r="C38" s="49">
        <f>SUMIFS(JB_26BV,JB_B,1,JB_EX,"P-8a",JB_CC,"Electronics",JB_H,"DDG",JB_CE,"IDENTIFICATION FRIEND OR FOE (IFF)",JB_RC,"ALT")</f>
        <v/>
      </c>
      <c r="D38" s="37">
        <f>IFERROR(C38/C$80,0)</f>
        <v/>
      </c>
    </row>
    <row r="39" ht="10" customHeight="1">
      <c r="A39" s="30" t="inlineStr">
        <is>
          <t>DDG 1002 UNIVERSAL CANISTER ELECTRICAL UNITS (UCEU)</t>
        </is>
      </c>
      <c r="B39" s="26" t="inlineStr">
        <is>
          <t>Electronics</t>
        </is>
      </c>
      <c r="C39" s="49">
        <f>SUMIFS(JB_26BV,JB_B,1,JB_EX,"P-8a",JB_CC,"Electronics",JB_H,"DDG",JB_CE,"DDG 1002 UNIVERSAL CANISTER ELECTRICAL UNITS (UCEU)",JB_RC,"ALT")</f>
        <v/>
      </c>
      <c r="D39" s="37">
        <f>IFERROR(C39/C$80,0)</f>
        <v/>
      </c>
    </row>
    <row r="40" ht="10" customHeight="1">
      <c r="A40" s="30" t="inlineStr">
        <is>
          <t>AN/UPX 29(V) IFF and TACAN</t>
        </is>
      </c>
      <c r="B40" s="26" t="inlineStr">
        <is>
          <t>Electronics</t>
        </is>
      </c>
      <c r="C40" s="49">
        <f>SUMIFS(JB_26BV,JB_B,1,JB_EX,"P-8a",JB_CC,"Electronics",JB_H,"DDG",JB_CE,"AN/UPX 29(V) IFF and TACAN",JB_RC,"ALT")</f>
        <v/>
      </c>
      <c r="D40" s="37">
        <f>IFERROR(C40/C$80,0)</f>
        <v/>
      </c>
    </row>
    <row r="41" ht="10" customHeight="1">
      <c r="A41" s="30" t="inlineStr">
        <is>
          <t>SRQ 4 LAMPS III</t>
        </is>
      </c>
      <c r="B41" s="26" t="inlineStr">
        <is>
          <t>Electronics</t>
        </is>
      </c>
      <c r="C41" s="49">
        <f>SUMIFS(JB_26BV,JB_B,1,JB_EX,"P-8a",JB_CC,"Electronics",JB_H,"DDG",JB_CE,"SRQ 4 LAMPS III",JB_RC,"ALT")</f>
        <v/>
      </c>
      <c r="D41" s="37">
        <f>IFERROR(C41/C$80,0)</f>
        <v/>
      </c>
    </row>
    <row r="42" ht="10" customHeight="1">
      <c r="A42" s="30" t="inlineStr">
        <is>
          <t>CEC</t>
        </is>
      </c>
      <c r="B42" s="26" t="inlineStr">
        <is>
          <t>Electronics</t>
        </is>
      </c>
      <c r="C42" s="49">
        <f>SUMIFS(JB_26BV,JB_B,1,JB_EX,"P-8a",JB_CC,"Electronics",JB_H,"DDG",JB_CE,"CEC",JB_RC,"ALT")</f>
        <v/>
      </c>
      <c r="D42" s="37">
        <f>IFERROR(C42/C$80,0)</f>
        <v/>
      </c>
    </row>
    <row r="43" ht="10" customHeight="1">
      <c r="A43" s="30" t="inlineStr">
        <is>
          <t>SURFACE ELECTRONIC WARFARE IMPROVEMENT PROGRAM (SEWIP)</t>
        </is>
      </c>
      <c r="B43" s="26" t="inlineStr">
        <is>
          <t>Electronics</t>
        </is>
      </c>
      <c r="C43" s="49">
        <f>SUMIFS(JB_26BV,JB_B,1,JB_EX,"P-8a",JB_CC,"Electronics",JB_H,"DDG",JB_CE,"SURFACE ELECTRONIC WARFARE IMPROVEMENT PROGRAM (SEWIP)",JB_RC,"ALT")</f>
        <v/>
      </c>
      <c r="D43" s="37">
        <f>IFERROR(C43/C$80,0)</f>
        <v/>
      </c>
    </row>
    <row r="44" ht="10" customHeight="1">
      <c r="A44" s="30" t="inlineStr">
        <is>
          <t>COMMON ARRAY POWER SYSTEM (CAPS)</t>
        </is>
      </c>
      <c r="B44" s="26" t="inlineStr">
        <is>
          <t>Electronics</t>
        </is>
      </c>
      <c r="C44" s="49">
        <f>SUMIFS(JB_26BV,JB_B,1,JB_EX,"P-8a",JB_CC,"Electronics",JB_H,"DDG",JB_CE,"COMMON ARRAY POWER SYSTEM (CAPS)",JB_RC,"ALT")</f>
        <v/>
      </c>
      <c r="D44" s="37">
        <f>IFERROR(C44/C$80,0)</f>
        <v/>
      </c>
    </row>
    <row r="45" ht="10" customHeight="1">
      <c r="A45" s="30" t="inlineStr">
        <is>
          <t>NAVIGATION SYSTEM</t>
        </is>
      </c>
      <c r="B45" s="26" t="inlineStr">
        <is>
          <t>Electronics</t>
        </is>
      </c>
      <c r="C45" s="49">
        <f>SUMIFS(JB_26BV,JB_B,1,JB_EX,"P-8a",JB_CC,"Electronics",JB_H,"DDG",JB_CE,"NAVIGATION SYSTEM",JB_RC,"ALT")</f>
        <v/>
      </c>
      <c r="D45" s="37">
        <f>IFERROR(C45/C$80,0)</f>
        <v/>
      </c>
    </row>
    <row r="46" ht="10" customHeight="1">
      <c r="A46" s="30" t="inlineStr">
        <is>
          <t>MIDS</t>
        </is>
      </c>
      <c r="B46" s="26" t="inlineStr">
        <is>
          <t>Electronics</t>
        </is>
      </c>
      <c r="C46" s="49">
        <f>SUMIFS(JB_26BV,JB_B,1,JB_EX,"P-8a",JB_CC,"Electronics",JB_H,"DDG",JB_CE,"MIDS",JB_RC,"ALT")</f>
        <v/>
      </c>
      <c r="D46" s="37">
        <f>IFERROR(C46/C$80,0)</f>
        <v/>
      </c>
    </row>
    <row r="47" ht="10" customHeight="1">
      <c r="A47" s="30" t="inlineStr">
        <is>
          <t>SLQ 25 NIXIE</t>
        </is>
      </c>
      <c r="B47" s="26" t="inlineStr">
        <is>
          <t>Electronics</t>
        </is>
      </c>
      <c r="C47" s="49">
        <f>SUMIFS(JB_26BV,JB_B,1,JB_EX,"P-8a",JB_CC,"Electronics",JB_H,"DDG",JB_CE,"SLQ 25 NIXIE",JB_RC,"ALT")</f>
        <v/>
      </c>
      <c r="D47" s="37">
        <f>IFERROR(C47/C$80,0)</f>
        <v/>
      </c>
    </row>
    <row r="48" ht="10" customHeight="1">
      <c r="A48" s="30" t="inlineStr">
        <is>
          <t>NGSSR</t>
        </is>
      </c>
      <c r="B48" s="26" t="inlineStr">
        <is>
          <t>Electronics</t>
        </is>
      </c>
      <c r="C48" s="49">
        <f>SUMIFS(JB_26BV,JB_B,1,JB_EX,"P-8a",JB_CC,"Electronics",JB_H,"DDG",JB_CE,"NGSSR",JB_RC,"ALT")</f>
        <v/>
      </c>
      <c r="D48" s="37">
        <f>IFERROR(C48/C$80,0)</f>
        <v/>
      </c>
    </row>
    <row r="49" ht="10" customHeight="1">
      <c r="A49" s="30" t="inlineStr">
        <is>
          <t>COOPERATIVE ENGAGEMENT CAPABILITY (CEC)</t>
        </is>
      </c>
      <c r="B49" s="26" t="inlineStr">
        <is>
          <t>Electronics</t>
        </is>
      </c>
      <c r="C49" s="49">
        <f>SUMIFS(JB_26BV,JB_B,1,JB_EX,"P-8a",JB_CC,"Electronics",JB_H,"DDG",JB_CE,"COOPERATIVE ENGAGEMENT CAPABILITY (CEC)",JB_RC,"ALT")</f>
        <v/>
      </c>
      <c r="D49" s="37">
        <f>IFERROR(C49/C$80,0)</f>
        <v/>
      </c>
    </row>
    <row r="50" ht="10" customHeight="1">
      <c r="A50" s="30" t="inlineStr">
        <is>
          <t>MK 53 NULKA</t>
        </is>
      </c>
      <c r="B50" s="26" t="inlineStr">
        <is>
          <t>Electronics</t>
        </is>
      </c>
      <c r="C50" s="49">
        <f>SUMIFS(JB_26BV,JB_B,1,JB_EX,"P-8a",JB_CC,"Electronics",JB_H,"DDG",JB_CE,"MK 53 NULKA",JB_RC,"ALT")</f>
        <v/>
      </c>
      <c r="D50" s="37">
        <f>IFERROR(C50/C$80,0)</f>
        <v/>
      </c>
    </row>
    <row r="51" ht="10" customHeight="1">
      <c r="A51" s="30" t="inlineStr">
        <is>
          <t>TSA ANTENNA</t>
        </is>
      </c>
      <c r="B51" s="26" t="inlineStr">
        <is>
          <t>Electronics</t>
        </is>
      </c>
      <c r="C51" s="49">
        <f>SUMIFS(JB_26BV,JB_B,1,JB_EX,"P-8a",JB_CC,"Electronics",JB_H,"DDG",JB_CE,"TSA ANTENNA",JB_RC,"ALT")</f>
        <v/>
      </c>
      <c r="D51" s="37">
        <f>IFERROR(C51/C$80,0)</f>
        <v/>
      </c>
    </row>
    <row r="52" ht="10" customHeight="1">
      <c r="A52" s="30" t="inlineStr">
        <is>
          <t>SPARES</t>
        </is>
      </c>
      <c r="B52" s="26" t="inlineStr">
        <is>
          <t>Electronics</t>
        </is>
      </c>
      <c r="C52" s="49">
        <f>SUMIFS(JB_26BV,JB_B,1,JB_EX,"P-8a",JB_CC,"Electronics",JB_H,"DDG",JB_CE,"SPARES",JB_RC,"ALT")</f>
        <v/>
      </c>
      <c r="D52" s="37">
        <f>IFERROR(C52/C$80,0)</f>
        <v/>
      </c>
    </row>
    <row r="53" ht="10" customHeight="1">
      <c r="A53" s="30" t="inlineStr">
        <is>
          <t>COMMON ARRAY COOLING SYSTEM (CACS)</t>
        </is>
      </c>
      <c r="B53" s="26" t="inlineStr">
        <is>
          <t>Electronics</t>
        </is>
      </c>
      <c r="C53" s="49">
        <f>SUMIFS(JB_26BV,JB_B,1,JB_EX,"P-8a",JB_CC,"Electronics",JB_H,"DDG",JB_CE,"COMMON ARRAY COOLING SYSTEM (CACS)",JB_RC,"ALT")</f>
        <v/>
      </c>
      <c r="D53" s="37">
        <f>IFERROR(C53/C$80,0)</f>
        <v/>
      </c>
    </row>
    <row r="54" ht="10" customHeight="1">
      <c r="A54" s="30" t="inlineStr">
        <is>
          <t>MISC. HM&amp;E</t>
        </is>
      </c>
      <c r="B54" s="26" t="inlineStr">
        <is>
          <t>Hull, Mechanical, and Electrical</t>
        </is>
      </c>
      <c r="C54" s="49">
        <f>SUMIFS(JB_26BV,JB_B,1,JB_EX,"P-8a",JB_CC,"Hull, Mechanical, and Electrical",JB_H,"DDG",JB_CE,"MISC. HM&amp;E",JB_RC,"ALT")</f>
        <v/>
      </c>
      <c r="D54" s="37">
        <f>IFERROR(C54/C$80,0)</f>
        <v/>
      </c>
    </row>
    <row r="55" ht="10" customHeight="1">
      <c r="A55" s="30" t="inlineStr">
        <is>
          <t>MAIN TURBINE GENERATOR (MTG)</t>
        </is>
      </c>
      <c r="B55" s="26" t="inlineStr">
        <is>
          <t>Hull, Mechanical, and Electrical</t>
        </is>
      </c>
      <c r="C55" s="49">
        <f>SUMIFS(JB_26BV,JB_B,1,JB_EX,"P-8a",JB_CC,"Hull, Mechanical, and Electrical",JB_H,"DDG",JB_CE,"MAIN TURBINE GENERATOR (MTG)",JB_RC,"ALT")</f>
        <v/>
      </c>
      <c r="D55" s="37">
        <f>IFERROR(C55/C$80,0)</f>
        <v/>
      </c>
    </row>
    <row r="56" ht="10" customHeight="1">
      <c r="A56" s="30" t="inlineStr">
        <is>
          <t>Integrated Bridge Navigation System</t>
        </is>
      </c>
      <c r="B56" s="26" t="inlineStr">
        <is>
          <t>Hull, Mechanical, and Electrical</t>
        </is>
      </c>
      <c r="C56" s="49">
        <f>SUMIFS(JB_26BV,JB_B,1,JB_EX,"P-8a",JB_CC,"Hull, Mechanical, and Electrical",JB_H,"DDG",JB_CE,"Integrated Bridge Navigation System",JB_RC,"ALT")</f>
        <v/>
      </c>
      <c r="D56" s="37">
        <f>IFERROR(C56/C$80,0)</f>
        <v/>
      </c>
    </row>
    <row r="57" ht="10" customHeight="1">
      <c r="A57" s="30" t="inlineStr">
        <is>
          <t>STC 3 IVCS</t>
        </is>
      </c>
      <c r="B57" s="26" t="inlineStr">
        <is>
          <t>Hull, Mechanical, and Electrical</t>
        </is>
      </c>
      <c r="C57" s="49">
        <f>SUMIFS(JB_26BV,JB_B,1,JB_EX,"P-8a",JB_CC,"Hull, Mechanical, and Electrical",JB_H,"DDG",JB_CE,"STC 3 IVCS",JB_RC,"ALT")</f>
        <v/>
      </c>
      <c r="D57" s="37">
        <f>IFERROR(C57/C$80,0)</f>
        <v/>
      </c>
    </row>
    <row r="58" ht="10" customHeight="1">
      <c r="A58" s="30" t="inlineStr">
        <is>
          <t>Machinery Control System</t>
        </is>
      </c>
      <c r="B58" s="26" t="inlineStr">
        <is>
          <t>Hull, Mechanical, and Electrical</t>
        </is>
      </c>
      <c r="C58" s="49">
        <f>SUMIFS(JB_26BV,JB_B,1,JB_EX,"P-8a",JB_CC,"Hull, Mechanical, and Electrical",JB_H,"DDG",JB_CE,"Machinery Control System",JB_RC,"ALT")</f>
        <v/>
      </c>
      <c r="D58" s="37">
        <f>IFERROR(C58/C$80,0)</f>
        <v/>
      </c>
    </row>
    <row r="59" ht="10" customHeight="1">
      <c r="A59" s="30" t="inlineStr">
        <is>
          <t>CYBER BDC</t>
        </is>
      </c>
      <c r="B59" s="26" t="inlineStr">
        <is>
          <t>Hull, Mechanical, and Electrical</t>
        </is>
      </c>
      <c r="C59" s="49">
        <f>SUMIFS(JB_26BV,JB_B,1,JB_EX,"P-8a",JB_CC,"Hull, Mechanical, and Electrical",JB_H,"DDG",JB_CE,"CYBER BDC",JB_RC,"ALT")</f>
        <v/>
      </c>
      <c r="D59" s="37">
        <f>IFERROR(C59/C$80,0)</f>
        <v/>
      </c>
    </row>
    <row r="60" ht="10" customHeight="1">
      <c r="A60" s="30" t="inlineStr">
        <is>
          <t>WSN 12</t>
        </is>
      </c>
      <c r="B60" s="26" t="inlineStr">
        <is>
          <t>Hull, Mechanical, and Electrical</t>
        </is>
      </c>
      <c r="C60" s="49">
        <f>SUMIFS(JB_26BV,JB_B,1,JB_EX,"P-8a",JB_CC,"Hull, Mechanical, and Electrical",JB_H,"DDG",JB_CE,"WSN 12",JB_RC,"ALT")</f>
        <v/>
      </c>
      <c r="D60" s="37">
        <f>IFERROR(C60/C$80,0)</f>
        <v/>
      </c>
    </row>
    <row r="61" ht="10" customHeight="1">
      <c r="A61" s="30" t="inlineStr">
        <is>
          <t>HM&amp;E (NGVLA, Moriah Wind Measurement System (WMS), Aviation Integration)</t>
        </is>
      </c>
      <c r="B61" s="26" t="inlineStr">
        <is>
          <t>Hull, Mechanical, and Electrical</t>
        </is>
      </c>
      <c r="C61" s="49">
        <f>SUMIFS(JB_26BV,JB_B,1,JB_EX,"P-8a",JB_CC,"Hull, Mechanical, and Electrical",JB_H,"DDG",JB_CE,"HM&amp;E (NGVLA, Moriah Wind Measurement System (WMS), Aviation Integration)",JB_RC,"ALT")</f>
        <v/>
      </c>
      <c r="D61" s="37">
        <f>IFERROR(C61/C$80,0)</f>
        <v/>
      </c>
    </row>
    <row r="62" ht="10" customHeight="1">
      <c r="A62" s="30" t="inlineStr">
        <is>
          <t>INTERIM SPARES</t>
        </is>
      </c>
      <c r="B62" s="26" t="inlineStr">
        <is>
          <t>Hull, Mechanical, and Electrical</t>
        </is>
      </c>
      <c r="C62" s="49">
        <f>SUMIFS(JB_26BV,JB_B,1,JB_EX,"P-8a",JB_CC,"Hull, Mechanical, and Electrical",JB_H,"DDG",JB_CE,"INTERIM SPARES",JB_RC,"ALT")</f>
        <v/>
      </c>
      <c r="D62" s="37">
        <f>IFERROR(C62/C$80,0)</f>
        <v/>
      </c>
    </row>
    <row r="63" ht="10" customHeight="1">
      <c r="A63" s="30" t="inlineStr">
        <is>
          <t>RIGID HULL INFLATABLE BOAT (RHIB)</t>
        </is>
      </c>
      <c r="B63" s="26" t="inlineStr">
        <is>
          <t>Hull, Mechanical, and Electrical</t>
        </is>
      </c>
      <c r="C63" s="49">
        <f>SUMIFS(JB_26BV,JB_B,1,JB_EX,"P-8a",JB_CC,"Hull, Mechanical, and Electrical",JB_H,"DDG",JB_CE,"RIGID HULL INFLATABLE BOAT (RHIB)",JB_RC,"ALT")</f>
        <v/>
      </c>
      <c r="D63" s="37">
        <f>IFERROR(C63/C$80,0)</f>
        <v/>
      </c>
    </row>
    <row r="64" ht="10" customHeight="1">
      <c r="A64" s="30" t="inlineStr">
        <is>
          <t>AN/SPY-6(V)1 (AMDR)</t>
        </is>
      </c>
      <c r="B64" s="26" t="inlineStr">
        <is>
          <t>Ordnance</t>
        </is>
      </c>
      <c r="C64" s="49">
        <f>SUMIFS(JB_26BV,JB_B,1,JB_EX,"P-8a",JB_CC,"Ordnance",JB_H,"DDG",JB_CE,"AN/SPY-6(V)1 (AMDR)",JB_RC,"ALT")</f>
        <v/>
      </c>
      <c r="D64" s="37">
        <f>IFERROR(C64/C$80,0)</f>
        <v/>
      </c>
    </row>
    <row r="65" ht="10" customHeight="1">
      <c r="A65" s="30" t="inlineStr">
        <is>
          <t>AEGIS WEAPON SYSTEM (MK-7)</t>
        </is>
      </c>
      <c r="B65" s="26" t="inlineStr">
        <is>
          <t>Ordnance</t>
        </is>
      </c>
      <c r="C65" s="49">
        <f>SUMIFS(JB_26BV,JB_B,1,JB_EX,"P-8a",JB_CC,"Ordnance",JB_H,"DDG",JB_CE,"AEGIS WEAPON SYSTEM (MK-7)",JB_RC,"ALT")</f>
        <v/>
      </c>
      <c r="D65" s="37">
        <f>IFERROR(C65/C$80,0)</f>
        <v/>
      </c>
    </row>
    <row r="66" ht="10" customHeight="1">
      <c r="A66" s="30" t="inlineStr">
        <is>
          <t>ADVANCED GUN SYSTEM (AGS)</t>
        </is>
      </c>
      <c r="B66" s="26" t="inlineStr">
        <is>
          <t>Ordnance</t>
        </is>
      </c>
      <c r="C66" s="49">
        <f>SUMIFS(JB_26BV,JB_B,1,JB_EX,"P-8a",JB_CC,"Ordnance",JB_H,"DDG",JB_CE,"ADVANCED GUN SYSTEM (AGS)",JB_RC,"ALT")</f>
        <v/>
      </c>
      <c r="D66" s="37">
        <f>IFERROR(C66/C$80,0)</f>
        <v/>
      </c>
    </row>
    <row r="67" ht="10" customHeight="1">
      <c r="A67" s="30" t="inlineStr">
        <is>
          <t>VLS MK 41</t>
        </is>
      </c>
      <c r="B67" s="26" t="inlineStr">
        <is>
          <t>Ordnance</t>
        </is>
      </c>
      <c r="C67" s="49">
        <f>SUMIFS(JB_26BV,JB_B,1,JB_EX,"P-8a",JB_CC,"Ordnance",JB_H,"DDG",JB_CE,"VLS MK 41",JB_RC,"ALT")</f>
        <v/>
      </c>
      <c r="D67" s="37">
        <f>IFERROR(C67/C$80,0)</f>
        <v/>
      </c>
    </row>
    <row r="68" ht="10" customHeight="1">
      <c r="A68" s="30" t="inlineStr">
        <is>
          <t>MISC. ORDNANCE</t>
        </is>
      </c>
      <c r="B68" s="26" t="inlineStr">
        <is>
          <t>Ordnance</t>
        </is>
      </c>
      <c r="C68" s="49">
        <f>SUMIFS(JB_26BV,JB_B,1,JB_EX,"P-8a",JB_CC,"Ordnance",JB_H,"DDG",JB_CE,"MISC. ORDNANCE",JB_RC,"ALT")</f>
        <v/>
      </c>
      <c r="D68" s="37">
        <f>IFERROR(C68/C$80,0)</f>
        <v/>
      </c>
    </row>
    <row r="69" ht="10" customHeight="1">
      <c r="A69" s="30" t="inlineStr">
        <is>
          <t>MK 45 Light Weight Gun (LWG)</t>
        </is>
      </c>
      <c r="B69" s="26" t="inlineStr">
        <is>
          <t>Ordnance</t>
        </is>
      </c>
      <c r="C69" s="49">
        <f>SUMIFS(JB_26BV,JB_B,1,JB_EX,"P-8a",JB_CC,"Ordnance",JB_H,"DDG",JB_CE,"MK 45 Light Weight Gun (LWG)",JB_RC,"ALT")</f>
        <v/>
      </c>
      <c r="D69" s="37">
        <f>IFERROR(C69/C$80,0)</f>
        <v/>
      </c>
    </row>
    <row r="70" ht="10" customHeight="1">
      <c r="A70" s="30" t="inlineStr">
        <is>
          <t>MK 37 TOMAHAWK</t>
        </is>
      </c>
      <c r="B70" s="26" t="inlineStr">
        <is>
          <t>Ordnance</t>
        </is>
      </c>
      <c r="C70" s="49">
        <f>SUMIFS(JB_26BV,JB_B,1,JB_EX,"P-8a",JB_CC,"Ordnance",JB_H,"DDG",JB_CE,"MK 37 TOMAHAWK",JB_RC,"ALT")</f>
        <v/>
      </c>
      <c r="D70" s="37">
        <f>IFERROR(C70/C$80,0)</f>
        <v/>
      </c>
    </row>
    <row r="71" ht="10" customHeight="1">
      <c r="A71" s="30" t="inlineStr">
        <is>
          <t>SPQ-9B Radar</t>
        </is>
      </c>
      <c r="B71" s="26" t="inlineStr">
        <is>
          <t>Ordnance</t>
        </is>
      </c>
      <c r="C71" s="49">
        <f>SUMIFS(JB_26BV,JB_B,1,JB_EX,"P-8a",JB_CC,"Ordnance",JB_H,"DDG",JB_CE,"SPQ-9B Radar",JB_RC,"ALT")</f>
        <v/>
      </c>
      <c r="D71" s="37">
        <f>IFERROR(C71/C$80,0)</f>
        <v/>
      </c>
    </row>
    <row r="72" ht="10" customHeight="1">
      <c r="A72" s="30" t="inlineStr">
        <is>
          <t>PHALANX (CIWS)</t>
        </is>
      </c>
      <c r="B72" s="26" t="inlineStr">
        <is>
          <t>Ordnance</t>
        </is>
      </c>
      <c r="C72" s="49">
        <f>SUMIFS(JB_26BV,JB_B,1,JB_EX,"P-8a",JB_CC,"Ordnance",JB_H,"DDG",JB_CE,"PHALANX (CIWS)",JB_RC,"ALT")</f>
        <v/>
      </c>
      <c r="D72" s="37">
        <f>IFERROR(C72/C$80,0)</f>
        <v/>
      </c>
    </row>
    <row r="73" ht="10" customHeight="1">
      <c r="A73" s="30" t="inlineStr">
        <is>
          <t>DDG 1002 Missile Tubes (CPS)</t>
        </is>
      </c>
      <c r="B73" s="26" t="inlineStr">
        <is>
          <t>Ordnance</t>
        </is>
      </c>
      <c r="C73" s="49">
        <f>SUMIFS(JB_26BV,JB_B,1,JB_EX,"P-8a",JB_CC,"Ordnance",JB_H,"DDG",JB_CE,"DDG 1002 Missile Tubes (CPS)",JB_RC,"ALT")</f>
        <v/>
      </c>
      <c r="D73" s="37">
        <f>IFERROR(C73/C$80,0)</f>
        <v/>
      </c>
    </row>
    <row r="74" ht="10" customHeight="1">
      <c r="A74" s="30" t="inlineStr">
        <is>
          <t>MK-38 Gun Weapon System (GWS)</t>
        </is>
      </c>
      <c r="B74" s="26" t="inlineStr">
        <is>
          <t>Ordnance</t>
        </is>
      </c>
      <c r="C74" s="49">
        <f>SUMIFS(JB_26BV,JB_B,1,JB_EX,"P-8a",JB_CC,"Ordnance",JB_H,"DDG",JB_CE,"MK-38 Gun Weapon System (GWS)",JB_RC,"ALT")</f>
        <v/>
      </c>
      <c r="D74" s="37">
        <f>IFERROR(C74/C$80,0)</f>
        <v/>
      </c>
    </row>
    <row r="75" ht="10" customHeight="1">
      <c r="A75" s="30" t="inlineStr">
        <is>
          <t>DDG 1002 Rubber Boots, Hatches, Shock Isolation (CPS)</t>
        </is>
      </c>
      <c r="B75" s="26" t="inlineStr">
        <is>
          <t>Ordnance</t>
        </is>
      </c>
      <c r="C75" s="49">
        <f>SUMIFS(JB_26BV,JB_B,1,JB_EX,"P-8a",JB_CC,"Ordnance",JB_H,"DDG",JB_CE,"DDG 1002 Rubber Boots, Hatches, Shock Isolation (CPS)",JB_RC,"ALT")</f>
        <v/>
      </c>
      <c r="D75" s="37">
        <f>IFERROR(C75/C$80,0)</f>
        <v/>
      </c>
    </row>
    <row r="76" ht="10" customHeight="1">
      <c r="A76" s="30" t="inlineStr">
        <is>
          <t>CLOSE-IN GUN SYSTEM (CIGS)</t>
        </is>
      </c>
      <c r="B76" s="26" t="inlineStr">
        <is>
          <t>Ordnance</t>
        </is>
      </c>
      <c r="C76" s="49">
        <f>SUMIFS(JB_26BV,JB_B,1,JB_EX,"P-8a",JB_CC,"Ordnance",JB_H,"DDG",JB_CE,"CLOSE-IN GUN SYSTEM (CIGS)",JB_RC,"ALT")</f>
        <v/>
      </c>
      <c r="D76" s="37">
        <f>IFERROR(C76/C$80,0)</f>
        <v/>
      </c>
    </row>
    <row r="77" ht="10" customHeight="1">
      <c r="A77" s="30" t="inlineStr">
        <is>
          <t>MK 160 Gun Fire Control System (GFCS)</t>
        </is>
      </c>
      <c r="B77" s="26" t="inlineStr">
        <is>
          <t>Ordnance</t>
        </is>
      </c>
      <c r="C77" s="49">
        <f>SUMIFS(JB_26BV,JB_B,1,JB_EX,"P-8a",JB_CC,"Ordnance",JB_H,"DDG",JB_CE,"MK 160 Gun Fire Control System (GFCS)",JB_RC,"ALT")</f>
        <v/>
      </c>
      <c r="D77" s="37">
        <f>IFERROR(C77/C$80,0)</f>
        <v/>
      </c>
    </row>
    <row r="78" ht="10" customHeight="1">
      <c r="A78" s="30" t="inlineStr">
        <is>
          <t>ELECTRO-OPTICAL SYSTEM</t>
        </is>
      </c>
      <c r="B78" s="26" t="inlineStr">
        <is>
          <t>Ordnance</t>
        </is>
      </c>
      <c r="C78" s="49">
        <f>SUMIFS(JB_26BV,JB_B,1,JB_EX,"P-8a",JB_CC,"Ordnance",JB_H,"DDG",JB_CE,"ELECTRO-OPTICAL SYSTEM",JB_RC,"ALT")</f>
        <v/>
      </c>
      <c r="D78" s="37">
        <f>IFERROR(C78/C$80,0)</f>
        <v/>
      </c>
    </row>
    <row r="79" ht="10" customHeight="1">
      <c r="A79" s="30" t="inlineStr">
        <is>
          <t>MK 32 Surface Vessel Torpedo Tubes (SVTT)</t>
        </is>
      </c>
      <c r="B79" s="26" t="inlineStr">
        <is>
          <t>Ordnance</t>
        </is>
      </c>
      <c r="C79" s="49">
        <f>SUMIFS(JB_26BV,JB_B,1,JB_EX,"P-8a",JB_CC,"Ordnance",JB_H,"DDG",JB_CE,"MK 32 Surface Vessel Torpedo Tubes (SVTT)",JB_RC,"ALT")</f>
        <v/>
      </c>
      <c r="D79" s="37">
        <f>IFERROR(C79/C$80,0)</f>
        <v/>
      </c>
    </row>
    <row r="80" ht="10" customHeight="1">
      <c r="A80" s="32" t="inlineStr">
        <is>
          <t>DDG Total</t>
        </is>
      </c>
      <c r="B80" s="34" t="n"/>
      <c r="C80" s="33">
        <f>SUM(C22:C79)</f>
        <v/>
      </c>
      <c r="D80" s="38" t="n">
        <v>1</v>
      </c>
    </row>
    <row r="81" ht="10" customHeight="1"/>
    <row r="82" ht="10" customHeight="1">
      <c r="A82" s="46" t="inlineStr">
        <is>
          <t>LHA (Amphibious Warfare Ships)</t>
        </is>
      </c>
      <c r="B82" s="39" t="n"/>
      <c r="C82" s="39" t="n"/>
      <c r="D82" s="39" t="n"/>
    </row>
    <row r="83" ht="10" customHeight="1">
      <c r="A83" s="29" t="inlineStr">
        <is>
          <t>System</t>
        </is>
      </c>
      <c r="B83" s="29" t="inlineStr">
        <is>
          <t>Cost Category</t>
        </is>
      </c>
      <c r="C83" s="29" t="inlineStr">
        <is>
          <t>FY2026 ($K)</t>
        </is>
      </c>
      <c r="D83" s="29" t="inlineStr">
        <is>
          <t>% of Hull</t>
        </is>
      </c>
    </row>
    <row r="84" ht="10" customHeight="1">
      <c r="A84" s="30" t="inlineStr">
        <is>
          <t>Command, Control, Communication, Computer Intelligence Surveillance and Reconnaissance (C4ISR)</t>
        </is>
      </c>
      <c r="B84" s="26" t="inlineStr">
        <is>
          <t>Electronics</t>
        </is>
      </c>
      <c r="C84" s="49">
        <f>SUMIFS(JB_26BV,JB_B,1,JB_EX,"P-8a",JB_CC,"Electronics",JB_H,"LHA",JB_CE,"Command, Control, Communication, Computer Intelligence Surveillance and Reconnaissance (C4ISR)",JB_RC,"ALT")</f>
        <v/>
      </c>
      <c r="D84" s="37">
        <f>IFERROR(C84/C$123,0)</f>
        <v/>
      </c>
    </row>
    <row r="85" ht="10" customHeight="1">
      <c r="A85" s="30" t="inlineStr">
        <is>
          <t>MK 2 MOD 4E Ship Self Defense System (SSDS)</t>
        </is>
      </c>
      <c r="B85" s="26" t="inlineStr">
        <is>
          <t>Electronics</t>
        </is>
      </c>
      <c r="C85" s="49">
        <f>SUMIFS(JB_26BV,JB_B,1,JB_EX,"P-8a",JB_CC,"Electronics",JB_H,"LHA",JB_CE,"MK 2 MOD 4E Ship Self Defense System (SSDS)",JB_RC,"ALT")</f>
        <v/>
      </c>
      <c r="D85" s="37">
        <f>IFERROR(C85/C$123,0)</f>
        <v/>
      </c>
    </row>
    <row r="86" ht="10" customHeight="1">
      <c r="A86" s="30" t="inlineStr">
        <is>
          <t>AN/SPN-50 (V)1</t>
        </is>
      </c>
      <c r="B86" s="26" t="inlineStr">
        <is>
          <t>Electronics</t>
        </is>
      </c>
      <c r="C86" s="49">
        <f>SUMIFS(JB_26BV,JB_B,1,JB_EX,"P-8a",JB_CC,"Electronics",JB_H,"LHA",JB_CE,"AN/SPN-50 (V)1",JB_RC,"ALT")</f>
        <v/>
      </c>
      <c r="D86" s="37">
        <f>IFERROR(C86/C$123,0)</f>
        <v/>
      </c>
    </row>
    <row r="87" ht="10" customHeight="1">
      <c r="A87" s="30" t="inlineStr">
        <is>
          <t>AN/SLQ-32(V), Surface Warfare Improvement Program (SEWIP)</t>
        </is>
      </c>
      <c r="B87" s="26" t="inlineStr">
        <is>
          <t>Electronics</t>
        </is>
      </c>
      <c r="C87" s="49">
        <f>SUMIFS(JB_26BV,JB_B,1,JB_EX,"P-8a",JB_CC,"Electronics",JB_H,"LHA",JB_CE,"AN/SLQ-32(V), Surface Warfare Improvement Program (SEWIP)",JB_RC,"ALT")</f>
        <v/>
      </c>
      <c r="D87" s="37">
        <f>IFERROR(C87/C$123,0)</f>
        <v/>
      </c>
    </row>
    <row r="88" ht="10" customHeight="1">
      <c r="A88" s="30" t="inlineStr">
        <is>
          <t>Miscellaneous Electronics</t>
        </is>
      </c>
      <c r="B88" s="26" t="inlineStr">
        <is>
          <t>Electronics</t>
        </is>
      </c>
      <c r="C88" s="49">
        <f>SUMIFS(JB_26BV,JB_B,1,JB_EX,"P-8a",JB_CC,"Electronics",JB_H,"LHA",JB_CE,"Miscellaneous Electronics",JB_RC,"ALT")</f>
        <v/>
      </c>
      <c r="D88" s="37">
        <f>IFERROR(C88/C$123,0)</f>
        <v/>
      </c>
    </row>
    <row r="89" ht="10" customHeight="1">
      <c r="A89" s="30" t="inlineStr">
        <is>
          <t>Integrated Voice Network (IVN)</t>
        </is>
      </c>
      <c r="B89" s="26" t="inlineStr">
        <is>
          <t>Electronics</t>
        </is>
      </c>
      <c r="C89" s="49">
        <f>SUMIFS(JB_26BV,JB_B,1,JB_EX,"P-8a",JB_CC,"Electronics",JB_H,"LHA",JB_CE,"Integrated Voice Network (IVN)",JB_RC,"ALT")</f>
        <v/>
      </c>
      <c r="D89" s="37">
        <f>IFERROR(C89/C$123,0)</f>
        <v/>
      </c>
    </row>
    <row r="90" ht="10" customHeight="1">
      <c r="A90" s="30" t="inlineStr">
        <is>
          <t>AN/UPX-29(V), Identification Friend or Foe (IFF) MK12</t>
        </is>
      </c>
      <c r="B90" s="26" t="inlineStr">
        <is>
          <t>Electronics</t>
        </is>
      </c>
      <c r="C90" s="49">
        <f>SUMIFS(JB_26BV,JB_B,1,JB_EX,"P-8a",JB_CC,"Electronics",JB_H,"LHA",JB_CE,"AN/UPX-29(V), Identification Friend or Foe (IFF) MK12",JB_RC,"ALT")</f>
        <v/>
      </c>
      <c r="D90" s="37">
        <f>IFERROR(C90/C$123,0)</f>
        <v/>
      </c>
    </row>
    <row r="91" ht="10" customHeight="1">
      <c r="A91" s="30" t="inlineStr">
        <is>
          <t>AN/USG-2, Cooperative Engagement Transmission Processing Set (CETPS)</t>
        </is>
      </c>
      <c r="B91" s="26" t="inlineStr">
        <is>
          <t>Electronics</t>
        </is>
      </c>
      <c r="C91" s="49">
        <f>SUMIFS(JB_26BV,JB_B,1,JB_EX,"P-8a",JB_CC,"Electronics",JB_H,"LHA",JB_CE,"AN/USG-2, Cooperative Engagement Transmission Processing Set (CETPS)",JB_RC,"ALT")</f>
        <v/>
      </c>
      <c r="D91" s="37">
        <f>IFERROR(C91/C$123,0)</f>
        <v/>
      </c>
    </row>
    <row r="92" ht="10" customHeight="1">
      <c r="A92" s="30" t="inlineStr">
        <is>
          <t>Joint Precision Approach and Landing System (JPALS) (AN/USN-3(V)1, SSLS)</t>
        </is>
      </c>
      <c r="B92" s="26" t="inlineStr">
        <is>
          <t>Electronics</t>
        </is>
      </c>
      <c r="C92" s="49">
        <f>SUMIFS(JB_26BV,JB_B,1,JB_EX,"P-8a",JB_CC,"Electronics",JB_H,"LHA",JB_CE,"Joint Precision Approach and Landing System (JPALS) (AN/USN-3(V)1, SSLS)",JB_RC,"ALT")</f>
        <v/>
      </c>
      <c r="D92" s="37">
        <f>IFERROR(C92/C$123,0)</f>
        <v/>
      </c>
    </row>
    <row r="93" ht="10" customHeight="1">
      <c r="A93" s="30" t="inlineStr">
        <is>
          <t>USQ-82, Gigabit Ethernet Data Multiplex System (GEDMS)</t>
        </is>
      </c>
      <c r="B93" s="26" t="inlineStr">
        <is>
          <t>Electronics</t>
        </is>
      </c>
      <c r="C93" s="49">
        <f>SUMIFS(JB_26BV,JB_B,1,JB_EX,"P-8a",JB_CC,"Electronics",JB_H,"LHA",JB_CE,"USQ-82, Gigabit Ethernet Data Multiplex System (GEDMS)",JB_RC,"ALT")</f>
        <v/>
      </c>
      <c r="D93" s="37">
        <f>IFERROR(C93/C$123,0)</f>
        <v/>
      </c>
    </row>
    <row r="94" ht="10" customHeight="1">
      <c r="A94" s="30" t="inlineStr">
        <is>
          <t>Aircraft Control Approach Central AN/SPN-35C</t>
        </is>
      </c>
      <c r="B94" s="26" t="inlineStr">
        <is>
          <t>Electronics</t>
        </is>
      </c>
      <c r="C94" s="49">
        <f>SUMIFS(JB_26BV,JB_B,1,JB_EX,"P-8a",JB_CC,"Electronics",JB_H,"LHA",JB_CE,"Aircraft Control Approach Central AN/SPN-35C",JB_RC,"ALT")</f>
        <v/>
      </c>
      <c r="D94" s="37">
        <f>IFERROR(C94/C$123,0)</f>
        <v/>
      </c>
    </row>
    <row r="95" ht="10" customHeight="1">
      <c r="A95" s="30" t="inlineStr">
        <is>
          <t>Hierarchical Yet Dynamically Reprogrammable Architecture (HYDRA) AN/SRC-55</t>
        </is>
      </c>
      <c r="B95" s="26" t="inlineStr">
        <is>
          <t>Electronics</t>
        </is>
      </c>
      <c r="C95" s="49">
        <f>SUMIFS(JB_26BV,JB_B,1,JB_EX,"P-8a",JB_CC,"Electronics",JB_H,"LHA",JB_CE,"Hierarchical Yet Dynamically Reprogrammable Architecture (HYDRA) AN/SRC-55",JB_RC,"ALT")</f>
        <v/>
      </c>
      <c r="D95" s="37">
        <f>IFERROR(C95/C$123,0)</f>
        <v/>
      </c>
    </row>
    <row r="96" ht="10" customHeight="1">
      <c r="A96" s="30" t="inlineStr">
        <is>
          <t>AN/SLQ-25C, Torpedo Countermeasures Transmitting Set (NIXIE)</t>
        </is>
      </c>
      <c r="B96" s="26" t="inlineStr">
        <is>
          <t>Electronics</t>
        </is>
      </c>
      <c r="C96" s="49">
        <f>SUMIFS(JB_26BV,JB_B,1,JB_EX,"P-8a",JB_CC,"Electronics",JB_H,"LHA",JB_CE,"AN/SLQ-25C, Torpedo Countermeasures Transmitting Set (NIXIE)",JB_RC,"ALT")</f>
        <v/>
      </c>
      <c r="D96" s="37">
        <f>IFERROR(C96/C$123,0)</f>
        <v/>
      </c>
    </row>
    <row r="97" ht="10" customHeight="1">
      <c r="A97" s="30" t="inlineStr">
        <is>
          <t>Ring Laser Gyro Navigator (RLGN) AN/WSN-7</t>
        </is>
      </c>
      <c r="B97" s="26" t="inlineStr">
        <is>
          <t>Electronics</t>
        </is>
      </c>
      <c r="C97" s="49">
        <f>SUMIFS(JB_26BV,JB_B,1,JB_EX,"P-8a",JB_CC,"Electronics",JB_H,"LHA",JB_CE,"Ring Laser Gyro Navigator (RLGN) AN/WSN-7",JB_RC,"ALT")</f>
        <v/>
      </c>
      <c r="D97" s="37">
        <f>IFERROR(C97/C$123,0)</f>
        <v/>
      </c>
    </row>
    <row r="98" ht="10" customHeight="1">
      <c r="A98" s="30" t="inlineStr">
        <is>
          <t>Amphibious Air Traffic Control Direct Altitude and Identity Readout (AATC-DAIR)</t>
        </is>
      </c>
      <c r="B98" s="26" t="inlineStr">
        <is>
          <t>Electronics</t>
        </is>
      </c>
      <c r="C98" s="49">
        <f>SUMIFS(JB_26BV,JB_B,1,JB_EX,"P-8a",JB_CC,"Electronics",JB_H,"LHA",JB_CE,"Amphibious Air Traffic Control Direct Altitude and Identity Readout (AATC-DAIR)",JB_RC,"ALT")</f>
        <v/>
      </c>
      <c r="D98" s="37">
        <f>IFERROR(C98/C$123,0)</f>
        <v/>
      </c>
    </row>
    <row r="99" ht="10" customHeight="1">
      <c r="A99" s="30" t="inlineStr">
        <is>
          <t>Aircraft Approach Control Transmitting Set (AACTS) AN/SPN-41B</t>
        </is>
      </c>
      <c r="B99" s="26" t="inlineStr">
        <is>
          <t>Electronics</t>
        </is>
      </c>
      <c r="C99" s="49">
        <f>SUMIFS(JB_26BV,JB_B,1,JB_EX,"P-8a",JB_CC,"Electronics",JB_H,"LHA",JB_CE,"Aircraft Approach Control Transmitting Set (AACTS) AN/SPN-41B",JB_RC,"ALT")</f>
        <v/>
      </c>
      <c r="D99" s="37">
        <f>IFERROR(C99/C$123,0)</f>
        <v/>
      </c>
    </row>
    <row r="100" ht="10" customHeight="1">
      <c r="A100" s="30" t="inlineStr">
        <is>
          <t>Announcing Systems AN/SIA-127H</t>
        </is>
      </c>
      <c r="B100" s="26" t="inlineStr">
        <is>
          <t>Electronics</t>
        </is>
      </c>
      <c r="C100" s="49">
        <f>SUMIFS(JB_26BV,JB_B,1,JB_EX,"P-8a",JB_CC,"Electronics",JB_H,"LHA",JB_CE,"Announcing Systems AN/SIA-127H",JB_RC,"ALT")</f>
        <v/>
      </c>
      <c r="D100" s="37">
        <f>IFERROR(C100/C$123,0)</f>
        <v/>
      </c>
    </row>
    <row r="101" ht="10" customHeight="1">
      <c r="A101" s="30" t="inlineStr">
        <is>
          <t>SATCC</t>
        </is>
      </c>
      <c r="B101" s="26" t="inlineStr">
        <is>
          <t>Electronics</t>
        </is>
      </c>
      <c r="C101" s="49">
        <f>SUMIFS(JB_26BV,JB_B,1,JB_EX,"P-8a",JB_CC,"Electronics",JB_H,"LHA",JB_CE,"SATCC",JB_RC,"ALT")</f>
        <v/>
      </c>
      <c r="D101" s="37">
        <f>IFERROR(C101/C$123,0)</f>
        <v/>
      </c>
    </row>
    <row r="102" ht="10" customHeight="1">
      <c r="A102" s="30" t="inlineStr">
        <is>
          <t>Amphibious Assault Direction System (AADS)</t>
        </is>
      </c>
      <c r="B102" s="26" t="inlineStr">
        <is>
          <t>Electronics</t>
        </is>
      </c>
      <c r="C102" s="49">
        <f>SUMIFS(JB_26BV,JB_B,1,JB_EX,"P-8a",JB_CC,"Electronics",JB_H,"LHA",JB_CE,"Amphibious Assault Direction System (AADS)",JB_RC,"ALT")</f>
        <v/>
      </c>
      <c r="D102" s="37">
        <f>IFERROR(C102/C$123,0)</f>
        <v/>
      </c>
    </row>
    <row r="103" ht="10" customHeight="1">
      <c r="A103" s="30" t="inlineStr">
        <is>
          <t>30 TV</t>
        </is>
      </c>
      <c r="B103" s="26" t="inlineStr">
        <is>
          <t>Electronics</t>
        </is>
      </c>
      <c r="C103" s="49">
        <f>SUMIFS(JB_26BV,JB_B,1,JB_EX,"P-8a",JB_CC,"Electronics",JB_H,"LHA",JB_CE,"30 TV",JB_RC,"ALT")</f>
        <v/>
      </c>
      <c r="D103" s="37">
        <f>IFERROR(C103/C$123,0)</f>
        <v/>
      </c>
    </row>
    <row r="104" ht="10" customHeight="1">
      <c r="A104" s="30" t="inlineStr">
        <is>
          <t>MK 53 NULKA Decoy Launching System (DLS) Mod 3</t>
        </is>
      </c>
      <c r="B104" s="26" t="inlineStr">
        <is>
          <t>Electronics</t>
        </is>
      </c>
      <c r="C104" s="49">
        <f>SUMIFS(JB_26BV,JB_B,1,JB_EX,"P-8a",JB_CC,"Electronics",JB_H,"LHA",JB_CE,"MK 53 NULKA Decoy Launching System (DLS) Mod 3",JB_RC,"ALT")</f>
        <v/>
      </c>
      <c r="D104" s="37">
        <f>IFERROR(C104/C$123,0)</f>
        <v/>
      </c>
    </row>
    <row r="105" ht="10" customHeight="1">
      <c r="A105" s="30" t="inlineStr">
        <is>
          <t>Next Generation Navigational Radar</t>
        </is>
      </c>
      <c r="B105" s="26" t="inlineStr">
        <is>
          <t>Electronics</t>
        </is>
      </c>
      <c r="C105" s="49">
        <f>SUMIFS(JB_26BV,JB_B,1,JB_EX,"P-8a",JB_CC,"Electronics",JB_H,"LHA",JB_CE,"Next Generation Navigational Radar",JB_RC,"ALT")</f>
        <v/>
      </c>
      <c r="D105" s="37">
        <f>IFERROR(C105/C$123,0)</f>
        <v/>
      </c>
    </row>
    <row r="106" ht="10" customHeight="1">
      <c r="A106" s="30" t="inlineStr">
        <is>
          <t>AN/USQ-T46(V), Battle Force Tactical Training (BFTT)</t>
        </is>
      </c>
      <c r="B106" s="26" t="inlineStr">
        <is>
          <t>Electronics</t>
        </is>
      </c>
      <c r="C106" s="49">
        <f>SUMIFS(JB_26BV,JB_B,1,JB_EX,"P-8a",JB_CC,"Electronics",JB_H,"LHA",JB_CE,"AN/USQ-T46(V), Battle Force Tactical Training (BFTT)",JB_RC,"ALT")</f>
        <v/>
      </c>
      <c r="D106" s="37">
        <f>IFERROR(C106/C$123,0)</f>
        <v/>
      </c>
    </row>
    <row r="107" ht="10" customHeight="1">
      <c r="A107" s="30" t="inlineStr">
        <is>
          <t>Digital Photo Lab</t>
        </is>
      </c>
      <c r="B107" s="26" t="inlineStr">
        <is>
          <t>Electronics</t>
        </is>
      </c>
      <c r="C107" s="49">
        <f>SUMIFS(JB_26BV,JB_B,1,JB_EX,"P-8a",JB_CC,"Electronics",JB_H,"LHA",JB_CE,"Digital Photo Lab",JB_RC,"ALT")</f>
        <v/>
      </c>
      <c r="D107" s="37">
        <f>IFERROR(C107/C$123,0)</f>
        <v/>
      </c>
    </row>
    <row r="108" ht="10" customHeight="1">
      <c r="A108" s="30" t="inlineStr">
        <is>
          <t>Print Shop</t>
        </is>
      </c>
      <c r="B108" s="26" t="inlineStr">
        <is>
          <t>Electronics</t>
        </is>
      </c>
      <c r="C108" s="49">
        <f>SUMIFS(JB_26BV,JB_B,1,JB_EX,"P-8a",JB_CC,"Electronics",JB_H,"LHA",JB_CE,"Print Shop",JB_RC,"ALT")</f>
        <v/>
      </c>
      <c r="D108" s="37">
        <f>IFERROR(C108/C$123,0)</f>
        <v/>
      </c>
    </row>
    <row r="109" ht="10" customHeight="1">
      <c r="A109" s="30" t="inlineStr">
        <is>
          <t>Equipment &amp; Engineering</t>
        </is>
      </c>
      <c r="B109" s="26" t="inlineStr">
        <is>
          <t>Hull, Mechanical, and Electrical</t>
        </is>
      </c>
      <c r="C109" s="49">
        <f>SUMIFS(JB_26BV,JB_B,1,JB_EX,"P-8a",JB_CC,"Hull, Mechanical, and Electrical",JB_H,"LHA",JB_CE,"Equipment &amp; Engineering",JB_RC,"ALT")</f>
        <v/>
      </c>
      <c r="D109" s="37">
        <f>IFERROR(C109/C$123,0)</f>
        <v/>
      </c>
    </row>
    <row r="110" ht="10" customHeight="1">
      <c r="A110" s="30" t="inlineStr">
        <is>
          <t>Test &amp; Instrumentation</t>
        </is>
      </c>
      <c r="B110" s="26" t="inlineStr">
        <is>
          <t>Hull, Mechanical, and Electrical</t>
        </is>
      </c>
      <c r="C110" s="49">
        <f>SUMIFS(JB_26BV,JB_B,1,JB_EX,"P-8a",JB_CC,"Hull, Mechanical, and Electrical",JB_H,"LHA",JB_CE,"Test &amp; Instrumentation",JB_RC,"ALT")</f>
        <v/>
      </c>
      <c r="D110" s="37">
        <f>IFERROR(C110/C$123,0)</f>
        <v/>
      </c>
    </row>
    <row r="111" ht="10" customHeight="1">
      <c r="A111" s="30" t="inlineStr">
        <is>
          <t>SUPSHIP Material/Services</t>
        </is>
      </c>
      <c r="B111" s="26" t="inlineStr">
        <is>
          <t>Hull, Mechanical, and Electrical</t>
        </is>
      </c>
      <c r="C111" s="49">
        <f>SUMIFS(JB_26BV,JB_B,1,JB_EX,"P-8a",JB_CC,"Hull, Mechanical, and Electrical",JB_H,"LHA",JB_CE,"SUPSHIP Material/Services",JB_RC,"ALT")</f>
        <v/>
      </c>
      <c r="D111" s="37">
        <f>IFERROR(C111/C$123,0)</f>
        <v/>
      </c>
    </row>
    <row r="112" ht="10" customHeight="1">
      <c r="A112" s="30" t="inlineStr">
        <is>
          <t>Enterprise Air Surveillance Radar (EASR)</t>
        </is>
      </c>
      <c r="B112" s="26" t="inlineStr">
        <is>
          <t>Ordnance</t>
        </is>
      </c>
      <c r="C112" s="49">
        <f>SUMIFS(JB_26BV,JB_B,1,JB_EX,"P-8a",JB_CC,"Ordnance",JB_H,"LHA",JB_CE,"Enterprise Air Surveillance Radar (EASR)",JB_RC,"ALT")</f>
        <v/>
      </c>
      <c r="D112" s="37">
        <f>IFERROR(C112/C$123,0)</f>
        <v/>
      </c>
    </row>
    <row r="113" ht="10" customHeight="1">
      <c r="A113" s="30" t="inlineStr">
        <is>
          <t>NATO Sea Sparrow Missile System (NSSMS) MK 57 Mod 14</t>
        </is>
      </c>
      <c r="B113" s="26" t="inlineStr">
        <is>
          <t>Ordnance</t>
        </is>
      </c>
      <c r="C113" s="49">
        <f>SUMIFS(JB_26BV,JB_B,1,JB_EX,"P-8a",JB_CC,"Ordnance",JB_H,"LHA",JB_CE,"NATO Sea Sparrow Missile System (NSSMS) MK 57 Mod 14",JB_RC,"ALT")</f>
        <v/>
      </c>
      <c r="D113" s="37">
        <f>IFERROR(C113/C$123,0)</f>
        <v/>
      </c>
    </row>
    <row r="114" ht="10" customHeight="1">
      <c r="A114" s="30" t="inlineStr">
        <is>
          <t>MK31 Mod 3, Rolling Airframe Missile (RAM) (Tech Refresh)</t>
        </is>
      </c>
      <c r="B114" s="26" t="inlineStr">
        <is>
          <t>Ordnance</t>
        </is>
      </c>
      <c r="C114" s="49">
        <f>SUMIFS(JB_26BV,JB_B,1,JB_EX,"P-8a",JB_CC,"Ordnance",JB_H,"LHA",JB_CE,"MK31 Mod 3, Rolling Airframe Missile (RAM) (Tech Refresh)",JB_RC,"ALT")</f>
        <v/>
      </c>
      <c r="D114" s="37">
        <f>IFERROR(C114/C$123,0)</f>
        <v/>
      </c>
    </row>
    <row r="115" ht="10" customHeight="1">
      <c r="A115" s="30" t="inlineStr">
        <is>
          <t>PHALANX Block 1B MK15 Mod 21 &amp; 22, Close-in Weapon System (CIWS)</t>
        </is>
      </c>
      <c r="B115" s="26" t="inlineStr">
        <is>
          <t>Ordnance</t>
        </is>
      </c>
      <c r="C115" s="49">
        <f>SUMIFS(JB_26BV,JB_B,1,JB_EX,"P-8a",JB_CC,"Ordnance",JB_H,"LHA",JB_CE,"PHALANX Block 1B MK15 Mod 21 &amp; 22, Close-in Weapon System (CIWS)",JB_RC,"ALT")</f>
        <v/>
      </c>
      <c r="D115" s="37">
        <f>IFERROR(C115/C$123,0)</f>
        <v/>
      </c>
    </row>
    <row r="116" ht="10" customHeight="1">
      <c r="A116" s="30" t="inlineStr">
        <is>
          <t>Vertical/Stationary Take-Off Landing Optical Landing System (VSTOL OLS)</t>
        </is>
      </c>
      <c r="B116" s="26" t="inlineStr">
        <is>
          <t>Ordnance</t>
        </is>
      </c>
      <c r="C116" s="49">
        <f>SUMIFS(JB_26BV,JB_B,1,JB_EX,"P-8a",JB_CC,"Ordnance",JB_H,"LHA",JB_CE,"Vertical/Stationary Take-Off Landing Optical Landing System (VSTOL OLS)",JB_RC,"ALT")</f>
        <v/>
      </c>
      <c r="D116" s="37">
        <f>IFERROR(C116/C$123,0)</f>
        <v/>
      </c>
    </row>
    <row r="117" ht="10" customHeight="1">
      <c r="A117" s="30" t="inlineStr">
        <is>
          <t>Aviation Support</t>
        </is>
      </c>
      <c r="B117" s="26" t="inlineStr">
        <is>
          <t>Ordnance</t>
        </is>
      </c>
      <c r="C117" s="49">
        <f>SUMIFS(JB_26BV,JB_B,1,JB_EX,"P-8a",JB_CC,"Ordnance",JB_H,"LHA",JB_CE,"Aviation Support",JB_RC,"ALT")</f>
        <v/>
      </c>
      <c r="D117" s="37">
        <f>IFERROR(C117/C$123,0)</f>
        <v/>
      </c>
    </row>
    <row r="118" ht="10" customHeight="1">
      <c r="A118" s="30" t="inlineStr">
        <is>
          <t>AN/SPQ-9B Radar Set</t>
        </is>
      </c>
      <c r="B118" s="26" t="inlineStr">
        <is>
          <t>Ordnance</t>
        </is>
      </c>
      <c r="C118" s="49">
        <f>SUMIFS(JB_26BV,JB_B,1,JB_EX,"P-8a",JB_CC,"Ordnance",JB_H,"LHA",JB_CE,"AN/SPQ-9B Radar Set",JB_RC,"ALT")</f>
        <v/>
      </c>
      <c r="D118" s="37">
        <f>IFERROR(C118/C$123,0)</f>
        <v/>
      </c>
    </row>
    <row r="119" ht="10" customHeight="1">
      <c r="A119" s="30" t="inlineStr">
        <is>
          <t>MK 38 Mod 2 Stabilized Gun Stand Assembly</t>
        </is>
      </c>
      <c r="B119" s="26" t="inlineStr">
        <is>
          <t>Ordnance</t>
        </is>
      </c>
      <c r="C119" s="49">
        <f>SUMIFS(JB_26BV,JB_B,1,JB_EX,"P-8a",JB_CC,"Ordnance",JB_H,"LHA",JB_CE,"MK 38 Mod 2 Stabilized Gun Stand Assembly",JB_RC,"ALT")</f>
        <v/>
      </c>
      <c r="D119" s="37">
        <f>IFERROR(C119/C$123,0)</f>
        <v/>
      </c>
    </row>
    <row r="120" ht="10" customHeight="1">
      <c r="A120" s="30" t="inlineStr">
        <is>
          <t>Miscellaneous Ordnance</t>
        </is>
      </c>
      <c r="B120" s="26" t="inlineStr">
        <is>
          <t>Ordnance</t>
        </is>
      </c>
      <c r="C120" s="49">
        <f>SUMIFS(JB_26BV,JB_B,1,JB_EX,"P-8a",JB_CC,"Ordnance",JB_H,"LHA",JB_CE,"Miscellaneous Ordnance",JB_RC,"ALT")</f>
        <v/>
      </c>
      <c r="D120" s="37">
        <f>IFERROR(C120/C$123,0)</f>
        <v/>
      </c>
    </row>
    <row r="121" ht="10" customHeight="1">
      <c r="A121" s="30" t="inlineStr">
        <is>
          <t>MORIAH</t>
        </is>
      </c>
      <c r="B121" s="26" t="inlineStr">
        <is>
          <t>Ordnance</t>
        </is>
      </c>
      <c r="C121" s="49">
        <f>SUMIFS(JB_26BV,JB_B,1,JB_EX,"P-8a",JB_CC,"Ordnance",JB_H,"LHA",JB_CE,"MORIAH",JB_RC,"ALT")</f>
        <v/>
      </c>
      <c r="D121" s="37">
        <f>IFERROR(C121/C$123,0)</f>
        <v/>
      </c>
    </row>
    <row r="122" ht="10" customHeight="1">
      <c r="A122" s="30" t="inlineStr">
        <is>
          <t>AN/SPQ-14</t>
        </is>
      </c>
      <c r="B122" s="26" t="inlineStr">
        <is>
          <t>Ordnance</t>
        </is>
      </c>
      <c r="C122" s="49">
        <f>SUMIFS(JB_26BV,JB_B,1,JB_EX,"P-8a",JB_CC,"Ordnance",JB_H,"LHA",JB_CE,"AN/SPQ-14",JB_RC,"ALT")</f>
        <v/>
      </c>
      <c r="D122" s="37">
        <f>IFERROR(C122/C$123,0)</f>
        <v/>
      </c>
    </row>
    <row r="123" ht="10" customHeight="1">
      <c r="A123" s="32" t="inlineStr">
        <is>
          <t>LHA Total</t>
        </is>
      </c>
      <c r="B123" s="34" t="n"/>
      <c r="C123" s="33">
        <f>SUM(C84:C122)</f>
        <v/>
      </c>
      <c r="D123" s="38" t="n">
        <v>1</v>
      </c>
    </row>
    <row r="124" ht="10" customHeight="1"/>
    <row r="125" ht="10" customHeight="1">
      <c r="A125" s="46" t="inlineStr">
        <is>
          <t>FFG (Surface Combatants)</t>
        </is>
      </c>
      <c r="B125" s="39" t="n"/>
      <c r="C125" s="39" t="n"/>
      <c r="D125" s="39" t="n"/>
    </row>
    <row r="126" ht="10" customHeight="1">
      <c r="A126" s="29" t="inlineStr">
        <is>
          <t>System</t>
        </is>
      </c>
      <c r="B126" s="29" t="inlineStr">
        <is>
          <t>Cost Category</t>
        </is>
      </c>
      <c r="C126" s="29" t="inlineStr">
        <is>
          <t>FY2026 ($K)</t>
        </is>
      </c>
      <c r="D126" s="29" t="inlineStr">
        <is>
          <t>% of Hull</t>
        </is>
      </c>
    </row>
    <row r="127" ht="10" customHeight="1">
      <c r="A127" s="30" t="inlineStr">
        <is>
          <t>Enterprise Air Surveillance Radar (EASR)</t>
        </is>
      </c>
      <c r="B127" s="26" t="inlineStr">
        <is>
          <t>Electronics</t>
        </is>
      </c>
      <c r="C127" s="49">
        <f>SUMIFS(JB_26BV,JB_B,1,JB_EX,"P-8a",JB_CC,"Electronics",JB_H,"FFG",JB_CE,"Enterprise Air Surveillance Radar (EASR)",JB_RC,"ALT")</f>
        <v/>
      </c>
      <c r="D127" s="37">
        <f>IFERROR(C127/C$145,0)</f>
        <v/>
      </c>
    </row>
    <row r="128" ht="10" customHeight="1">
      <c r="A128" s="30" t="inlineStr">
        <is>
          <t>AEGIS Weapon System (AWS)</t>
        </is>
      </c>
      <c r="B128" s="26" t="inlineStr">
        <is>
          <t>Electronics</t>
        </is>
      </c>
      <c r="C128" s="49">
        <f>SUMIFS(JB_26BV,JB_B,1,JB_EX,"P-8a",JB_CC,"Electronics",JB_H,"FFG",JB_CE,"AEGIS Weapon System (AWS)",JB_RC,"ALT")</f>
        <v/>
      </c>
      <c r="D128" s="37">
        <f>IFERROR(C128/C$145,0)</f>
        <v/>
      </c>
    </row>
    <row r="129" ht="10" customHeight="1">
      <c r="A129" s="30" t="inlineStr">
        <is>
          <t>Anti-Submarine Warfare (ASW) Combat Suite</t>
        </is>
      </c>
      <c r="B129" s="26" t="inlineStr">
        <is>
          <t>Electronics</t>
        </is>
      </c>
      <c r="C129" s="49">
        <f>SUMIFS(JB_26BV,JB_B,1,JB_EX,"P-8a",JB_CC,"Electronics",JB_H,"FFG",JB_CE,"Anti-Submarine Warfare (ASW) Combat Suite",JB_RC,"ALT")</f>
        <v/>
      </c>
      <c r="D129" s="37">
        <f>IFERROR(C129/C$145,0)</f>
        <v/>
      </c>
    </row>
    <row r="130" ht="10" customHeight="1">
      <c r="A130" s="30" t="inlineStr">
        <is>
          <t>Tactical COMINT System- Spectral</t>
        </is>
      </c>
      <c r="B130" s="26" t="inlineStr">
        <is>
          <t>Electronics</t>
        </is>
      </c>
      <c r="C130" s="49">
        <f>SUMIFS(JB_26BV,JB_B,1,JB_EX,"P-8a",JB_CC,"Electronics",JB_H,"FFG",JB_CE,"Tactical COMINT System- Spectral",JB_RC,"ALT")</f>
        <v/>
      </c>
      <c r="D130" s="37">
        <f>IFERROR(C130/C$145,0)</f>
        <v/>
      </c>
    </row>
    <row r="131" ht="10" customHeight="1">
      <c r="A131" s="30" t="inlineStr">
        <is>
          <t>External Communication Suite (EXCOMM)</t>
        </is>
      </c>
      <c r="B131" s="26" t="inlineStr">
        <is>
          <t>Electronics</t>
        </is>
      </c>
      <c r="C131" s="49">
        <f>SUMIFS(JB_26BV,JB_B,1,JB_EX,"P-8a",JB_CC,"Electronics",JB_H,"FFG",JB_CE,"External Communication Suite (EXCOMM)",JB_RC,"ALT")</f>
        <v/>
      </c>
      <c r="D131" s="37">
        <f>IFERROR(C131/C$145,0)</f>
        <v/>
      </c>
    </row>
    <row r="132" ht="10" customHeight="1">
      <c r="A132" s="30" t="inlineStr">
        <is>
          <t>Cooperative Engagement Capability (CEC)</t>
        </is>
      </c>
      <c r="B132" s="26" t="inlineStr">
        <is>
          <t>Electronics</t>
        </is>
      </c>
      <c r="C132" s="49">
        <f>SUMIFS(JB_26BV,JB_B,1,JB_EX,"P-8a",JB_CC,"Electronics",JB_H,"FFG",JB_CE,"Cooperative Engagement Capability (CEC)",JB_RC,"ALT")</f>
        <v/>
      </c>
      <c r="D132" s="37">
        <f>IFERROR(C132/C$145,0)</f>
        <v/>
      </c>
    </row>
    <row r="133" ht="10" customHeight="1">
      <c r="A133" s="30" t="inlineStr">
        <is>
          <t>Identification Friend or Foe (IFF) UPX-29</t>
        </is>
      </c>
      <c r="B133" s="26" t="inlineStr">
        <is>
          <t>Electronics</t>
        </is>
      </c>
      <c r="C133" s="49">
        <f>SUMIFS(JB_26BV,JB_B,1,JB_EX,"P-8a",JB_CC,"Electronics",JB_H,"FFG",JB_CE,"Identification Friend or Foe (IFF) UPX-29",JB_RC,"ALT")</f>
        <v/>
      </c>
      <c r="D133" s="37">
        <f>IFERROR(C133/C$145,0)</f>
        <v/>
      </c>
    </row>
    <row r="134" ht="10" customHeight="1">
      <c r="A134" s="30" t="inlineStr">
        <is>
          <t>Aircraft Ship Integrated Securing and Traversing System (ASIST)</t>
        </is>
      </c>
      <c r="B134" s="26" t="inlineStr">
        <is>
          <t>Hull, Mechanical, and Electrical</t>
        </is>
      </c>
      <c r="C134" s="49">
        <f>SUMIFS(JB_26BV,JB_B,1,JB_EX,"P-8a",JB_CC,"Hull, Mechanical, and Electrical",JB_H,"FFG",JB_CE,"Aircraft Ship Integrated Securing and Traversing System (ASIST)",JB_RC,"ALT")</f>
        <v/>
      </c>
      <c r="D134" s="37">
        <f>IFERROR(C134/C$145,0)</f>
        <v/>
      </c>
    </row>
    <row r="135" ht="10" customHeight="1">
      <c r="A135" s="30" t="inlineStr">
        <is>
          <t>Other HM&amp;E</t>
        </is>
      </c>
      <c r="B135" s="26" t="inlineStr">
        <is>
          <t>Hull, Mechanical, and Electrical</t>
        </is>
      </c>
      <c r="C135" s="49">
        <f>SUMIFS(JB_26BV,JB_B,1,JB_EX,"P-8a",JB_CC,"Hull, Mechanical, and Electrical",JB_H,"FFG",JB_CE,"Other HM&amp;E",JB_RC,"ALT")</f>
        <v/>
      </c>
      <c r="D135" s="37">
        <f>IFERROR(C135/C$145,0)</f>
        <v/>
      </c>
    </row>
    <row r="136" ht="10" customHeight="1">
      <c r="A136" s="30" t="inlineStr">
        <is>
          <t>Internal Communication (IC) Voice</t>
        </is>
      </c>
      <c r="B136" s="26" t="inlineStr">
        <is>
          <t>Hull, Mechanical, and Electrical</t>
        </is>
      </c>
      <c r="C136" s="49">
        <f>SUMIFS(JB_26BV,JB_B,1,JB_EX,"P-8a",JB_CC,"Hull, Mechanical, and Electrical",JB_H,"FFG",JB_CE,"Internal Communication (IC) Voice",JB_RC,"ALT")</f>
        <v/>
      </c>
      <c r="D136" s="37">
        <f>IFERROR(C136/C$145,0)</f>
        <v/>
      </c>
    </row>
    <row r="137" ht="10" customHeight="1">
      <c r="A137" s="30" t="inlineStr">
        <is>
          <t>Interior Wireless Communication System (IWCS)</t>
        </is>
      </c>
      <c r="B137" s="26" t="inlineStr">
        <is>
          <t>Hull, Mechanical, and Electrical</t>
        </is>
      </c>
      <c r="C137" s="49">
        <f>SUMIFS(JB_26BV,JB_B,1,JB_EX,"P-8a",JB_CC,"Hull, Mechanical, and Electrical",JB_H,"FFG",JB_CE,"Interior Wireless Communication System (IWCS)",JB_RC,"ALT")</f>
        <v/>
      </c>
      <c r="D137" s="37">
        <f>IFERROR(C137/C$145,0)</f>
        <v/>
      </c>
    </row>
    <row r="138" ht="10" customHeight="1">
      <c r="A138" s="30" t="inlineStr">
        <is>
          <t>Unclassified Video System (UVS)</t>
        </is>
      </c>
      <c r="B138" s="26" t="inlineStr">
        <is>
          <t>Hull, Mechanical, and Electrical</t>
        </is>
      </c>
      <c r="C138" s="49">
        <f>SUMIFS(JB_26BV,JB_B,1,JB_EX,"P-8a",JB_CC,"Hull, Mechanical, and Electrical",JB_H,"FFG",JB_CE,"Unclassified Video System (UVS)",JB_RC,"ALT")</f>
        <v/>
      </c>
      <c r="D138" s="37">
        <f>IFERROR(C138/C$145,0)</f>
        <v/>
      </c>
    </row>
    <row r="139" ht="10" customHeight="1">
      <c r="A139" s="30" t="inlineStr">
        <is>
          <t>Ship Control System-Government (SCS GOV)</t>
        </is>
      </c>
      <c r="B139" s="26" t="inlineStr">
        <is>
          <t>Hull, Mechanical, and Electrical</t>
        </is>
      </c>
      <c r="C139" s="49">
        <f>SUMIFS(JB_26BV,JB_B,1,JB_EX,"P-8a",JB_CC,"Hull, Mechanical, and Electrical",JB_H,"FFG",JB_CE,"Ship Control System-Government (SCS GOV)",JB_RC,"ALT")</f>
        <v/>
      </c>
      <c r="D139" s="37">
        <f>IFERROR(C139/C$145,0)</f>
        <v/>
      </c>
    </row>
    <row r="140" ht="10" customHeight="1">
      <c r="A140" s="30" t="inlineStr">
        <is>
          <t>Advanced Flight Deck Lighting System (AFDLS)</t>
        </is>
      </c>
      <c r="B140" s="26" t="inlineStr">
        <is>
          <t>Hull, Mechanical, and Electrical</t>
        </is>
      </c>
      <c r="C140" s="49">
        <f>SUMIFS(JB_26BV,JB_B,1,JB_EX,"P-8a",JB_CC,"Hull, Mechanical, and Electrical",JB_H,"FFG",JB_CE,"Advanced Flight Deck Lighting System (AFDLS)",JB_RC,"ALT")</f>
        <v/>
      </c>
      <c r="D140" s="37">
        <f>IFERROR(C140/C$145,0)</f>
        <v/>
      </c>
    </row>
    <row r="141" ht="10" customHeight="1">
      <c r="A141" s="30" t="inlineStr">
        <is>
          <t>MK 41 Vertical Launch System (VLS)- 32 Cell</t>
        </is>
      </c>
      <c r="B141" s="26" t="inlineStr">
        <is>
          <t>Ordnance</t>
        </is>
      </c>
      <c r="C141" s="49">
        <f>SUMIFS(JB_26BV,JB_B,1,JB_EX,"P-8a",JB_CC,"Ordnance",JB_H,"FFG",JB_CE,"MK 41 Vertical Launch System (VLS)- 32 Cell",JB_RC,"ALT")</f>
        <v/>
      </c>
      <c r="D141" s="37">
        <f>IFERROR(C141/C$145,0)</f>
        <v/>
      </c>
    </row>
    <row r="142" ht="10" customHeight="1">
      <c r="A142" s="30" t="inlineStr">
        <is>
          <t>MK 48 Gun Weapon System (GWS)</t>
        </is>
      </c>
      <c r="B142" s="26" t="inlineStr">
        <is>
          <t>Ordnance</t>
        </is>
      </c>
      <c r="C142" s="49">
        <f>SUMIFS(JB_26BV,JB_B,1,JB_EX,"P-8a",JB_CC,"Ordnance",JB_H,"FFG",JB_CE,"MK 48 Gun Weapon System (GWS)",JB_RC,"ALT")</f>
        <v/>
      </c>
      <c r="D142" s="37">
        <f>IFERROR(C142/C$145,0)</f>
        <v/>
      </c>
    </row>
    <row r="143" ht="10" customHeight="1">
      <c r="A143" s="30" t="inlineStr">
        <is>
          <t>Other Ordnance</t>
        </is>
      </c>
      <c r="B143" s="26" t="inlineStr">
        <is>
          <t>Ordnance</t>
        </is>
      </c>
      <c r="C143" s="49">
        <f>SUMIFS(JB_26BV,JB_B,1,JB_EX,"P-8a",JB_CC,"Ordnance",JB_H,"FFG",JB_CE,"Other Ordnance",JB_RC,"ALT")</f>
        <v/>
      </c>
      <c r="D143" s="37">
        <f>IFERROR(C143/C$145,0)</f>
        <v/>
      </c>
    </row>
    <row r="144" ht="10" customHeight="1">
      <c r="A144" s="30" t="inlineStr">
        <is>
          <t>MK 53 Decoy Launching System (DLS) (Nulka)- 4 Launcher</t>
        </is>
      </c>
      <c r="B144" s="26" t="inlineStr">
        <is>
          <t>Ordnance</t>
        </is>
      </c>
      <c r="C144" s="49">
        <f>SUMIFS(JB_26BV,JB_B,1,JB_EX,"P-8a",JB_CC,"Ordnance",JB_H,"FFG",JB_CE,"MK 53 Decoy Launching System (DLS) (Nulka)- 4 Launcher",JB_RC,"ALT")</f>
        <v/>
      </c>
      <c r="D144" s="37">
        <f>IFERROR(C144/C$145,0)</f>
        <v/>
      </c>
    </row>
    <row r="145" ht="10" customHeight="1">
      <c r="A145" s="32" t="inlineStr">
        <is>
          <t>FFG Total</t>
        </is>
      </c>
      <c r="B145" s="34" t="n"/>
      <c r="C145" s="33">
        <f>SUM(C127:C144)</f>
        <v/>
      </c>
      <c r="D145" s="38" t="n">
        <v>1</v>
      </c>
    </row>
    <row r="146" ht="10" customHeight="1"/>
    <row r="147" ht="10" customHeight="1">
      <c r="A147" s="46" t="inlineStr">
        <is>
          <t>LPD (Amphibious Warfare Ships)</t>
        </is>
      </c>
      <c r="B147" s="39" t="n"/>
      <c r="C147" s="39" t="n"/>
      <c r="D147" s="39" t="n"/>
    </row>
    <row r="148" ht="10" customHeight="1">
      <c r="A148" s="29" t="inlineStr">
        <is>
          <t>System</t>
        </is>
      </c>
      <c r="B148" s="29" t="inlineStr">
        <is>
          <t>Cost Category</t>
        </is>
      </c>
      <c r="C148" s="29" t="inlineStr">
        <is>
          <t>FY2026 ($K)</t>
        </is>
      </c>
      <c r="D148" s="29" t="inlineStr">
        <is>
          <t>% of Hull</t>
        </is>
      </c>
    </row>
    <row r="149" ht="10" customHeight="1">
      <c r="A149" s="30" t="inlineStr">
        <is>
          <t>C4ISR</t>
        </is>
      </c>
      <c r="B149" s="26" t="inlineStr">
        <is>
          <t>Electronics</t>
        </is>
      </c>
      <c r="C149" s="49">
        <f>SUMIFS(JB_26BV,JB_B,1,JB_EX,"P-8a",JB_CC,"Electronics",JB_H,"LPD",JB_CE,"C4ISR",JB_RC,"ALT")</f>
        <v/>
      </c>
      <c r="D149" s="37">
        <f>IFERROR(C149/C$182,0)</f>
        <v/>
      </c>
    </row>
    <row r="150" ht="10" customHeight="1">
      <c r="A150" s="30" t="inlineStr">
        <is>
          <t>Mission Systems</t>
        </is>
      </c>
      <c r="B150" s="26" t="inlineStr">
        <is>
          <t>Electronics</t>
        </is>
      </c>
      <c r="C150" s="49">
        <f>SUMIFS(JB_26BV,JB_B,1,JB_EX,"P-8a",JB_CC,"Electronics",JB_H,"LPD",JB_CE,"Mission Systems",JB_RC,"ALT")</f>
        <v/>
      </c>
      <c r="D150" s="37">
        <f>IFERROR(C150/C$182,0)</f>
        <v/>
      </c>
    </row>
    <row r="151" ht="10" customHeight="1">
      <c r="A151" s="30" t="inlineStr">
        <is>
          <t>Miscellaneous Electronics</t>
        </is>
      </c>
      <c r="B151" s="26" t="inlineStr">
        <is>
          <t>Electronics</t>
        </is>
      </c>
      <c r="C151" s="49">
        <f>SUMIFS(JB_26BV,JB_B,1,JB_EX,"P-8a",JB_CC,"Electronics",JB_H,"LPD",JB_CE,"Miscellaneous Electronics",JB_RC,"ALT")</f>
        <v/>
      </c>
      <c r="D151" s="37">
        <f>IFERROR(C151/C$182,0)</f>
        <v/>
      </c>
    </row>
    <row r="152" ht="10" customHeight="1">
      <c r="A152" s="30" t="inlineStr">
        <is>
          <t>Ship Self Defense System (SSDS)</t>
        </is>
      </c>
      <c r="B152" s="26" t="inlineStr">
        <is>
          <t>Electronics</t>
        </is>
      </c>
      <c r="C152" s="49">
        <f>SUMIFS(JB_26BV,JB_B,1,JB_EX,"P-8a",JB_CC,"Electronics",JB_H,"LPD",JB_CE,"Ship Self Defense System (SSDS)",JB_RC,"ALT")</f>
        <v/>
      </c>
      <c r="D152" s="37">
        <f>IFERROR(C152/C$182,0)</f>
        <v/>
      </c>
    </row>
    <row r="153" ht="10" customHeight="1">
      <c r="A153" s="30" t="inlineStr">
        <is>
          <t>AN/SLQ-32(V)6 Surface Electronic Warfare Improvement Program (SEWIP)</t>
        </is>
      </c>
      <c r="B153" s="26" t="inlineStr">
        <is>
          <t>Electronics</t>
        </is>
      </c>
      <c r="C153" s="49">
        <f>SUMIFS(JB_26BV,JB_B,1,JB_EX,"P-8a",JB_CC,"Electronics",JB_H,"LPD",JB_CE,"AN/SLQ-32(V)6 Surface Electronic Warfare Improvement Program (SEWIP)",JB_RC,"ALT")</f>
        <v/>
      </c>
      <c r="D153" s="37">
        <f>IFERROR(C153/C$182,0)</f>
        <v/>
      </c>
    </row>
    <row r="154" ht="10" customHeight="1">
      <c r="A154" s="30" t="inlineStr">
        <is>
          <t>Cooperative Engagement Capability (CEC)</t>
        </is>
      </c>
      <c r="B154" s="26" t="inlineStr">
        <is>
          <t>Electronics</t>
        </is>
      </c>
      <c r="C154" s="49">
        <f>SUMIFS(JB_26BV,JB_B,1,JB_EX,"P-8a",JB_CC,"Electronics",JB_H,"LPD",JB_CE,"Cooperative Engagement Capability (CEC)",JB_RC,"ALT")</f>
        <v/>
      </c>
      <c r="D154" s="37">
        <f>IFERROR(C154/C$182,0)</f>
        <v/>
      </c>
    </row>
    <row r="155" ht="10" customHeight="1">
      <c r="A155" s="30" t="inlineStr">
        <is>
          <t>Interrogator System IFF (Identification Friend or Foe)</t>
        </is>
      </c>
      <c r="B155" s="26" t="inlineStr">
        <is>
          <t>Electronics</t>
        </is>
      </c>
      <c r="C155" s="49">
        <f>SUMIFS(JB_26BV,JB_B,1,JB_EX,"P-8a",JB_CC,"Electronics",JB_H,"LPD",JB_CE,"Interrogator System IFF (Identification Friend or Foe)",JB_RC,"ALT")</f>
        <v/>
      </c>
      <c r="D155" s="37">
        <f>IFERROR(C155/C$182,0)</f>
        <v/>
      </c>
    </row>
    <row r="156" ht="10" customHeight="1">
      <c r="A156" s="30" t="inlineStr">
        <is>
          <t>IWS CSI</t>
        </is>
      </c>
      <c r="B156" s="26" t="inlineStr">
        <is>
          <t>Electronics</t>
        </is>
      </c>
      <c r="C156" s="49">
        <f>SUMIFS(JB_26BV,JB_B,1,JB_EX,"P-8a",JB_CC,"Electronics",JB_H,"LPD",JB_CE,"IWS CSI",JB_RC,"ALT")</f>
        <v/>
      </c>
      <c r="D156" s="37">
        <f>IFERROR(C156/C$182,0)</f>
        <v/>
      </c>
    </row>
    <row r="157" ht="10" customHeight="1">
      <c r="A157" s="30" t="inlineStr">
        <is>
          <t>AN/WSN-7(RLGN)</t>
        </is>
      </c>
      <c r="B157" s="26" t="inlineStr">
        <is>
          <t>Electronics</t>
        </is>
      </c>
      <c r="C157" s="49">
        <f>SUMIFS(JB_26BV,JB_B,1,JB_EX,"P-8a",JB_CC,"Electronics",JB_H,"LPD",JB_CE,"AN/WSN-7(RLGN)",JB_RC,"ALT")</f>
        <v/>
      </c>
      <c r="D157" s="37">
        <f>IFERROR(C157/C$182,0)</f>
        <v/>
      </c>
    </row>
    <row r="158" ht="10" customHeight="1">
      <c r="A158" s="30" t="inlineStr">
        <is>
          <t>HM&amp;E Condition System (HMECS)</t>
        </is>
      </c>
      <c r="B158" s="26" t="inlineStr">
        <is>
          <t>Electronics</t>
        </is>
      </c>
      <c r="C158" s="49">
        <f>SUMIFS(JB_26BV,JB_B,1,JB_EX,"P-8a",JB_CC,"Electronics",JB_H,"LPD",JB_CE,"HM&amp;E Condition System (HMECS)",JB_RC,"ALT")</f>
        <v/>
      </c>
      <c r="D158" s="37">
        <f>IFERROR(C158/C$182,0)</f>
        <v/>
      </c>
    </row>
    <row r="159" ht="10" customHeight="1">
      <c r="A159" s="30" t="inlineStr">
        <is>
          <t>Electronic Charting Display and Information Systems-Navy (ECDIS-N)</t>
        </is>
      </c>
      <c r="B159" s="26" t="inlineStr">
        <is>
          <t>Electronics</t>
        </is>
      </c>
      <c r="C159" s="49">
        <f>SUMIFS(JB_26BV,JB_B,1,JB_EX,"P-8a",JB_CC,"Electronics",JB_H,"LPD",JB_CE,"Electronic Charting Display and Information Systems-Navy (ECDIS-N)",JB_RC,"ALT")</f>
        <v/>
      </c>
      <c r="D159" s="37">
        <f>IFERROR(C159/C$182,0)</f>
        <v/>
      </c>
    </row>
    <row r="160" ht="10" customHeight="1">
      <c r="A160" s="30" t="inlineStr">
        <is>
          <t>Nulka Decoy Launching System (DLS)</t>
        </is>
      </c>
      <c r="B160" s="26" t="inlineStr">
        <is>
          <t>Electronics</t>
        </is>
      </c>
      <c r="C160" s="49">
        <f>SUMIFS(JB_26BV,JB_B,1,JB_EX,"P-8a",JB_CC,"Electronics",JB_H,"LPD",JB_CE,"Nulka Decoy Launching System (DLS)",JB_RC,"ALT")</f>
        <v/>
      </c>
      <c r="D160" s="37">
        <f>IFERROR(C160/C$182,0)</f>
        <v/>
      </c>
    </row>
    <row r="161" ht="10" customHeight="1">
      <c r="A161" s="30" t="inlineStr">
        <is>
          <t>Advanced Training Domain (ATD)</t>
        </is>
      </c>
      <c r="B161" s="26" t="inlineStr">
        <is>
          <t>Electronics</t>
        </is>
      </c>
      <c r="C161" s="49">
        <f>SUMIFS(JB_26BV,JB_B,1,JB_EX,"P-8a",JB_CC,"Electronics",JB_H,"LPD",JB_CE,"Advanced Training Domain (ATD)",JB_RC,"ALT")</f>
        <v/>
      </c>
      <c r="D161" s="37">
        <f>IFERROR(C161/C$182,0)</f>
        <v/>
      </c>
    </row>
    <row r="162" ht="10" customHeight="1">
      <c r="A162" s="30" t="inlineStr">
        <is>
          <t>Amphibious Assault Direction System (AADS)</t>
        </is>
      </c>
      <c r="B162" s="26" t="inlineStr">
        <is>
          <t>Electronics</t>
        </is>
      </c>
      <c r="C162" s="49">
        <f>SUMIFS(JB_26BV,JB_B,1,JB_EX,"P-8a",JB_CC,"Electronics",JB_H,"LPD",JB_CE,"Amphibious Assault Direction System (AADS)",JB_RC,"ALT")</f>
        <v/>
      </c>
      <c r="D162" s="37">
        <f>IFERROR(C162/C$182,0)</f>
        <v/>
      </c>
    </row>
    <row r="163" ht="10" customHeight="1">
      <c r="A163" s="30" t="inlineStr">
        <is>
          <t>DHYSL</t>
        </is>
      </c>
      <c r="B163" s="26" t="inlineStr">
        <is>
          <t>Electronics</t>
        </is>
      </c>
      <c r="C163" s="49">
        <f>SUMIFS(JB_26BV,JB_B,1,JB_EX,"P-8a",JB_CC,"Electronics",JB_H,"LPD",JB_CE,"DHYSL",JB_RC,"ALT")</f>
        <v/>
      </c>
      <c r="D163" s="37">
        <f>IFERROR(C163/C$182,0)</f>
        <v/>
      </c>
    </row>
    <row r="164" ht="10" customHeight="1">
      <c r="A164" s="30" t="inlineStr">
        <is>
          <t>AN/UQN-10</t>
        </is>
      </c>
      <c r="B164" s="26" t="inlineStr">
        <is>
          <t>Electronics</t>
        </is>
      </c>
      <c r="C164" s="49">
        <f>SUMIFS(JB_26BV,JB_B,1,JB_EX,"P-8a",JB_CC,"Electronics",JB_H,"LPD",JB_CE,"AN/UQN-10",JB_RC,"ALT")</f>
        <v/>
      </c>
      <c r="D164" s="37">
        <f>IFERROR(C164/C$182,0)</f>
        <v/>
      </c>
    </row>
    <row r="165" ht="10" customHeight="1">
      <c r="A165" s="30" t="inlineStr">
        <is>
          <t>RADIAC</t>
        </is>
      </c>
      <c r="B165" s="26" t="inlineStr">
        <is>
          <t>Electronics</t>
        </is>
      </c>
      <c r="C165" s="49">
        <f>SUMIFS(JB_26BV,JB_B,1,JB_EX,"P-8a",JB_CC,"Electronics",JB_H,"LPD",JB_CE,"RADIAC",JB_RC,"ALT")</f>
        <v/>
      </c>
      <c r="D165" s="37">
        <f>IFERROR(C165/C$182,0)</f>
        <v/>
      </c>
    </row>
    <row r="166" ht="10" customHeight="1">
      <c r="A166" s="30" t="inlineStr">
        <is>
          <t>Unclassified Video System (UVS)</t>
        </is>
      </c>
      <c r="B166" s="26" t="inlineStr">
        <is>
          <t>Hull, Mechanical, and Electrical</t>
        </is>
      </c>
      <c r="C166" s="49">
        <f>SUMIFS(JB_26BV,JB_B,1,JB_EX,"P-8a",JB_CC,"Hull, Mechanical, and Electrical",JB_H,"LPD",JB_CE,"Unclassified Video System (UVS)",JB_RC,"ALT")</f>
        <v/>
      </c>
      <c r="D166" s="37">
        <f>IFERROR(C166/C$182,0)</f>
        <v/>
      </c>
    </row>
    <row r="167" ht="10" customHeight="1">
      <c r="A167" s="30" t="inlineStr">
        <is>
          <t>Forklift Trucks</t>
        </is>
      </c>
      <c r="B167" s="26" t="inlineStr">
        <is>
          <t>Hull, Mechanical, and Electrical</t>
        </is>
      </c>
      <c r="C167" s="49">
        <f>SUMIFS(JB_26BV,JB_B,1,JB_EX,"P-8a",JB_CC,"Hull, Mechanical, and Electrical",JB_H,"LPD",JB_CE,"Forklift Trucks",JB_RC,"ALT")</f>
        <v/>
      </c>
      <c r="D167" s="37">
        <f>IFERROR(C167/C$182,0)</f>
        <v/>
      </c>
    </row>
    <row r="168" ht="10" customHeight="1">
      <c r="A168" s="30" t="inlineStr">
        <is>
          <t>Chemical Warfare Detectors</t>
        </is>
      </c>
      <c r="B168" s="26" t="inlineStr">
        <is>
          <t>Hull, Mechanical, and Electrical</t>
        </is>
      </c>
      <c r="C168" s="49">
        <f>SUMIFS(JB_26BV,JB_B,1,JB_EX,"P-8a",JB_CC,"Hull, Mechanical, and Electrical",JB_H,"LPD",JB_CE,"Chemical Warfare Detectors",JB_RC,"ALT")</f>
        <v/>
      </c>
      <c r="D168" s="37">
        <f>IFERROR(C168/C$182,0)</f>
        <v/>
      </c>
    </row>
    <row r="169" ht="10" customHeight="1">
      <c r="A169" s="30" t="inlineStr">
        <is>
          <t>Motor Operated Pilot Valve (MOPV)</t>
        </is>
      </c>
      <c r="B169" s="26" t="inlineStr">
        <is>
          <t>Hull, Mechanical, and Electrical</t>
        </is>
      </c>
      <c r="C169" s="49">
        <f>SUMIFS(JB_26BV,JB_B,1,JB_EX,"P-8a",JB_CC,"Hull, Mechanical, and Electrical",JB_H,"LPD",JB_CE,"Motor Operated Pilot Valve (MOPV)",JB_RC,"ALT")</f>
        <v/>
      </c>
      <c r="D169" s="37">
        <f>IFERROR(C169/C$182,0)</f>
        <v/>
      </c>
    </row>
    <row r="170" ht="10" customHeight="1">
      <c r="A170" s="30" t="inlineStr">
        <is>
          <t>Plastic Waste Processing EQP</t>
        </is>
      </c>
      <c r="B170" s="26" t="inlineStr">
        <is>
          <t>Hull, Mechanical, and Electrical</t>
        </is>
      </c>
      <c r="C170" s="49">
        <f>SUMIFS(JB_26BV,JB_B,1,JB_EX,"P-8a",JB_CC,"Hull, Mechanical, and Electrical",JB_H,"LPD",JB_CE,"Plastic Waste Processing EQP",JB_RC,"ALT")</f>
        <v/>
      </c>
      <c r="D170" s="37">
        <f>IFERROR(C170/C$182,0)</f>
        <v/>
      </c>
    </row>
    <row r="171" ht="10" customHeight="1">
      <c r="A171" s="30" t="inlineStr">
        <is>
          <t>Boats (Rigid Inflatable Boat, 7 meter)</t>
        </is>
      </c>
      <c r="B171" s="26" t="inlineStr">
        <is>
          <t>Hull, Mechanical, and Electrical</t>
        </is>
      </c>
      <c r="C171" s="49">
        <f>SUMIFS(JB_26BV,JB_B,1,JB_EX,"P-8a",JB_CC,"Hull, Mechanical, and Electrical",JB_H,"LPD",JB_CE,"Boats (Rigid Inflatable Boat, 7 meter)",JB_RC,"ALT")</f>
        <v/>
      </c>
      <c r="D171" s="37">
        <f>IFERROR(C171/C$182,0)</f>
        <v/>
      </c>
    </row>
    <row r="172" ht="10" customHeight="1">
      <c r="A172" s="30" t="inlineStr">
        <is>
          <t>Military Payroll System</t>
        </is>
      </c>
      <c r="B172" s="26" t="inlineStr">
        <is>
          <t>Hull, Mechanical, and Electrical</t>
        </is>
      </c>
      <c r="C172" s="49">
        <f>SUMIFS(JB_26BV,JB_B,1,JB_EX,"P-8a",JB_CC,"Hull, Mechanical, and Electrical",JB_H,"LPD",JB_CE,"Military Payroll System",JB_RC,"ALT")</f>
        <v/>
      </c>
      <c r="D172" s="37">
        <f>IFERROR(C172/C$182,0)</f>
        <v/>
      </c>
    </row>
    <row r="173" ht="10" customHeight="1">
      <c r="A173" s="30" t="inlineStr">
        <is>
          <t>Oily Water Separator</t>
        </is>
      </c>
      <c r="B173" s="26" t="inlineStr">
        <is>
          <t>Hull, Mechanical, and Electrical</t>
        </is>
      </c>
      <c r="C173" s="49">
        <f>SUMIFS(JB_26BV,JB_B,1,JB_EX,"P-8a",JB_CC,"Hull, Mechanical, and Electrical",JB_H,"LPD",JB_CE,"Oily Water Separator",JB_RC,"ALT")</f>
        <v/>
      </c>
      <c r="D173" s="37">
        <f>IFERROR(C173/C$182,0)</f>
        <v/>
      </c>
    </row>
    <row r="174" ht="10" customHeight="1">
      <c r="A174" s="30" t="inlineStr">
        <is>
          <t>EASR</t>
        </is>
      </c>
      <c r="B174" s="26" t="inlineStr">
        <is>
          <t>Ordnance</t>
        </is>
      </c>
      <c r="C174" s="49">
        <f>SUMIFS(JB_26BV,JB_B,1,JB_EX,"P-8a",JB_CC,"Ordnance",JB_H,"LPD",JB_CE,"EASR",JB_RC,"ALT")</f>
        <v/>
      </c>
      <c r="D174" s="37">
        <f>IFERROR(C174/C$182,0)</f>
        <v/>
      </c>
    </row>
    <row r="175" ht="10" customHeight="1">
      <c r="A175" s="30" t="inlineStr">
        <is>
          <t>RAM BLOCK II</t>
        </is>
      </c>
      <c r="B175" s="26" t="inlineStr">
        <is>
          <t>Ordnance</t>
        </is>
      </c>
      <c r="C175" s="49">
        <f>SUMIFS(JB_26BV,JB_B,1,JB_EX,"P-8a",JB_CC,"Ordnance",JB_H,"LPD",JB_CE,"RAM BLOCK II",JB_RC,"ALT")</f>
        <v/>
      </c>
      <c r="D175" s="37">
        <f>IFERROR(C175/C$182,0)</f>
        <v/>
      </c>
    </row>
    <row r="176" ht="10" customHeight="1">
      <c r="A176" s="30" t="inlineStr">
        <is>
          <t>MISCELLANEOUS ORDNANCE</t>
        </is>
      </c>
      <c r="B176" s="26" t="inlineStr">
        <is>
          <t>Ordnance</t>
        </is>
      </c>
      <c r="C176" s="49">
        <f>SUMIFS(JB_26BV,JB_B,1,JB_EX,"P-8a",JB_CC,"Ordnance",JB_H,"LPD",JB_CE,"MISCELLANEOUS ORDNANCE",JB_RC,"ALT")</f>
        <v/>
      </c>
      <c r="D176" s="37">
        <f>IFERROR(C176/C$182,0)</f>
        <v/>
      </c>
    </row>
    <row r="177" ht="10" customHeight="1">
      <c r="A177" s="30" t="inlineStr">
        <is>
          <t>MK 46 GUN</t>
        </is>
      </c>
      <c r="B177" s="26" t="inlineStr">
        <is>
          <t>Ordnance</t>
        </is>
      </c>
      <c r="C177" s="49">
        <f>SUMIFS(JB_26BV,JB_B,1,JB_EX,"P-8a",JB_CC,"Ordnance",JB_H,"LPD",JB_CE,"MK 46 GUN",JB_RC,"ALT")</f>
        <v/>
      </c>
      <c r="D177" s="37">
        <f>IFERROR(C177/C$182,0)</f>
        <v/>
      </c>
    </row>
    <row r="178" ht="10" customHeight="1">
      <c r="A178" s="30" t="inlineStr">
        <is>
          <t>AN/SPQ-9B Radar Set</t>
        </is>
      </c>
      <c r="B178" s="26" t="inlineStr">
        <is>
          <t>Ordnance</t>
        </is>
      </c>
      <c r="C178" s="49">
        <f>SUMIFS(JB_26BV,JB_B,1,JB_EX,"P-8a",JB_CC,"Ordnance",JB_H,"LPD",JB_CE,"AN/SPQ-9B Radar Set",JB_RC,"ALT")</f>
        <v/>
      </c>
      <c r="D178" s="37">
        <f>IFERROR(C178/C$182,0)</f>
        <v/>
      </c>
    </row>
    <row r="179" ht="10" customHeight="1">
      <c r="A179" s="30" t="inlineStr">
        <is>
          <t>ASGSI/HOSS/MWS Fit Control &amp; Inst Land Sys</t>
        </is>
      </c>
      <c r="B179" s="26" t="inlineStr">
        <is>
          <t>Ordnance</t>
        </is>
      </c>
      <c r="C179" s="49">
        <f>SUMIFS(JB_26BV,JB_B,1,JB_EX,"P-8a",JB_CC,"Ordnance",JB_H,"LPD",JB_CE,"ASGSI/HOSS/MWS Fit Control &amp; Inst Land Sys",JB_RC,"ALT")</f>
        <v/>
      </c>
      <c r="D179" s="37">
        <f>IFERROR(C179/C$182,0)</f>
        <v/>
      </c>
    </row>
    <row r="180" ht="10" customHeight="1">
      <c r="A180" s="30" t="inlineStr">
        <is>
          <t>Next Generation Surface Search Radar (NGSSR)</t>
        </is>
      </c>
      <c r="B180" s="26" t="inlineStr">
        <is>
          <t>Ordnance</t>
        </is>
      </c>
      <c r="C180" s="49">
        <f>SUMIFS(JB_26BV,JB_B,1,JB_EX,"P-8a",JB_CC,"Ordnance",JB_H,"LPD",JB_CE,"Next Generation Surface Search Radar (NGSSR)",JB_RC,"ALT")</f>
        <v/>
      </c>
      <c r="D180" s="37">
        <f>IFERROR(C180/C$182,0)</f>
        <v/>
      </c>
    </row>
    <row r="181" ht="10" customHeight="1">
      <c r="A181" s="30" t="inlineStr">
        <is>
          <t>ORDNANCE HANDLING EQUIPMENT</t>
        </is>
      </c>
      <c r="B181" s="26" t="inlineStr">
        <is>
          <t>Ordnance</t>
        </is>
      </c>
      <c r="C181" s="49">
        <f>SUMIFS(JB_26BV,JB_B,1,JB_EX,"P-8a",JB_CC,"Ordnance",JB_H,"LPD",JB_CE,"ORDNANCE HANDLING EQUIPMENT",JB_RC,"ALT")</f>
        <v/>
      </c>
      <c r="D181" s="37">
        <f>IFERROR(C181/C$182,0)</f>
        <v/>
      </c>
    </row>
    <row r="182" ht="10" customHeight="1">
      <c r="A182" s="32" t="inlineStr">
        <is>
          <t>LPD Total</t>
        </is>
      </c>
      <c r="B182" s="34" t="n"/>
      <c r="C182" s="33">
        <f>SUM(C149:C181)</f>
        <v/>
      </c>
      <c r="D182" s="38" t="n">
        <v>1</v>
      </c>
    </row>
    <row r="183" ht="10" customHeight="1"/>
    <row r="184" ht="10" customHeight="1">
      <c r="A184" s="46" t="inlineStr">
        <is>
          <t>T-AGOS (Surveillance Ships)</t>
        </is>
      </c>
      <c r="B184" s="39" t="n"/>
      <c r="C184" s="39" t="n"/>
      <c r="D184" s="39" t="n"/>
    </row>
    <row r="185" ht="10" customHeight="1">
      <c r="A185" s="29" t="inlineStr">
        <is>
          <t>System</t>
        </is>
      </c>
      <c r="B185" s="29" t="inlineStr">
        <is>
          <t>Cost Category</t>
        </is>
      </c>
      <c r="C185" s="29" t="inlineStr">
        <is>
          <t>FY2026 ($K)</t>
        </is>
      </c>
      <c r="D185" s="29" t="inlineStr">
        <is>
          <t>% of Hull</t>
        </is>
      </c>
    </row>
    <row r="186" ht="10" customHeight="1">
      <c r="A186" s="30" t="inlineStr">
        <is>
          <t>Surveillance Towed Array Sensor System (SURTASS)</t>
        </is>
      </c>
      <c r="B186" s="26" t="inlineStr">
        <is>
          <t>Electronics</t>
        </is>
      </c>
      <c r="C186" s="49">
        <f>SUMIFS(JB_26BV,JB_B,1,JB_EX,"P-8a",JB_CC,"Electronics",JB_H,"T-AGOS",JB_CE,"Surveillance Towed Array Sensor System (SURTASS)",JB_RC,"ALT")</f>
        <v/>
      </c>
      <c r="D186" s="37">
        <f>IFERROR(C186/C$188,0)</f>
        <v/>
      </c>
    </row>
    <row r="187" ht="10" customHeight="1">
      <c r="A187" s="30" t="inlineStr">
        <is>
          <t>Command, Control, Communications, Computers and Intelligence (C4I)</t>
        </is>
      </c>
      <c r="B187" s="26" t="inlineStr">
        <is>
          <t>Electronics</t>
        </is>
      </c>
      <c r="C187" s="49">
        <f>SUMIFS(JB_26BV,JB_B,1,JB_EX,"P-8a",JB_CC,"Electronics",JB_H,"T-AGOS",JB_CE,"Command, Control, Communications, Computers and Intelligence (C4I)",JB_RC,"ALT")</f>
        <v/>
      </c>
      <c r="D187" s="37">
        <f>IFERROR(C187/C$188,0)</f>
        <v/>
      </c>
    </row>
    <row r="188" ht="10" customHeight="1">
      <c r="A188" s="32" t="inlineStr">
        <is>
          <t>T-AGOS Total</t>
        </is>
      </c>
      <c r="B188" s="34" t="n"/>
      <c r="C188" s="33">
        <f>SUM(C186:C187)</f>
        <v/>
      </c>
      <c r="D188" s="38" t="n">
        <v>1</v>
      </c>
    </row>
    <row r="189" ht="10" customHeight="1"/>
    <row r="190" ht="10" customHeight="1">
      <c r="A190" s="46" t="inlineStr">
        <is>
          <t>T-AO (Combat Logistics Ships)</t>
        </is>
      </c>
      <c r="B190" s="39" t="n"/>
      <c r="C190" s="39" t="n"/>
      <c r="D190" s="39" t="n"/>
    </row>
    <row r="191" ht="10" customHeight="1">
      <c r="A191" s="29" t="inlineStr">
        <is>
          <t>System</t>
        </is>
      </c>
      <c r="B191" s="29" t="inlineStr">
        <is>
          <t>Cost Category</t>
        </is>
      </c>
      <c r="C191" s="29" t="inlineStr">
        <is>
          <t>FY2026 ($K)</t>
        </is>
      </c>
      <c r="D191" s="29" t="inlineStr">
        <is>
          <t>% of Hull</t>
        </is>
      </c>
    </row>
    <row r="192" ht="10" customHeight="1">
      <c r="A192" s="30" t="inlineStr">
        <is>
          <t>Network Management System (NMS) 2.0/Consolidated Afloat Networks and Enterprise Services (CANES) [T-AO 214]</t>
        </is>
      </c>
      <c r="B192" s="26" t="inlineStr">
        <is>
          <t>Electronics</t>
        </is>
      </c>
      <c r="C192" s="49">
        <f>SUMIFS(JB_26BV,JB_B,1,JB_EX,"P-8a",JB_CC,"Electronics",JB_H,"T-AO",JB_CE,"Network Management System (NMS) 2.0/Consolidated Afloat Networks and Enterprise Services (CANES) [T-AO 214]",JB_RC,"ALT")</f>
        <v/>
      </c>
      <c r="D192" s="37">
        <f>IFERROR(C192/C$206,0)</f>
        <v/>
      </c>
    </row>
    <row r="193" ht="10" customHeight="1">
      <c r="A193" s="30" t="inlineStr">
        <is>
          <t>Minor Systems</t>
        </is>
      </c>
      <c r="B193" s="26" t="inlineStr">
        <is>
          <t>Electronics</t>
        </is>
      </c>
      <c r="C193" s="49">
        <f>SUMIFS(JB_26BV,JB_B,1,JB_EX,"P-8a",JB_CC,"Electronics",JB_H,"T-AO",JB_CE,"Minor Systems",JB_RC,"ALT")</f>
        <v/>
      </c>
      <c r="D193" s="37">
        <f>IFERROR(C193/C$206,0)</f>
        <v/>
      </c>
    </row>
    <row r="194" ht="10" customHeight="1">
      <c r="A194" s="30" t="inlineStr">
        <is>
          <t>Radio Communication System (RCS) TURNKEY</t>
        </is>
      </c>
      <c r="B194" s="26" t="inlineStr">
        <is>
          <t>Electronics</t>
        </is>
      </c>
      <c r="C194" s="49">
        <f>SUMIFS(JB_26BV,JB_B,1,JB_EX,"P-8a",JB_CC,"Electronics",JB_H,"T-AO",JB_CE,"Radio Communication System (RCS) TURNKEY",JB_RC,"ALT")</f>
        <v/>
      </c>
      <c r="D194" s="37">
        <f>IFERROR(C194/C$206,0)</f>
        <v/>
      </c>
    </row>
    <row r="195" ht="10" customHeight="1">
      <c r="A195" s="30" t="inlineStr">
        <is>
          <t>AN/SLQ-25 NIXIE</t>
        </is>
      </c>
      <c r="B195" s="26" t="inlineStr">
        <is>
          <t>Electronics</t>
        </is>
      </c>
      <c r="C195" s="49">
        <f>SUMIFS(JB_26BV,JB_B,1,JB_EX,"P-8a",JB_CC,"Electronics",JB_H,"T-AO",JB_CE,"AN/SLQ-25 NIXIE",JB_RC,"ALT")</f>
        <v/>
      </c>
      <c r="D195" s="37">
        <f>IFERROR(C195/C$206,0)</f>
        <v/>
      </c>
    </row>
    <row r="196" ht="10" customHeight="1">
      <c r="A196" s="30" t="inlineStr">
        <is>
          <t>Digital Modular Radio (DMR)</t>
        </is>
      </c>
      <c r="B196" s="26" t="inlineStr">
        <is>
          <t>Electronics</t>
        </is>
      </c>
      <c r="C196" s="49">
        <f>SUMIFS(JB_26BV,JB_B,1,JB_EX,"P-8a",JB_CC,"Electronics",JB_H,"T-AO",JB_CE,"Digital Modular Radio (DMR)",JB_RC,"ALT")</f>
        <v/>
      </c>
      <c r="D196" s="37">
        <f>IFERROR(C196/C$206,0)</f>
        <v/>
      </c>
    </row>
    <row r="197" ht="10" customHeight="1">
      <c r="A197" s="30" t="inlineStr">
        <is>
          <t>Commercial Broadband Satellite Program (CBSP)</t>
        </is>
      </c>
      <c r="B197" s="26" t="inlineStr">
        <is>
          <t>Electronics</t>
        </is>
      </c>
      <c r="C197" s="49">
        <f>SUMIFS(JB_26BV,JB_B,1,JB_EX,"P-8a",JB_CC,"Electronics",JB_H,"T-AO",JB_CE,"Commercial Broadband Satellite Program (CBSP)",JB_RC,"ALT")</f>
        <v/>
      </c>
      <c r="D197" s="37">
        <f>IFERROR(C197/C$206,0)</f>
        <v/>
      </c>
    </row>
    <row r="198" ht="10" customHeight="1">
      <c r="A198" s="30" t="inlineStr">
        <is>
          <t>OA-9277A</t>
        </is>
      </c>
      <c r="B198" s="26" t="inlineStr">
        <is>
          <t>Electronics</t>
        </is>
      </c>
      <c r="C198" s="49">
        <f>SUMIFS(JB_26BV,JB_B,1,JB_EX,"P-8a",JB_CC,"Electronics",JB_H,"T-AO",JB_CE,"OA-9277A",JB_RC,"ALT")</f>
        <v/>
      </c>
      <c r="D198" s="37">
        <f>IFERROR(C198/C$206,0)</f>
        <v/>
      </c>
    </row>
    <row r="199" ht="10" customHeight="1">
      <c r="A199" s="30" t="inlineStr">
        <is>
          <t>Battle Force Tactical Network (BFTN)/BFTN Resilient Command and Control System Enhancement (BRSE)</t>
        </is>
      </c>
      <c r="B199" s="26" t="inlineStr">
        <is>
          <t>Electronics</t>
        </is>
      </c>
      <c r="C199" s="49">
        <f>SUMIFS(JB_26BV,JB_B,1,JB_EX,"P-8a",JB_CC,"Electronics",JB_H,"T-AO",JB_CE,"Battle Force Tactical Network (BFTN)/BFTN Resilient Command and Control System Enhancement (BRSE)",JB_RC,"ALT")</f>
        <v/>
      </c>
      <c r="D199" s="37">
        <f>IFERROR(C199/C$206,0)</f>
        <v/>
      </c>
    </row>
    <row r="200" ht="10" customHeight="1">
      <c r="A200" s="30" t="inlineStr">
        <is>
          <t>AN/USQ-155 Tactical Variant Switch (TVS)</t>
        </is>
      </c>
      <c r="B200" s="26" t="inlineStr">
        <is>
          <t>Electronics</t>
        </is>
      </c>
      <c r="C200" s="49">
        <f>SUMIFS(JB_26BV,JB_B,1,JB_EX,"P-8a",JB_CC,"Electronics",JB_H,"T-AO",JB_CE,"AN/USQ-155 Tactical Variant Switch (TVS)",JB_RC,"ALT")</f>
        <v/>
      </c>
      <c r="D200" s="37">
        <f>IFERROR(C200/C$206,0)</f>
        <v/>
      </c>
    </row>
    <row r="201" ht="10" customHeight="1">
      <c r="A201" s="30" t="inlineStr">
        <is>
          <t>Engineering Services</t>
        </is>
      </c>
      <c r="B201" s="26" t="inlineStr">
        <is>
          <t>Hull, Mechanical, and Electrical</t>
        </is>
      </c>
      <c r="C201" s="49">
        <f>SUMIFS(JB_26BV,JB_B,1,JB_EX,"P-8a",JB_CC,"Hull, Mechanical, and Electrical",JB_H,"T-AO",JB_CE,"Engineering Services",JB_RC,"ALT")</f>
        <v/>
      </c>
      <c r="D201" s="37">
        <f>IFERROR(C201/C$206,0)</f>
        <v/>
      </c>
    </row>
    <row r="202" ht="10" customHeight="1">
      <c r="A202" s="30" t="inlineStr">
        <is>
          <t>Logistics Support Services</t>
        </is>
      </c>
      <c r="B202" s="26" t="inlineStr">
        <is>
          <t>Hull, Mechanical, and Electrical</t>
        </is>
      </c>
      <c r="C202" s="49">
        <f>SUMIFS(JB_26BV,JB_B,1,JB_EX,"P-8a",JB_CC,"Hull, Mechanical, and Electrical",JB_H,"T-AO",JB_CE,"Logistics Support Services",JB_RC,"ALT")</f>
        <v/>
      </c>
      <c r="D202" s="37">
        <f>IFERROR(C202/C$206,0)</f>
        <v/>
      </c>
    </row>
    <row r="203" ht="10" customHeight="1">
      <c r="A203" s="30" t="inlineStr">
        <is>
          <t>Material Handling Equipment</t>
        </is>
      </c>
      <c r="B203" s="26" t="inlineStr">
        <is>
          <t>Hull, Mechanical, and Electrical</t>
        </is>
      </c>
      <c r="C203" s="49">
        <f>SUMIFS(JB_26BV,JB_B,1,JB_EX,"P-8a",JB_CC,"Hull, Mechanical, and Electrical",JB_H,"T-AO",JB_CE,"Material Handling Equipment",JB_RC,"ALT")</f>
        <v/>
      </c>
      <c r="D203" s="37">
        <f>IFERROR(C203/C$206,0)</f>
        <v/>
      </c>
    </row>
    <row r="204" ht="10" customHeight="1">
      <c r="A204" s="30" t="inlineStr">
        <is>
          <t>Improved Point Detection System - Lifecycle Replacement (IPDS-LR)</t>
        </is>
      </c>
      <c r="B204" s="26" t="inlineStr">
        <is>
          <t>Hull, Mechanical, and Electrical</t>
        </is>
      </c>
      <c r="C204" s="49">
        <f>SUMIFS(JB_26BV,JB_B,1,JB_EX,"P-8a",JB_CC,"Hull, Mechanical, and Electrical",JB_H,"T-AO",JB_CE,"Improved Point Detection System - Lifecycle Replacement (IPDS-LR)",JB_RC,"ALT")</f>
        <v/>
      </c>
      <c r="D204" s="37">
        <f>IFERROR(C204/C$206,0)</f>
        <v/>
      </c>
    </row>
    <row r="205" ht="10" customHeight="1">
      <c r="A205" s="30" t="inlineStr">
        <is>
          <t>Shipboard Automated Maintenance Module (SAMM)</t>
        </is>
      </c>
      <c r="B205" s="26" t="inlineStr">
        <is>
          <t>Hull, Mechanical, and Electrical</t>
        </is>
      </c>
      <c r="C205" s="49">
        <f>SUMIFS(JB_26BV,JB_B,1,JB_EX,"P-8a",JB_CC,"Hull, Mechanical, and Electrical",JB_H,"T-AO",JB_CE,"Shipboard Automated Maintenance Module (SAMM)",JB_RC,"ALT")</f>
        <v/>
      </c>
      <c r="D205" s="37">
        <f>IFERROR(C205/C$206,0)</f>
        <v/>
      </c>
    </row>
    <row r="206" ht="10" customHeight="1">
      <c r="A206" s="32" t="inlineStr">
        <is>
          <t>T-AO Total</t>
        </is>
      </c>
      <c r="B206" s="34" t="n"/>
      <c r="C206" s="33">
        <f>SUM(C192:C205)</f>
        <v/>
      </c>
      <c r="D206" s="38" t="n">
        <v>1</v>
      </c>
    </row>
    <row r="207" ht="10" customHeight="1"/>
    <row r="208" ht="10" customHeight="1"/>
    <row r="209" ht="10" customHeight="1">
      <c r="A209" s="27" t="inlineStr">
        <is>
          <t>(C) Top P-8a Systems — Cross-Program Summary — FY2026 ($K)</t>
        </is>
      </c>
      <c r="B209" s="28" t="n"/>
      <c r="C209" s="28" t="n"/>
      <c r="D209" s="28" t="n"/>
      <c r="E209" s="28" t="n"/>
    </row>
    <row r="210" ht="10" customHeight="1">
      <c r="A210" s="26" t="inlineStr">
        <is>
          <t>Largest GFE systems aggregated across all SAM hull programs.</t>
        </is>
      </c>
    </row>
    <row r="211" ht="10" customHeight="1">
      <c r="A211" s="29" t="inlineStr">
        <is>
          <t>System</t>
        </is>
      </c>
      <c r="B211" s="29" t="inlineStr">
        <is>
          <t>Cost Category</t>
        </is>
      </c>
      <c r="C211" s="29" t="inlineStr">
        <is>
          <t>FY2026 ($K)</t>
        </is>
      </c>
      <c r="D211" s="29" t="inlineStr">
        <is>
          <t># Hulls</t>
        </is>
      </c>
      <c r="E211" s="29" t="inlineStr">
        <is>
          <t>Hull Programs</t>
        </is>
      </c>
    </row>
    <row r="212" ht="10" customHeight="1">
      <c r="A212" s="30" t="inlineStr">
        <is>
          <t>AN/SPY-6(V)1 (AMDR)</t>
        </is>
      </c>
      <c r="B212" s="26" t="inlineStr">
        <is>
          <t>Ordnance</t>
        </is>
      </c>
      <c r="C212" s="49">
        <f>SUMIFS(JB_26BV,JB_B,1,JB_EX,"P-8a",JB_CE,"AN/SPY-6(V)1 (AMDR)",JB_RC,"ALT")</f>
        <v/>
      </c>
      <c r="D212" s="30" t="n">
        <v>1</v>
      </c>
      <c r="E212" s="26" t="inlineStr">
        <is>
          <t>DDG</t>
        </is>
      </c>
    </row>
    <row r="213" ht="10" customHeight="1">
      <c r="A213" s="30" t="inlineStr">
        <is>
          <t>AEGIS WEAPON SYSTEM (MK-7)</t>
        </is>
      </c>
      <c r="B213" s="26" t="inlineStr">
        <is>
          <t>Ordnance</t>
        </is>
      </c>
      <c r="C213" s="49">
        <f>SUMIFS(JB_26BV,JB_B,1,JB_EX,"P-8a",JB_CE,"AEGIS WEAPON SYSTEM (MK-7)",JB_RC,"ALT")</f>
        <v/>
      </c>
      <c r="D213" s="30" t="n">
        <v>1</v>
      </c>
      <c r="E213" s="26" t="inlineStr">
        <is>
          <t>DDG</t>
        </is>
      </c>
    </row>
    <row r="214" ht="10" customHeight="1">
      <c r="A214" s="30" t="inlineStr">
        <is>
          <t>VERTICAL LAUNCHING SYSTEM (VLS) MK 57 4-CELL MODULES</t>
        </is>
      </c>
      <c r="B214" s="26" t="inlineStr">
        <is>
          <t>Electronics</t>
        </is>
      </c>
      <c r="C214" s="49">
        <f>SUMIFS(JB_26BV,JB_B,1,JB_EX,"P-8a",JB_CE,"VERTICAL LAUNCHING SYSTEM (VLS) MK 57 4-CELL MODULES",JB_RC,"ALT")</f>
        <v/>
      </c>
      <c r="D214" s="30" t="n">
        <v>1</v>
      </c>
      <c r="E214" s="26" t="inlineStr">
        <is>
          <t>DDG</t>
        </is>
      </c>
    </row>
    <row r="215" ht="10" customHeight="1">
      <c r="A215" s="30" t="inlineStr">
        <is>
          <t>MULTI FUNCTION RADAR (MFR)</t>
        </is>
      </c>
      <c r="B215" s="26" t="inlineStr">
        <is>
          <t>Electronics</t>
        </is>
      </c>
      <c r="C215" s="49">
        <f>SUMIFS(JB_26BV,JB_B,1,JB_EX,"P-8a",JB_CE,"MULTI FUNCTION RADAR (MFR)",JB_RC,"ALT")</f>
        <v/>
      </c>
      <c r="D215" s="30" t="n">
        <v>1</v>
      </c>
      <c r="E215" s="26" t="inlineStr">
        <is>
          <t>DDG</t>
        </is>
      </c>
    </row>
    <row r="216" ht="10" customHeight="1">
      <c r="A216" s="30" t="inlineStr">
        <is>
          <t>TOTAL SHIP COMPUTING ENVIRONMENT (TSCE)</t>
        </is>
      </c>
      <c r="B216" s="26" t="inlineStr">
        <is>
          <t>Electronics</t>
        </is>
      </c>
      <c r="C216" s="49">
        <f>SUMIFS(JB_26BV,JB_B,1,JB_EX,"P-8a",JB_CE,"TOTAL SHIP COMPUTING ENVIRONMENT (TSCE)",JB_RC,"ALT")</f>
        <v/>
      </c>
      <c r="D216" s="30" t="n">
        <v>1</v>
      </c>
      <c r="E216" s="26" t="inlineStr">
        <is>
          <t>DDG</t>
        </is>
      </c>
    </row>
    <row r="217" ht="10" customHeight="1">
      <c r="A217" s="30" t="inlineStr">
        <is>
          <t>ADVANCED GUN SYSTEM (AGS)</t>
        </is>
      </c>
      <c r="B217" s="26" t="inlineStr">
        <is>
          <t>Ordnance</t>
        </is>
      </c>
      <c r="C217" s="49">
        <f>SUMIFS(JB_26BV,JB_B,1,JB_EX,"P-8a",JB_CE,"ADVANCED GUN SYSTEM (AGS)",JB_RC,"ALT")</f>
        <v/>
      </c>
      <c r="D217" s="30" t="n">
        <v>1</v>
      </c>
      <c r="E217" s="26" t="inlineStr">
        <is>
          <t>DDG</t>
        </is>
      </c>
    </row>
    <row r="218" ht="10" customHeight="1">
      <c r="A218" s="30" t="inlineStr">
        <is>
          <t>AN/SLQ-32 SEWIP V(7)</t>
        </is>
      </c>
      <c r="B218" s="26" t="inlineStr">
        <is>
          <t>Electronics</t>
        </is>
      </c>
      <c r="C218" s="49">
        <f>SUMIFS(JB_26BV,JB_B,1,JB_EX,"P-8a",JB_CE,"AN/SLQ-32 SEWIP V(7)",JB_RC,"ALT")</f>
        <v/>
      </c>
      <c r="D218" s="30" t="n">
        <v>1</v>
      </c>
      <c r="E218" s="26" t="inlineStr">
        <is>
          <t>DDG</t>
        </is>
      </c>
    </row>
    <row r="219" ht="10" customHeight="1">
      <c r="A219" s="30" t="inlineStr">
        <is>
          <t>VLS MK 41</t>
        </is>
      </c>
      <c r="B219" s="26" t="inlineStr">
        <is>
          <t>Ordnance</t>
        </is>
      </c>
      <c r="C219" s="49">
        <f>SUMIFS(JB_26BV,JB_B,1,JB_EX,"P-8a",JB_CE,"VLS MK 41",JB_RC,"ALT")</f>
        <v/>
      </c>
      <c r="D219" s="30" t="n">
        <v>1</v>
      </c>
      <c r="E219" s="26" t="inlineStr">
        <is>
          <t>DDG</t>
        </is>
      </c>
    </row>
    <row r="220" ht="10" customHeight="1">
      <c r="A220" s="30" t="inlineStr">
        <is>
          <t>EXCOMM</t>
        </is>
      </c>
      <c r="B220" s="26" t="inlineStr">
        <is>
          <t>Electronics</t>
        </is>
      </c>
      <c r="C220" s="49">
        <f>SUMIFS(JB_26BV,JB_B,1,JB_EX,"P-8a",JB_CE,"EXCOMM",JB_RC,"ALT")</f>
        <v/>
      </c>
      <c r="D220" s="30" t="n">
        <v>1</v>
      </c>
      <c r="E220" s="26" t="inlineStr">
        <is>
          <t>DDG</t>
        </is>
      </c>
    </row>
    <row r="221" ht="10" customHeight="1">
      <c r="A221" s="30" t="inlineStr">
        <is>
          <t>MISC. ORDNANCE</t>
        </is>
      </c>
      <c r="B221" s="26" t="inlineStr">
        <is>
          <t>Ordnance</t>
        </is>
      </c>
      <c r="C221" s="49">
        <f>SUMIFS(JB_26BV,JB_B,1,JB_EX,"P-8a",JB_CE,"MISC. ORDNANCE",JB_RC,"ALT")</f>
        <v/>
      </c>
      <c r="D221" s="30" t="n">
        <v>1</v>
      </c>
      <c r="E221" s="26" t="inlineStr">
        <is>
          <t>DDG</t>
        </is>
      </c>
    </row>
    <row r="222" ht="10" customHeight="1">
      <c r="A222" s="30" t="inlineStr">
        <is>
          <t>SQQ 89 ASW</t>
        </is>
      </c>
      <c r="B222" s="26" t="inlineStr">
        <is>
          <t>Electronics</t>
        </is>
      </c>
      <c r="C222" s="49">
        <f>SUMIFS(JB_26BV,JB_B,1,JB_EX,"P-8a",JB_CE,"SQQ 89 ASW",JB_RC,"ALT")</f>
        <v/>
      </c>
      <c r="D222" s="30" t="n">
        <v>1</v>
      </c>
      <c r="E222" s="26" t="inlineStr">
        <is>
          <t>DDG</t>
        </is>
      </c>
    </row>
    <row r="223" ht="10" customHeight="1">
      <c r="A223" s="30" t="inlineStr">
        <is>
          <t>Command, Control, Communication, Computer Intelligence Surveillance and Reconnaissance (C4ISR)</t>
        </is>
      </c>
      <c r="B223" s="26" t="inlineStr">
        <is>
          <t>Electronics</t>
        </is>
      </c>
      <c r="C223" s="49">
        <f>SUMIFS(JB_26BV,JB_B,1,JB_EX,"P-8a",JB_CE,"Command, Control, Communication, Computer Intelligence Surveillance and Reconnaissance (C4ISR)",JB_RC,"ALT")</f>
        <v/>
      </c>
      <c r="D223" s="30" t="n">
        <v>1</v>
      </c>
      <c r="E223" s="26" t="inlineStr">
        <is>
          <t>LHA</t>
        </is>
      </c>
    </row>
    <row r="224" ht="10" customHeight="1">
      <c r="A224" s="30" t="inlineStr">
        <is>
          <t>Enterprise Air Surveillance Radar (EASR)</t>
        </is>
      </c>
      <c r="B224" s="26" t="inlineStr">
        <is>
          <t>Ordnance</t>
        </is>
      </c>
      <c r="C224" s="49">
        <f>SUMIFS(JB_26BV,JB_B,1,JB_EX,"P-8a",JB_CE,"Enterprise Air Surveillance Radar (EASR)",JB_RC,"ALT")</f>
        <v/>
      </c>
      <c r="D224" s="30" t="n">
        <v>2</v>
      </c>
      <c r="E224" s="26" t="inlineStr">
        <is>
          <t>FFG, LHA</t>
        </is>
      </c>
    </row>
    <row r="225" ht="10" customHeight="1">
      <c r="A225" s="30" t="inlineStr">
        <is>
          <t>MISSION SYSTEM ENGR INTEGR &amp; TEST (MSEIT)</t>
        </is>
      </c>
      <c r="B225" s="26" t="inlineStr">
        <is>
          <t>Electronics</t>
        </is>
      </c>
      <c r="C225" s="49">
        <f>SUMIFS(JB_26BV,JB_B,1,JB_EX,"P-8a",JB_CE,"MISSION SYSTEM ENGR INTEGR &amp; TEST (MSEIT)",JB_RC,"ALT")</f>
        <v/>
      </c>
      <c r="D225" s="30" t="n">
        <v>1</v>
      </c>
      <c r="E225" s="26" t="inlineStr">
        <is>
          <t>DDG</t>
        </is>
      </c>
    </row>
    <row r="226" ht="10" customHeight="1">
      <c r="A226" s="30" t="inlineStr">
        <is>
          <t>MISSION SYSTEM ACTIVATION</t>
        </is>
      </c>
      <c r="B226" s="26" t="inlineStr">
        <is>
          <t>Electronics</t>
        </is>
      </c>
      <c r="C226" s="49">
        <f>SUMIFS(JB_26BV,JB_B,1,JB_EX,"P-8a",JB_CE,"MISSION SYSTEM ACTIVATION",JB_RC,"ALT")</f>
        <v/>
      </c>
      <c r="D226" s="30" t="n">
        <v>1</v>
      </c>
      <c r="E226" s="26" t="inlineStr">
        <is>
          <t>DDG</t>
        </is>
      </c>
    </row>
    <row r="227" ht="10" customHeight="1">
      <c r="A227" s="30" t="inlineStr">
        <is>
          <t>SHIP CONTROL SYSTEM (SCS)</t>
        </is>
      </c>
      <c r="B227" s="26" t="inlineStr">
        <is>
          <t>Electronics</t>
        </is>
      </c>
      <c r="C227" s="49">
        <f>SUMIFS(JB_26BV,JB_B,1,JB_EX,"P-8a",JB_CE,"SHIP CONTROL SYSTEM (SCS)",JB_RC,"ALT")</f>
        <v/>
      </c>
      <c r="D227" s="30" t="n">
        <v>1</v>
      </c>
      <c r="E227" s="26" t="inlineStr">
        <is>
          <t>DDG</t>
        </is>
      </c>
    </row>
    <row r="228" ht="10" customHeight="1">
      <c r="A228" s="30" t="inlineStr">
        <is>
          <t>INTEGRATED UNDERSEA WARFARE (IUSW) SYSTEM</t>
        </is>
      </c>
      <c r="B228" s="26" t="inlineStr">
        <is>
          <t>Electronics</t>
        </is>
      </c>
      <c r="C228" s="49">
        <f>SUMIFS(JB_26BV,JB_B,1,JB_EX,"P-8a",JB_CE,"INTEGRATED UNDERSEA WARFARE (IUSW) SYSTEM",JB_RC,"ALT")</f>
        <v/>
      </c>
      <c r="D228" s="30" t="n">
        <v>1</v>
      </c>
      <c r="E228" s="26" t="inlineStr">
        <is>
          <t>DDG</t>
        </is>
      </c>
    </row>
    <row r="229" ht="10" customHeight="1">
      <c r="A229" s="30" t="inlineStr">
        <is>
          <t>MISC. ELECTRONICS</t>
        </is>
      </c>
      <c r="B229" s="26" t="inlineStr">
        <is>
          <t>Electronics</t>
        </is>
      </c>
      <c r="C229" s="49">
        <f>SUMIFS(JB_26BV,JB_B,1,JB_EX,"P-8a",JB_CE,"MISC. ELECTRONICS",JB_RC,"ALT")</f>
        <v/>
      </c>
      <c r="D229" s="30" t="n">
        <v>1</v>
      </c>
      <c r="E229" s="26" t="inlineStr">
        <is>
          <t>DDG</t>
        </is>
      </c>
    </row>
    <row r="230" ht="10" customHeight="1">
      <c r="A230" s="30" t="inlineStr">
        <is>
          <t>AEGIS Weapon System (AWS)</t>
        </is>
      </c>
      <c r="B230" s="26" t="inlineStr">
        <is>
          <t>Electronics</t>
        </is>
      </c>
      <c r="C230" s="49">
        <f>SUMIFS(JB_26BV,JB_B,1,JB_EX,"P-8a",JB_CE,"AEGIS Weapon System (AWS)",JB_RC,"ALT")</f>
        <v/>
      </c>
      <c r="D230" s="30" t="n">
        <v>1</v>
      </c>
      <c r="E230" s="26" t="inlineStr">
        <is>
          <t>FFG</t>
        </is>
      </c>
    </row>
    <row r="231" ht="10" customHeight="1">
      <c r="A231" s="30" t="inlineStr">
        <is>
          <t>MK 45 Light Weight Gun (LWG)</t>
        </is>
      </c>
      <c r="B231" s="26" t="inlineStr">
        <is>
          <t>Ordnance</t>
        </is>
      </c>
      <c r="C231" s="49">
        <f>SUMIFS(JB_26BV,JB_B,1,JB_EX,"P-8a",JB_CE,"MK 45 Light Weight Gun (LWG)",JB_RC,"ALT")</f>
        <v/>
      </c>
      <c r="D231" s="30" t="n">
        <v>1</v>
      </c>
      <c r="E231" s="26" t="inlineStr">
        <is>
          <t>DDG</t>
        </is>
      </c>
    </row>
    <row r="232" ht="10" customHeight="1">
      <c r="A232" s="30" t="inlineStr">
        <is>
          <t>Surveillance Towed Array Sensor System (SURTASS)</t>
        </is>
      </c>
      <c r="B232" s="26" t="inlineStr">
        <is>
          <t>Electronics</t>
        </is>
      </c>
      <c r="C232" s="49">
        <f>SUMIFS(JB_26BV,JB_B,1,JB_EX,"P-8a",JB_CE,"Surveillance Towed Array Sensor System (SURTASS)",JB_RC,"ALT")</f>
        <v/>
      </c>
      <c r="D232" s="30" t="n">
        <v>1</v>
      </c>
      <c r="E232" s="26" t="inlineStr">
        <is>
          <t>T-AGOS</t>
        </is>
      </c>
    </row>
    <row r="233" ht="10" customHeight="1">
      <c r="A233" s="30" t="inlineStr">
        <is>
          <t>C4ISR</t>
        </is>
      </c>
      <c r="B233" s="26" t="inlineStr">
        <is>
          <t>Electronics</t>
        </is>
      </c>
      <c r="C233" s="49">
        <f>SUMIFS(JB_26BV,JB_B,1,JB_EX,"P-8a",JB_CE,"C4ISR",JB_RC,"ALT")</f>
        <v/>
      </c>
      <c r="D233" s="30" t="n">
        <v>1</v>
      </c>
      <c r="E233" s="26" t="inlineStr">
        <is>
          <t>LPD</t>
        </is>
      </c>
    </row>
    <row r="234" ht="10" customHeight="1">
      <c r="A234" s="30" t="inlineStr">
        <is>
          <t>EXTERIOR COMMUNICATIONS (EXCOMMS)</t>
        </is>
      </c>
      <c r="B234" s="26" t="inlineStr">
        <is>
          <t>Electronics</t>
        </is>
      </c>
      <c r="C234" s="49">
        <f>SUMIFS(JB_26BV,JB_B,1,JB_EX,"P-8a",JB_CE,"EXTERIOR COMMUNICATIONS (EXCOMMS)",JB_RC,"ALT")</f>
        <v/>
      </c>
      <c r="D234" s="30" t="n">
        <v>1</v>
      </c>
      <c r="E234" s="26" t="inlineStr">
        <is>
          <t>DDG</t>
        </is>
      </c>
    </row>
    <row r="235" ht="10" customHeight="1">
      <c r="A235" s="30" t="inlineStr">
        <is>
          <t>SPECTRAL</t>
        </is>
      </c>
      <c r="B235" s="26" t="inlineStr">
        <is>
          <t>Electronics</t>
        </is>
      </c>
      <c r="C235" s="49">
        <f>SUMIFS(JB_26BV,JB_B,1,JB_EX,"P-8a",JB_CE,"SPECTRAL",JB_RC,"ALT")</f>
        <v/>
      </c>
      <c r="D235" s="30" t="n">
        <v>1</v>
      </c>
      <c r="E235" s="26" t="inlineStr">
        <is>
          <t>DDG</t>
        </is>
      </c>
    </row>
    <row r="236" ht="10" customHeight="1">
      <c r="A236" s="30" t="inlineStr">
        <is>
          <t>Anti-Submarine Warfare (ASW) Combat Suite</t>
        </is>
      </c>
      <c r="B236" s="26" t="inlineStr">
        <is>
          <t>Electronics</t>
        </is>
      </c>
      <c r="C236" s="49">
        <f>SUMIFS(JB_26BV,JB_B,1,JB_EX,"P-8a",JB_CE,"Anti-Submarine Warfare (ASW) Combat Suite",JB_RC,"ALT")</f>
        <v/>
      </c>
      <c r="D236" s="30" t="n">
        <v>1</v>
      </c>
      <c r="E236" s="26" t="inlineStr">
        <is>
          <t>FFG</t>
        </is>
      </c>
    </row>
    <row r="237" ht="10" customHeight="1">
      <c r="A237" s="30" t="inlineStr">
        <is>
          <t>DDG 1002 TSCE MODERNIZATION</t>
        </is>
      </c>
      <c r="B237" s="26" t="inlineStr">
        <is>
          <t>Electronics</t>
        </is>
      </c>
      <c r="C237" s="49">
        <f>SUMIFS(JB_26BV,JB_B,1,JB_EX,"P-8a",JB_CE,"DDG 1002 TSCE MODERNIZATION",JB_RC,"ALT")</f>
        <v/>
      </c>
      <c r="D237" s="30" t="n">
        <v>1</v>
      </c>
      <c r="E237" s="26" t="inlineStr">
        <is>
          <t>DDG</t>
        </is>
      </c>
    </row>
    <row r="238" ht="10" customHeight="1">
      <c r="A238" s="30" t="inlineStr">
        <is>
          <t>MK 41 Vertical Launch System (VLS)- 32 Cell</t>
        </is>
      </c>
      <c r="B238" s="26" t="inlineStr">
        <is>
          <t>Ordnance</t>
        </is>
      </c>
      <c r="C238" s="49">
        <f>SUMIFS(JB_26BV,JB_B,1,JB_EX,"P-8a",JB_CE,"MK 41 Vertical Launch System (VLS)- 32 Cell",JB_RC,"ALT")</f>
        <v/>
      </c>
      <c r="D238" s="30" t="n">
        <v>1</v>
      </c>
      <c r="E238" s="26" t="inlineStr">
        <is>
          <t>FFG</t>
        </is>
      </c>
    </row>
    <row r="239" ht="10" customHeight="1">
      <c r="A239" s="30" t="inlineStr">
        <is>
          <t>MISC. HM&amp;E</t>
        </is>
      </c>
      <c r="B239" s="26" t="inlineStr">
        <is>
          <t>Hull, Mechanical, and Electrical</t>
        </is>
      </c>
      <c r="C239" s="49">
        <f>SUMIFS(JB_26BV,JB_B,1,JB_EX,"P-8a",JB_CE,"MISC. HM&amp;E",JB_RC,"ALT")</f>
        <v/>
      </c>
      <c r="D239" s="30" t="n">
        <v>1</v>
      </c>
      <c r="E239" s="26" t="inlineStr">
        <is>
          <t>DDG</t>
        </is>
      </c>
    </row>
    <row r="240" ht="10" customHeight="1">
      <c r="A240" s="30" t="inlineStr">
        <is>
          <t>MK 37 TOMAHAWK</t>
        </is>
      </c>
      <c r="B240" s="26" t="inlineStr">
        <is>
          <t>Ordnance</t>
        </is>
      </c>
      <c r="C240" s="49">
        <f>SUMIFS(JB_26BV,JB_B,1,JB_EX,"P-8a",JB_CE,"MK 37 TOMAHAWK",JB_RC,"ALT")</f>
        <v/>
      </c>
      <c r="D240" s="30" t="n">
        <v>1</v>
      </c>
      <c r="E240" s="26" t="inlineStr">
        <is>
          <t>DDG</t>
        </is>
      </c>
    </row>
    <row r="241" ht="10" customHeight="1">
      <c r="A241" s="30" t="inlineStr">
        <is>
          <t>USQ 82(V) GEDMS</t>
        </is>
      </c>
      <c r="B241" s="26" t="inlineStr">
        <is>
          <t>Electronics</t>
        </is>
      </c>
      <c r="C241" s="49">
        <f>SUMIFS(JB_26BV,JB_B,1,JB_EX,"P-8a",JB_CE,"USQ 82(V) GEDMS",JB_RC,"ALT")</f>
        <v/>
      </c>
      <c r="D241" s="30" t="n">
        <v>1</v>
      </c>
      <c r="E241" s="26" t="inlineStr">
        <is>
          <t>DDG</t>
        </is>
      </c>
    </row>
    <row r="242" ht="10" customHeight="1">
      <c r="A242" s="32" t="inlineStr">
        <is>
          <t>Total (top systems)</t>
        </is>
      </c>
      <c r="B242" s="34" t="n"/>
      <c r="C242" s="33">
        <f>SUM(C212:C241)</f>
        <v/>
      </c>
      <c r="D242" s="34" t="n"/>
      <c r="E242" s="34" t="n"/>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4472C4"/>
    <outlinePr summaryBelow="1" summaryRight="1"/>
    <pageSetUpPr/>
  </sheetPr>
  <dimension ref="A1:L6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0" t="inlineStr">
        <is>
          <t xml:space="preserve">  Less: Boats</t>
        </is>
      </c>
      <c r="B9" s="31">
        <f>-(SUMIFS(JB_26BV,JB_B,2,JB_V,"Boats",JB_RC,"ADD")+SUMIFS(JB_26BV,JB_B,3,JB_V,"Boats",JB_RC,"ADD")+SUMIFS(JB_26BV,JB_B,4,JB_V,"Boats",JB_RC,"ADD")+SUMIFS(JB_26BV,JB_B,5,JB_V,"Boats",JB_RC,"ADD")+SUMIFS(JB_26BV,JB_B,6,JB_V,"Boats",JB_RC,"ADD")+SUMIFS(JB_26BV,JB_B,7,JB_V,"Boats",JB_RC,"ADD"))</f>
        <v/>
      </c>
    </row>
    <row r="10" ht="10" customHeight="1">
      <c r="A10" s="30" t="inlineStr">
        <is>
          <t xml:space="preserve">  Less: No vessel type designation</t>
        </is>
      </c>
      <c r="B10" s="31">
        <f>-(SUMIFS(JB_26BV,JB_B,2,JB_V,"Auxiliary Ships",JB_W,"",JB_RC,"ADD")+SUMIFS(JB_26BV,JB_B,2,JB_V,"Combatant Ships",JB_W,"",JB_RC,"ADD")+SUMIFS(JB_26BV,JB_B,2,JB_V,"Cutters",JB_W,"",JB_RC,"ADD")+SUMIFS(JB_26BV,JB_B,2,JB_V,"Unmanned Maritime Platforms",JB_W,"",JB_RC,"ADD")+SUMIFS(JB_26BV,JB_B,3,JB_V,"Auxiliary Ships",JB_W,"",JB_RC,"ADD")+SUMIFS(JB_26BV,JB_B,3,JB_V,"Combatant Ships",JB_W,"",JB_RC,"ADD")+SUMIFS(JB_26BV,JB_B,3,JB_V,"Cutters",JB_W,"",JB_RC,"ADD")+SUMIFS(JB_26BV,JB_B,3,JB_V,"Unmanned Maritime Platforms",JB_W,"",JB_RC,"ADD")+SUMIFS(JB_26BV,JB_B,4,JB_V,"Auxiliary Ships",JB_W,"",JB_RC,"ADD")+SUMIFS(JB_26BV,JB_B,4,JB_V,"Combatant Ships",JB_W,"",JB_RC,"ADD")+SUMIFS(JB_26BV,JB_B,4,JB_V,"Cutters",JB_W,"",JB_RC,"ADD")+SUMIFS(JB_26BV,JB_B,4,JB_V,"Unmanned Maritime Platforms",JB_W,"",JB_RC,"ADD")+SUMIFS(JB_26BV,JB_B,5,JB_V,"Auxiliary Ships",JB_W,"",JB_RC,"ADD")+SUMIFS(JB_26BV,JB_B,5,JB_V,"Combatant Ships",JB_W,"",JB_RC,"ADD")+SUMIFS(JB_26BV,JB_B,5,JB_V,"Cutters",JB_W,"",JB_RC,"ADD")+SUMIFS(JB_26BV,JB_B,5,JB_V,"Unmanned Maritime Platforms",JB_W,"",JB_RC,"ADD")+SUMIFS(JB_26BV,JB_B,6,JB_V,"Auxiliary Ships",JB_W,"",JB_RC,"ADD")+SUMIFS(JB_26BV,JB_B,6,JB_V,"Combatant Ships",JB_W,"",JB_RC,"ADD")+SUMIFS(JB_26BV,JB_B,6,JB_V,"Cutters",JB_W,"",JB_RC,"ADD")+SUMIFS(JB_26BV,JB_B,6,JB_V,"Unmanned Maritime Platforms",JB_W,"",JB_RC,"ADD")+SUMIFS(JB_26BV,JB_B,7,JB_V,"Auxiliary Ships",JB_W,"",JB_RC,"ADD")+SUMIFS(JB_26BV,JB_B,7,JB_V,"Combatant Ships",JB_W,"",JB_RC,"ADD")+SUMIFS(JB_26BV,JB_B,7,JB_V,"Cutters",JB_W,"",JB_RC,"ADD")+SUMIFS(JB_26BV,JB_B,7,JB_V,"Unmanned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FY2026 ($K)</t>
        </is>
      </c>
      <c r="C15" s="29" t="inlineStr">
        <is>
          <t>% of TAM</t>
        </is>
      </c>
    </row>
    <row r="16" ht="10" customHeight="1">
      <c r="A16" s="30" t="inlineStr">
        <is>
          <t>Scheduled Depot Maintenance</t>
        </is>
      </c>
      <c r="B16" s="31">
        <f>SUMIFS(JB_26BV,JB_B,2,JB_V,"Auxiliary Ships",JB_RC,"ADD")+SUMIFS(JB_26BV,JB_B,2,JB_V,"Combatant Ships",JB_RC,"ADD")+SUMIFS(JB_26BV,JB_B,2,JB_V,"Cutters",JB_RC,"ADD")+SUMIFS(JB_26BV,JB_B,2,JB_V,"Unmanned Maritime Platforms",JB_RC,"ADD")</f>
        <v/>
      </c>
      <c r="C16" s="37">
        <f>IFERROR(B16/B$22,0)</f>
        <v/>
      </c>
    </row>
    <row r="17" ht="10" customHeight="1">
      <c r="A17" s="30" t="inlineStr">
        <is>
          <t>Continuous / Emergent Maintenance</t>
        </is>
      </c>
      <c r="B17" s="31">
        <f>SUMIFS(JB_26BV,JB_B,3,JB_V,"Auxiliary Ships",JB_RC,"ADD")+SUMIFS(JB_26BV,JB_B,3,JB_V,"Combatant Ships",JB_RC,"ADD")+SUMIFS(JB_26BV,JB_B,3,JB_V,"Cutters",JB_RC,"ADD")+SUMIFS(JB_26BV,JB_B,3,JB_V,"Unmanned Maritime Platforms",JB_RC,"ADD")</f>
        <v/>
      </c>
      <c r="C17" s="37">
        <f>IFERROR(B17/B$22,0)</f>
        <v/>
      </c>
    </row>
    <row r="18" ht="10" customHeight="1">
      <c r="A18" s="30" t="inlineStr">
        <is>
          <t>Modernization</t>
        </is>
      </c>
      <c r="B18" s="31">
        <f>SUMIFS(JB_26BV,JB_B,4,JB_V,"Auxiliary Ships",JB_RC,"ADD")+SUMIFS(JB_26BV,JB_B,4,JB_V,"Combatant Ships",JB_RC,"ADD")+SUMIFS(JB_26BV,JB_B,4,JB_V,"Cutters",JB_RC,"ADD")+SUMIFS(JB_26BV,JB_B,4,JB_V,"Unmanned Maritime Platforms",JB_RC,"ADD")</f>
        <v/>
      </c>
      <c r="C18" s="37">
        <f>IFERROR(B18/B$22,0)</f>
        <v/>
      </c>
    </row>
    <row r="19" ht="10" customHeight="1">
      <c r="A19" s="30" t="inlineStr">
        <is>
          <t>Major Life-Cycle Events / RCOH</t>
        </is>
      </c>
      <c r="B19" s="31">
        <f>SUMIFS(JB_26BV,JB_B,5,JB_V,"Auxiliary Ships",JB_RC,"ADD")+SUMIFS(JB_26BV,JB_B,5,JB_V,"Combatant Ships",JB_RC,"ADD")+SUMIFS(JB_26BV,JB_B,5,JB_V,"Cutters",JB_RC,"ADD")+SUMIFS(JB_26BV,JB_B,5,JB_V,"Unmanned Maritime Platforms",JB_RC,"ADD")</f>
        <v/>
      </c>
      <c r="C19" s="37">
        <f>IFERROR(B19/B$22,0)</f>
        <v/>
      </c>
    </row>
    <row r="20" ht="10" customHeight="1">
      <c r="A20" s="30" t="inlineStr">
        <is>
          <t>Sustainment Engineering</t>
        </is>
      </c>
      <c r="B20" s="31">
        <f>SUMIFS(JB_26BV,JB_B,6,JB_V,"Auxiliary Ships",JB_RC,"ADD")+SUMIFS(JB_26BV,JB_B,6,JB_V,"Combatant Ships",JB_RC,"ADD")+SUMIFS(JB_26BV,JB_B,6,JB_V,"Cutters",JB_RC,"ADD")+SUMIFS(JB_26BV,JB_B,6,JB_V,"Unmanned Maritime Platforms",JB_RC,"ADD")</f>
        <v/>
      </c>
      <c r="C20" s="37">
        <f>IFERROR(B20/B$22,0)</f>
        <v/>
      </c>
    </row>
    <row r="21" ht="10" customHeight="1">
      <c r="A21" s="30" t="inlineStr">
        <is>
          <t>Availability Support</t>
        </is>
      </c>
      <c r="B21" s="31">
        <f>SUMIFS(JB_26BV,JB_B,7,JB_V,"Auxiliary Ships",JB_RC,"ADD")+SUMIFS(JB_26BV,JB_B,7,JB_V,"Combatant Ships",JB_RC,"ADD")+SUMIFS(JB_26BV,JB_B,7,JB_V,"Cutters",JB_RC,"ADD")+SUMIFS(JB_26BV,JB_B,7,JB_V,"Unmanned Maritime Platforms",JB_RC,"ADD")</f>
        <v/>
      </c>
      <c r="C21" s="37">
        <f>IFERROR(B21/B$22,0)</f>
        <v/>
      </c>
    </row>
    <row r="22" ht="10" customHeight="1">
      <c r="A22" s="32" t="inlineStr">
        <is>
          <t>MRO TAM</t>
        </is>
      </c>
      <c r="B22" s="33">
        <f>SUM(B16:B21)</f>
        <v/>
      </c>
      <c r="C22" s="38" t="n">
        <v>1</v>
      </c>
    </row>
    <row r="23" ht="10" customHeight="1"/>
    <row r="24" ht="10" customHeight="1"/>
    <row r="25" ht="10" customHeight="1">
      <c r="A25" s="27" t="inlineStr">
        <is>
          <t>(C) MRO TAM by Vessel Type</t>
        </is>
      </c>
      <c r="B25" s="28" t="n"/>
      <c r="C25" s="28" t="n"/>
      <c r="D25" s="28" t="n"/>
    </row>
    <row r="26" ht="10" customHeight="1">
      <c r="A26" s="29" t="inlineStr">
        <is>
          <t>Vessel Type</t>
        </is>
      </c>
      <c r="B26" s="29" t="inlineStr">
        <is>
          <t>Service</t>
        </is>
      </c>
      <c r="C26" s="29" t="inlineStr">
        <is>
          <t>FY2026 ($K)</t>
        </is>
      </c>
      <c r="D26" s="29" t="inlineStr">
        <is>
          <t>% of TAM</t>
        </is>
      </c>
    </row>
    <row r="27" ht="10" customHeight="1">
      <c r="A27" s="30" t="inlineStr">
        <is>
          <t>Submarines</t>
        </is>
      </c>
      <c r="B27" s="30" t="inlineStr">
        <is>
          <t>USN</t>
        </is>
      </c>
      <c r="C27" s="31">
        <f>SUMIFS(JB_26BV,JB_B,2,JB_W,"Submarines",JB_RC,"ADD")+SUMIFS(JB_26BV,JB_B,3,JB_W,"Submarines",JB_RC,"ADD")+SUMIFS(JB_26BV,JB_B,4,JB_W,"Submarines",JB_RC,"ADD")+SUMIFS(JB_26BV,JB_B,5,JB_W,"Submarines",JB_RC,"ADD")+SUMIFS(JB_26BV,JB_B,6,JB_W,"Submarines",JB_RC,"ADD")+SUMIFS(JB_26BV,JB_B,7,JB_W,"Submarines",JB_RC,"ADD")</f>
        <v/>
      </c>
      <c r="D27" s="37">
        <f>IFERROR(C27/C$55,0)</f>
        <v/>
      </c>
    </row>
    <row r="28" ht="10" customHeight="1">
      <c r="A28" s="30" t="inlineStr">
        <is>
          <t>Surface Combatants</t>
        </is>
      </c>
      <c r="B28" s="30" t="inlineStr">
        <is>
          <t>USN</t>
        </is>
      </c>
      <c r="C28"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8" s="37">
        <f>IFERROR(C28/C$55,0)</f>
        <v/>
      </c>
    </row>
    <row r="29" ht="10" customHeight="1">
      <c r="A29" s="30" t="inlineStr">
        <is>
          <t>Aircraft Carriers</t>
        </is>
      </c>
      <c r="B29" s="30" t="inlineStr">
        <is>
          <t>USN</t>
        </is>
      </c>
      <c r="C29"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9" s="37">
        <f>IFERROR(C29/C$55,0)</f>
        <v/>
      </c>
    </row>
    <row r="30" ht="10" customHeight="1">
      <c r="A30" s="30" t="inlineStr">
        <is>
          <t>Amphibious Warfare Ships</t>
        </is>
      </c>
      <c r="B30" s="30" t="inlineStr">
        <is>
          <t>USN</t>
        </is>
      </c>
      <c r="C30"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30" s="37">
        <f>IFERROR(C30/C$55,0)</f>
        <v/>
      </c>
    </row>
    <row r="31" ht="10" customHeight="1">
      <c r="A31" s="30" t="inlineStr">
        <is>
          <t>Expeditionary &amp; Seabasing Ships</t>
        </is>
      </c>
      <c r="B31" s="30" t="inlineStr">
        <is>
          <t>USN</t>
        </is>
      </c>
      <c r="C31"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31" s="37">
        <f>IFERROR(C31/C$55,0)</f>
        <v/>
      </c>
    </row>
    <row r="32" ht="10" customHeight="1">
      <c r="A32" s="30" t="inlineStr">
        <is>
          <t>Command Ships</t>
        </is>
      </c>
      <c r="B32" s="30" t="inlineStr">
        <is>
          <t>USN</t>
        </is>
      </c>
      <c r="C32" s="31">
        <f>SUMIFS(JB_26BV,JB_B,2,JB_W,"Command Ships",JB_RC,"ADD")+SUMIFS(JB_26BV,JB_B,3,JB_W,"Command Ships",JB_RC,"ADD")+SUMIFS(JB_26BV,JB_B,4,JB_W,"Command Ships",JB_RC,"ADD")+SUMIFS(JB_26BV,JB_B,5,JB_W,"Command Ships",JB_RC,"ADD")+SUMIFS(JB_26BV,JB_B,6,JB_W,"Command Ships",JB_RC,"ADD")+SUMIFS(JB_26BV,JB_B,7,JB_W,"Command Ships",JB_RC,"ADD")</f>
        <v/>
      </c>
      <c r="D32" s="37">
        <f>IFERROR(C32/C$55,0)</f>
        <v/>
      </c>
    </row>
    <row r="33" ht="10" customHeight="1">
      <c r="A33" s="30" t="inlineStr">
        <is>
          <t>Surveillance Ships</t>
        </is>
      </c>
      <c r="B33" s="30" t="inlineStr">
        <is>
          <t>USN</t>
        </is>
      </c>
      <c r="C33"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3" s="37">
        <f>IFERROR(C33/C$55,0)</f>
        <v/>
      </c>
    </row>
    <row r="34" ht="10" customHeight="1">
      <c r="A34" s="30" t="inlineStr">
        <is>
          <t>Mine Warfare</t>
        </is>
      </c>
      <c r="B34" s="30" t="inlineStr">
        <is>
          <t>USN</t>
        </is>
      </c>
      <c r="C34" s="31">
        <f>SUMIFS(JB_26BV,JB_B,2,JB_W,"Mine Warfare",JB_RC,"ADD")+SUMIFS(JB_26BV,JB_B,3,JB_W,"Mine Warfare",JB_RC,"ADD")+SUMIFS(JB_26BV,JB_B,4,JB_W,"Mine Warfare",JB_RC,"ADD")+SUMIFS(JB_26BV,JB_B,5,JB_W,"Mine Warfare",JB_RC,"ADD")+SUMIFS(JB_26BV,JB_B,6,JB_W,"Mine Warfare",JB_RC,"ADD")+SUMIFS(JB_26BV,JB_B,7,JB_W,"Mine Warfare",JB_RC,"ADD")</f>
        <v/>
      </c>
      <c r="D34" s="37">
        <f>IFERROR(C34/C$55,0)</f>
        <v/>
      </c>
    </row>
    <row r="35" ht="10" customHeight="1">
      <c r="A35" s="30" t="inlineStr">
        <is>
          <t>Unmanned Surface Vehicles</t>
        </is>
      </c>
      <c r="B35" s="30" t="inlineStr">
        <is>
          <t>USN</t>
        </is>
      </c>
      <c r="C35"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35" s="37">
        <f>IFERROR(C35/C$55,0)</f>
        <v/>
      </c>
    </row>
    <row r="36" ht="10" customHeight="1">
      <c r="A36" s="30" t="inlineStr">
        <is>
          <t>Aviation Logistics Support Ship</t>
        </is>
      </c>
      <c r="B36" s="30" t="inlineStr">
        <is>
          <t>USN</t>
        </is>
      </c>
      <c r="C36"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36" s="37">
        <f>IFERROR(C36/C$55,0)</f>
        <v/>
      </c>
    </row>
    <row r="37" ht="10" customHeight="1">
      <c r="A37" s="30" t="inlineStr">
        <is>
          <t>Cargo &amp; Vehicle Cargo Ships</t>
        </is>
      </c>
      <c r="B37" s="30" t="inlineStr">
        <is>
          <t>USN</t>
        </is>
      </c>
      <c r="C37"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37" s="37">
        <f>IFERROR(C37/C$55,0)</f>
        <v/>
      </c>
    </row>
    <row r="38" ht="10" customHeight="1">
      <c r="A38" s="30" t="inlineStr">
        <is>
          <t>Research, Survey &amp; Instrumentation Ships</t>
        </is>
      </c>
      <c r="B38" s="30" t="inlineStr">
        <is>
          <t>MSC</t>
        </is>
      </c>
      <c r="C38"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38" s="37">
        <f>IFERROR(C38/C$55,0)</f>
        <v/>
      </c>
    </row>
    <row r="39" ht="10" customHeight="1">
      <c r="A39" s="30" t="inlineStr">
        <is>
          <t>High Speed Transport</t>
        </is>
      </c>
      <c r="B39" s="30" t="inlineStr">
        <is>
          <t>USN</t>
        </is>
      </c>
      <c r="C39"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39" s="37">
        <f>IFERROR(C39/C$55,0)</f>
        <v/>
      </c>
    </row>
    <row r="40" ht="10" customHeight="1">
      <c r="A40" s="30" t="inlineStr">
        <is>
          <t>Crane Ship</t>
        </is>
      </c>
      <c r="B40" s="30" t="inlineStr">
        <is>
          <t>USN</t>
        </is>
      </c>
      <c r="C40" s="31">
        <f>SUMIFS(JB_26BV,JB_B,2,JB_W,"Crane Ship",JB_RC,"ADD")+SUMIFS(JB_26BV,JB_B,3,JB_W,"Crane Ship",JB_RC,"ADD")+SUMIFS(JB_26BV,JB_B,4,JB_W,"Crane Ship",JB_RC,"ADD")+SUMIFS(JB_26BV,JB_B,5,JB_W,"Crane Ship",JB_RC,"ADD")+SUMIFS(JB_26BV,JB_B,6,JB_W,"Crane Ship",JB_RC,"ADD")+SUMIFS(JB_26BV,JB_B,7,JB_W,"Crane Ship",JB_RC,"ADD")</f>
        <v/>
      </c>
      <c r="D40" s="37">
        <f>IFERROR(C40/C$55,0)</f>
        <v/>
      </c>
    </row>
    <row r="41" ht="10" customHeight="1">
      <c r="A41" s="30" t="inlineStr">
        <is>
          <t>Submarine Escort Ship</t>
        </is>
      </c>
      <c r="B41" s="30" t="inlineStr">
        <is>
          <t>USN</t>
        </is>
      </c>
      <c r="C41"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41" s="37">
        <f>IFERROR(C41/C$55,0)</f>
        <v/>
      </c>
    </row>
    <row r="42" ht="10" customHeight="1">
      <c r="A42" s="30" t="inlineStr">
        <is>
          <t>Material Support Ships</t>
        </is>
      </c>
      <c r="B42" s="30" t="inlineStr">
        <is>
          <t>USN</t>
        </is>
      </c>
      <c r="C42"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42" s="37">
        <f>IFERROR(C42/C$55,0)</f>
        <v/>
      </c>
    </row>
    <row r="43" ht="10" customHeight="1">
      <c r="A43" s="30" t="inlineStr">
        <is>
          <t>Combat Logistics Ships</t>
        </is>
      </c>
      <c r="B43" s="30" t="inlineStr">
        <is>
          <t>MSC</t>
        </is>
      </c>
      <c r="C43"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43" s="37">
        <f>IFERROR(C43/C$55,0)</f>
        <v/>
      </c>
    </row>
    <row r="44" ht="10" customHeight="1">
      <c r="A44" s="30" t="inlineStr">
        <is>
          <t>Unmanned Undersea Vehicles</t>
        </is>
      </c>
      <c r="B44" s="30" t="inlineStr">
        <is>
          <t>USN</t>
        </is>
      </c>
      <c r="C44"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44" s="37">
        <f>IFERROR(C44/C$55,0)</f>
        <v/>
      </c>
    </row>
    <row r="45" ht="10" customHeight="1">
      <c r="A45" s="30" t="inlineStr">
        <is>
          <t>Salvage Ships &amp; Fleet Ocean Tugs</t>
        </is>
      </c>
      <c r="B45" s="30" t="inlineStr">
        <is>
          <t>MSC</t>
        </is>
      </c>
      <c r="C45"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45" s="37">
        <f>IFERROR(C45/C$55,0)</f>
        <v/>
      </c>
    </row>
    <row r="46" ht="10" customHeight="1">
      <c r="A46" s="30" t="inlineStr">
        <is>
          <t>General Auxiliary</t>
        </is>
      </c>
      <c r="B46" s="30" t="inlineStr">
        <is>
          <t>USN</t>
        </is>
      </c>
      <c r="C46"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46" s="37">
        <f>IFERROR(C46/C$55,0)</f>
        <v/>
      </c>
    </row>
    <row r="47" ht="10" customHeight="1">
      <c r="A47" s="30" t="inlineStr">
        <is>
          <t>Hospital Ship</t>
        </is>
      </c>
      <c r="B47" s="30" t="inlineStr">
        <is>
          <t>MSC</t>
        </is>
      </c>
      <c r="C47" s="31">
        <f>SUMIFS(JB_26BV,JB_B,2,JB_W,"Hospital Ship",JB_RC,"ADD")+SUMIFS(JB_26BV,JB_B,3,JB_W,"Hospital Ship",JB_RC,"ADD")+SUMIFS(JB_26BV,JB_B,4,JB_W,"Hospital Ship",JB_RC,"ADD")+SUMIFS(JB_26BV,JB_B,5,JB_W,"Hospital Ship",JB_RC,"ADD")+SUMIFS(JB_26BV,JB_B,6,JB_W,"Hospital Ship",JB_RC,"ADD")+SUMIFS(JB_26BV,JB_B,7,JB_W,"Hospital Ship",JB_RC,"ADD")</f>
        <v/>
      </c>
      <c r="D47" s="37">
        <f>IFERROR(C47/C$55,0)</f>
        <v/>
      </c>
    </row>
    <row r="48" ht="10" customHeight="1">
      <c r="A48" s="30" t="inlineStr">
        <is>
          <t>National Security Cutters</t>
        </is>
      </c>
      <c r="B48" s="30" t="inlineStr">
        <is>
          <t>USCG</t>
        </is>
      </c>
      <c r="C48"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8" s="37">
        <f>IFERROR(C48/C$55,0)</f>
        <v/>
      </c>
    </row>
    <row r="49" ht="10" customHeight="1">
      <c r="A49" s="30" t="inlineStr">
        <is>
          <t>Coastal Buoy Tenders</t>
        </is>
      </c>
      <c r="B49" s="30" t="inlineStr">
        <is>
          <t>USCG</t>
        </is>
      </c>
      <c r="C49"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49" s="37">
        <f>IFERROR(C49/C$55,0)</f>
        <v/>
      </c>
    </row>
    <row r="50" ht="10" customHeight="1">
      <c r="A50" s="30" t="inlineStr">
        <is>
          <t>Icebreakers, Oceangoing</t>
        </is>
      </c>
      <c r="B50" s="30" t="inlineStr">
        <is>
          <t>USCG</t>
        </is>
      </c>
      <c r="C50"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50" s="37">
        <f>IFERROR(C50/C$55,0)</f>
        <v/>
      </c>
    </row>
    <row r="51" ht="10" customHeight="1">
      <c r="A51" s="30" t="inlineStr">
        <is>
          <t>Fast Response Cutters</t>
        </is>
      </c>
      <c r="B51" s="30" t="inlineStr">
        <is>
          <t>USCG</t>
        </is>
      </c>
      <c r="C51"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51" s="37">
        <f>IFERROR(C51/C$55,0)</f>
        <v/>
      </c>
    </row>
    <row r="52" ht="10" customHeight="1">
      <c r="A52" s="30" t="inlineStr">
        <is>
          <t>Offshore Patrol Cutter</t>
        </is>
      </c>
      <c r="B52" s="30" t="inlineStr">
        <is>
          <t>USCG</t>
        </is>
      </c>
      <c r="C52"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52" s="37">
        <f>IFERROR(C52/C$55,0)</f>
        <v/>
      </c>
    </row>
    <row r="53" ht="10" customHeight="1">
      <c r="A53" s="30" t="inlineStr">
        <is>
          <t>Waterways Commerce Cutters</t>
        </is>
      </c>
      <c r="B53" s="30" t="inlineStr">
        <is>
          <t>USCG</t>
        </is>
      </c>
      <c r="C53"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53" s="37">
        <f>IFERROR(C53/C$55,0)</f>
        <v/>
      </c>
    </row>
    <row r="54" ht="10" customHeight="1">
      <c r="A54" s="30" t="inlineStr">
        <is>
          <t>Icebreakers, Great Lakes</t>
        </is>
      </c>
      <c r="B54" s="30" t="inlineStr">
        <is>
          <t>USCG</t>
        </is>
      </c>
      <c r="C54"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54" s="37">
        <f>IFERROR(C54/C$55,0)</f>
        <v/>
      </c>
    </row>
    <row r="55" ht="10" customHeight="1">
      <c r="A55" s="32" t="inlineStr">
        <is>
          <t>MRO TAM</t>
        </is>
      </c>
      <c r="B55" s="32" t="inlineStr"/>
      <c r="C55" s="33">
        <f>SUM(C27:C54)</f>
        <v/>
      </c>
      <c r="D55" s="38" t="n">
        <v>1</v>
      </c>
    </row>
    <row r="56" ht="10" customHeight="1"/>
    <row r="57" ht="10" customHeight="1"/>
    <row r="58" ht="10" customHeight="1">
      <c r="A58" s="27" t="inlineStr">
        <is>
          <t>(D) MRO TAM — Work Type by Vessel Type (Mekko)</t>
        </is>
      </c>
      <c r="B58" s="28" t="n"/>
      <c r="C58" s="28" t="n"/>
      <c r="D58" s="28" t="n"/>
      <c r="E58" s="28" t="n"/>
      <c r="F58" s="28" t="n"/>
      <c r="G58" s="28" t="n"/>
      <c r="H58" s="28" t="n"/>
      <c r="I58" s="28" t="n"/>
      <c r="J58" s="28" t="n"/>
      <c r="K58" s="28" t="n"/>
    </row>
    <row r="59" ht="10" customHeight="1">
      <c r="A59" s="39" t="n"/>
      <c r="B59" s="40" t="inlineStr">
        <is>
          <t>USN</t>
        </is>
      </c>
      <c r="C59" s="39" t="n"/>
      <c r="D59" s="39" t="n"/>
      <c r="E59" s="39" t="n"/>
      <c r="F59" s="39" t="n"/>
      <c r="G59" s="39" t="n"/>
      <c r="H59" s="39" t="n"/>
      <c r="I59" s="39" t="n"/>
      <c r="J59" s="40" t="inlineStr">
        <is>
          <t>USCG</t>
        </is>
      </c>
      <c r="K59" s="41" t="n"/>
    </row>
    <row r="60" ht="10" customHeight="1">
      <c r="A60" s="29" t="inlineStr">
        <is>
          <t>Work Type</t>
        </is>
      </c>
      <c r="B60" s="42" t="inlineStr">
        <is>
          <t>Submarines</t>
        </is>
      </c>
      <c r="C60" s="29" t="inlineStr">
        <is>
          <t>Surface Combatants</t>
        </is>
      </c>
      <c r="D60" s="29" t="inlineStr">
        <is>
          <t>Aircraft Carriers</t>
        </is>
      </c>
      <c r="E60" s="29" t="inlineStr">
        <is>
          <t>Amphibious Warfare Ships</t>
        </is>
      </c>
      <c r="F60" s="29" t="inlineStr">
        <is>
          <t>Expeditionary &amp; Seabasing Ships</t>
        </is>
      </c>
      <c r="G60" s="29" t="inlineStr">
        <is>
          <t>Command Ships</t>
        </is>
      </c>
      <c r="H60" s="29" t="inlineStr">
        <is>
          <t>Surveillance Ships</t>
        </is>
      </c>
      <c r="I60" s="29" t="inlineStr">
        <is>
          <t>Mine Warfare</t>
        </is>
      </c>
      <c r="J60" s="42" t="inlineStr">
        <is>
          <t>National Security Cutters</t>
        </is>
      </c>
      <c r="K60" s="42" t="inlineStr">
        <is>
          <t>Total</t>
        </is>
      </c>
    </row>
    <row r="61" ht="10" customHeight="1">
      <c r="A61" s="30" t="inlineStr">
        <is>
          <t>Scheduled Depot Maintenance</t>
        </is>
      </c>
      <c r="B61" s="43">
        <f>IFERROR((SUMIFS(JB_26BV,JB_B,2,JB_W,"Submarines",JB_RC,"ADD"))/B$67,0)</f>
        <v/>
      </c>
      <c r="C61" s="37">
        <f>IFERROR((SUMIFS(JB_26BV,JB_B,2,JB_W,"Surface Combatants",JB_RC,"ADD"))/C$67,0)</f>
        <v/>
      </c>
      <c r="D61" s="37">
        <f>IFERROR((SUMIFS(JB_26BV,JB_B,2,JB_W,"Aircraft Carriers",JB_RC,"ADD"))/D$67,0)</f>
        <v/>
      </c>
      <c r="E61" s="37">
        <f>IFERROR((SUMIFS(JB_26BV,JB_B,2,JB_W,"Amphibious Warfare Ships",JB_RC,"ADD"))/E$67,0)</f>
        <v/>
      </c>
      <c r="F61" s="37">
        <f>IFERROR((SUMIFS(JB_26BV,JB_B,2,JB_W,"Expeditionary &amp; Seabasing Ships",JB_RC,"ADD"))/F$67,0)</f>
        <v/>
      </c>
      <c r="G61" s="37">
        <f>IFERROR((SUMIFS(JB_26BV,JB_B,2,JB_W,"Command Ships",JB_RC,"ADD"))/G$67,0)</f>
        <v/>
      </c>
      <c r="H61" s="37">
        <f>IFERROR((SUMIFS(JB_26BV,JB_B,2,JB_W,"Surveillance Ships",JB_RC,"ADD"))/H$67,0)</f>
        <v/>
      </c>
      <c r="I61" s="37">
        <f>IFERROR((SUMIFS(JB_26BV,JB_B,2,JB_W,"Mine Warfare",JB_RC,"ADD"))/I$67,0)</f>
        <v/>
      </c>
      <c r="J61" s="43">
        <f>IFERROR((SUMIFS(JB_26BV,JB_B,2,JB_W,"National Security Cutters",JB_RC,"ADD"))/J$67,0)</f>
        <v/>
      </c>
      <c r="K61" s="43">
        <f>IFERROR((SUMIFS(JB_26BV,JB_B,2,JB_V,"Auxiliary Ships",JB_RC,"ADD")+SUMIFS(JB_26BV,JB_B,2,JB_V,"Combatant Ships",JB_RC,"ADD")+SUMIFS(JB_26BV,JB_B,2,JB_V,"Cutters",JB_RC,"ADD")+SUMIFS(JB_26BV,JB_B,2,JB_V,"Unmanned Maritime Platforms",JB_RC,"ADD"))/K$67,0)</f>
        <v/>
      </c>
    </row>
    <row r="62" ht="10" customHeight="1">
      <c r="A62" s="30" t="inlineStr">
        <is>
          <t>Continuous / Emergent Maintenance</t>
        </is>
      </c>
      <c r="B62" s="43">
        <f>IFERROR((SUMIFS(JB_26BV,JB_B,3,JB_W,"Submarines",JB_RC,"ADD"))/B$67,0)</f>
        <v/>
      </c>
      <c r="C62" s="37">
        <f>IFERROR((SUMIFS(JB_26BV,JB_B,3,JB_W,"Surface Combatants",JB_RC,"ADD"))/C$67,0)</f>
        <v/>
      </c>
      <c r="D62" s="37">
        <f>IFERROR((SUMIFS(JB_26BV,JB_B,3,JB_W,"Aircraft Carriers",JB_RC,"ADD"))/D$67,0)</f>
        <v/>
      </c>
      <c r="E62" s="37">
        <f>IFERROR((SUMIFS(JB_26BV,JB_B,3,JB_W,"Amphibious Warfare Ships",JB_RC,"ADD"))/E$67,0)</f>
        <v/>
      </c>
      <c r="F62" s="37">
        <f>IFERROR((SUMIFS(JB_26BV,JB_B,3,JB_W,"Expeditionary &amp; Seabasing Ships",JB_RC,"ADD"))/F$67,0)</f>
        <v/>
      </c>
      <c r="G62" s="37">
        <f>IFERROR((SUMIFS(JB_26BV,JB_B,3,JB_W,"Command Ships",JB_RC,"ADD"))/G$67,0)</f>
        <v/>
      </c>
      <c r="H62" s="37">
        <f>IFERROR((SUMIFS(JB_26BV,JB_B,3,JB_W,"Surveillance Ships",JB_RC,"ADD"))/H$67,0)</f>
        <v/>
      </c>
      <c r="I62" s="37">
        <f>IFERROR((SUMIFS(JB_26BV,JB_B,3,JB_W,"Mine Warfare",JB_RC,"ADD"))/I$67,0)</f>
        <v/>
      </c>
      <c r="J62" s="43">
        <f>IFERROR((SUMIFS(JB_26BV,JB_B,3,JB_W,"National Security Cutters",JB_RC,"ADD"))/J$67,0)</f>
        <v/>
      </c>
      <c r="K62" s="43">
        <f>IFERROR((SUMIFS(JB_26BV,JB_B,3,JB_V,"Auxiliary Ships",JB_RC,"ADD")+SUMIFS(JB_26BV,JB_B,3,JB_V,"Combatant Ships",JB_RC,"ADD")+SUMIFS(JB_26BV,JB_B,3,JB_V,"Cutters",JB_RC,"ADD")+SUMIFS(JB_26BV,JB_B,3,JB_V,"Unmanned Maritime Platforms",JB_RC,"ADD"))/K$67,0)</f>
        <v/>
      </c>
    </row>
    <row r="63" ht="10" customHeight="1">
      <c r="A63" s="30" t="inlineStr">
        <is>
          <t>Modernization</t>
        </is>
      </c>
      <c r="B63" s="43">
        <f>IFERROR((SUMIFS(JB_26BV,JB_B,4,JB_W,"Submarines",JB_RC,"ADD"))/B$67,0)</f>
        <v/>
      </c>
      <c r="C63" s="37">
        <f>IFERROR((SUMIFS(JB_26BV,JB_B,4,JB_W,"Surface Combatants",JB_RC,"ADD"))/C$67,0)</f>
        <v/>
      </c>
      <c r="D63" s="37">
        <f>IFERROR((SUMIFS(JB_26BV,JB_B,4,JB_W,"Aircraft Carriers",JB_RC,"ADD"))/D$67,0)</f>
        <v/>
      </c>
      <c r="E63" s="37">
        <f>IFERROR((SUMIFS(JB_26BV,JB_B,4,JB_W,"Amphibious Warfare Ships",JB_RC,"ADD"))/E$67,0)</f>
        <v/>
      </c>
      <c r="F63" s="37">
        <f>IFERROR((SUMIFS(JB_26BV,JB_B,4,JB_W,"Expeditionary &amp; Seabasing Ships",JB_RC,"ADD"))/F$67,0)</f>
        <v/>
      </c>
      <c r="G63" s="37">
        <f>IFERROR((SUMIFS(JB_26BV,JB_B,4,JB_W,"Command Ships",JB_RC,"ADD"))/G$67,0)</f>
        <v/>
      </c>
      <c r="H63" s="37">
        <f>IFERROR((SUMIFS(JB_26BV,JB_B,4,JB_W,"Surveillance Ships",JB_RC,"ADD"))/H$67,0)</f>
        <v/>
      </c>
      <c r="I63" s="37">
        <f>IFERROR((SUMIFS(JB_26BV,JB_B,4,JB_W,"Mine Warfare",JB_RC,"ADD"))/I$67,0)</f>
        <v/>
      </c>
      <c r="J63" s="43">
        <f>IFERROR((SUMIFS(JB_26BV,JB_B,4,JB_W,"National Security Cutters",JB_RC,"ADD"))/J$67,0)</f>
        <v/>
      </c>
      <c r="K63" s="43">
        <f>IFERROR((SUMIFS(JB_26BV,JB_B,4,JB_V,"Auxiliary Ships",JB_RC,"ADD")+SUMIFS(JB_26BV,JB_B,4,JB_V,"Combatant Ships",JB_RC,"ADD")+SUMIFS(JB_26BV,JB_B,4,JB_V,"Cutters",JB_RC,"ADD")+SUMIFS(JB_26BV,JB_B,4,JB_V,"Unmanned Maritime Platforms",JB_RC,"ADD"))/K$67,0)</f>
        <v/>
      </c>
    </row>
    <row r="64" ht="10" customHeight="1">
      <c r="A64" s="30" t="inlineStr">
        <is>
          <t>Major Life-Cycle Events / RCOH</t>
        </is>
      </c>
      <c r="B64" s="43">
        <f>IFERROR((SUMIFS(JB_26BV,JB_B,5,JB_W,"Submarines",JB_RC,"ADD"))/B$67,0)</f>
        <v/>
      </c>
      <c r="C64" s="37">
        <f>IFERROR((SUMIFS(JB_26BV,JB_B,5,JB_W,"Surface Combatants",JB_RC,"ADD"))/C$67,0)</f>
        <v/>
      </c>
      <c r="D64" s="37">
        <f>IFERROR((SUMIFS(JB_26BV,JB_B,5,JB_W,"Aircraft Carriers",JB_RC,"ADD"))/D$67,0)</f>
        <v/>
      </c>
      <c r="E64" s="37">
        <f>IFERROR((SUMIFS(JB_26BV,JB_B,5,JB_W,"Amphibious Warfare Ships",JB_RC,"ADD"))/E$67,0)</f>
        <v/>
      </c>
      <c r="F64" s="37">
        <f>IFERROR((SUMIFS(JB_26BV,JB_B,5,JB_W,"Expeditionary &amp; Seabasing Ships",JB_RC,"ADD"))/F$67,0)</f>
        <v/>
      </c>
      <c r="G64" s="37">
        <f>IFERROR((SUMIFS(JB_26BV,JB_B,5,JB_W,"Command Ships",JB_RC,"ADD"))/G$67,0)</f>
        <v/>
      </c>
      <c r="H64" s="37">
        <f>IFERROR((SUMIFS(JB_26BV,JB_B,5,JB_W,"Surveillance Ships",JB_RC,"ADD"))/H$67,0)</f>
        <v/>
      </c>
      <c r="I64" s="37">
        <f>IFERROR((SUMIFS(JB_26BV,JB_B,5,JB_W,"Mine Warfare",JB_RC,"ADD"))/I$67,0)</f>
        <v/>
      </c>
      <c r="J64" s="43">
        <f>IFERROR((SUMIFS(JB_26BV,JB_B,5,JB_W,"National Security Cutters",JB_RC,"ADD"))/J$67,0)</f>
        <v/>
      </c>
      <c r="K64" s="43">
        <f>IFERROR((SUMIFS(JB_26BV,JB_B,5,JB_V,"Auxiliary Ships",JB_RC,"ADD")+SUMIFS(JB_26BV,JB_B,5,JB_V,"Combatant Ships",JB_RC,"ADD")+SUMIFS(JB_26BV,JB_B,5,JB_V,"Cutters",JB_RC,"ADD")+SUMIFS(JB_26BV,JB_B,5,JB_V,"Unmanned Maritime Platforms",JB_RC,"ADD"))/K$67,0)</f>
        <v/>
      </c>
    </row>
    <row r="65" ht="10" customHeight="1">
      <c r="A65" s="30" t="inlineStr">
        <is>
          <t>Sustainment Engineering</t>
        </is>
      </c>
      <c r="B65" s="43">
        <f>IFERROR((SUMIFS(JB_26BV,JB_B,6,JB_W,"Submarines",JB_RC,"ADD"))/B$67,0)</f>
        <v/>
      </c>
      <c r="C65" s="37">
        <f>IFERROR((SUMIFS(JB_26BV,JB_B,6,JB_W,"Surface Combatants",JB_RC,"ADD"))/C$67,0)</f>
        <v/>
      </c>
      <c r="D65" s="37">
        <f>IFERROR((SUMIFS(JB_26BV,JB_B,6,JB_W,"Aircraft Carriers",JB_RC,"ADD"))/D$67,0)</f>
        <v/>
      </c>
      <c r="E65" s="37">
        <f>IFERROR((SUMIFS(JB_26BV,JB_B,6,JB_W,"Amphibious Warfare Ships",JB_RC,"ADD"))/E$67,0)</f>
        <v/>
      </c>
      <c r="F65" s="37">
        <f>IFERROR((SUMIFS(JB_26BV,JB_B,6,JB_W,"Expeditionary &amp; Seabasing Ships",JB_RC,"ADD"))/F$67,0)</f>
        <v/>
      </c>
      <c r="G65" s="37">
        <f>IFERROR((SUMIFS(JB_26BV,JB_B,6,JB_W,"Command Ships",JB_RC,"ADD"))/G$67,0)</f>
        <v/>
      </c>
      <c r="H65" s="37">
        <f>IFERROR((SUMIFS(JB_26BV,JB_B,6,JB_W,"Surveillance Ships",JB_RC,"ADD"))/H$67,0)</f>
        <v/>
      </c>
      <c r="I65" s="37">
        <f>IFERROR((SUMIFS(JB_26BV,JB_B,6,JB_W,"Mine Warfare",JB_RC,"ADD"))/I$67,0)</f>
        <v/>
      </c>
      <c r="J65" s="43">
        <f>IFERROR((SUMIFS(JB_26BV,JB_B,6,JB_W,"National Security Cutters",JB_RC,"ADD"))/J$67,0)</f>
        <v/>
      </c>
      <c r="K65" s="43">
        <f>IFERROR((SUMIFS(JB_26BV,JB_B,6,JB_V,"Auxiliary Ships",JB_RC,"ADD")+SUMIFS(JB_26BV,JB_B,6,JB_V,"Combatant Ships",JB_RC,"ADD")+SUMIFS(JB_26BV,JB_B,6,JB_V,"Cutters",JB_RC,"ADD")+SUMIFS(JB_26BV,JB_B,6,JB_V,"Unmanned Maritime Platforms",JB_RC,"ADD"))/K$67,0)</f>
        <v/>
      </c>
    </row>
    <row r="66" ht="10" customHeight="1">
      <c r="A66" s="30" t="inlineStr">
        <is>
          <t>Availability Support</t>
        </is>
      </c>
      <c r="B66" s="43">
        <f>IFERROR((SUMIFS(JB_26BV,JB_B,7,JB_W,"Submarines",JB_RC,"ADD"))/B$67,0)</f>
        <v/>
      </c>
      <c r="C66" s="37">
        <f>IFERROR((SUMIFS(JB_26BV,JB_B,7,JB_W,"Surface Combatants",JB_RC,"ADD"))/C$67,0)</f>
        <v/>
      </c>
      <c r="D66" s="37">
        <f>IFERROR((SUMIFS(JB_26BV,JB_B,7,JB_W,"Aircraft Carriers",JB_RC,"ADD"))/D$67,0)</f>
        <v/>
      </c>
      <c r="E66" s="37">
        <f>IFERROR((SUMIFS(JB_26BV,JB_B,7,JB_W,"Amphibious Warfare Ships",JB_RC,"ADD"))/E$67,0)</f>
        <v/>
      </c>
      <c r="F66" s="37">
        <f>IFERROR((SUMIFS(JB_26BV,JB_B,7,JB_W,"Expeditionary &amp; Seabasing Ships",JB_RC,"ADD"))/F$67,0)</f>
        <v/>
      </c>
      <c r="G66" s="37">
        <f>IFERROR((SUMIFS(JB_26BV,JB_B,7,JB_W,"Command Ships",JB_RC,"ADD"))/G$67,0)</f>
        <v/>
      </c>
      <c r="H66" s="37">
        <f>IFERROR((SUMIFS(JB_26BV,JB_B,7,JB_W,"Surveillance Ships",JB_RC,"ADD"))/H$67,0)</f>
        <v/>
      </c>
      <c r="I66" s="37">
        <f>IFERROR((SUMIFS(JB_26BV,JB_B,7,JB_W,"Mine Warfare",JB_RC,"ADD"))/I$67,0)</f>
        <v/>
      </c>
      <c r="J66" s="43">
        <f>IFERROR((SUMIFS(JB_26BV,JB_B,7,JB_W,"National Security Cutters",JB_RC,"ADD"))/J$67,0)</f>
        <v/>
      </c>
      <c r="K66" s="43">
        <f>IFERROR((SUMIFS(JB_26BV,JB_B,7,JB_V,"Auxiliary Ships",JB_RC,"ADD")+SUMIFS(JB_26BV,JB_B,7,JB_V,"Combatant Ships",JB_RC,"ADD")+SUMIFS(JB_26BV,JB_B,7,JB_V,"Cutters",JB_RC,"ADD")+SUMIFS(JB_26BV,JB_B,7,JB_V,"Unmanned Maritime Platforms",JB_RC,"ADD"))/K$67,0)</f>
        <v/>
      </c>
    </row>
    <row r="67" ht="10" customHeight="1">
      <c r="A67" s="32" t="inlineStr">
        <is>
          <t>Total ($K)</t>
        </is>
      </c>
      <c r="B67" s="44">
        <f>SUMIFS(JB_26BV,JB_B,2,JB_W,"Submarines",JB_RC,"ADD")+SUMIFS(JB_26BV,JB_B,3,JB_W,"Submarines",JB_RC,"ADD")+SUMIFS(JB_26BV,JB_B,4,JB_W,"Submarines",JB_RC,"ADD")+SUMIFS(JB_26BV,JB_B,5,JB_W,"Submarines",JB_RC,"ADD")+SUMIFS(JB_26BV,JB_B,6,JB_W,"Submarines",JB_RC,"ADD")+SUMIFS(JB_26BV,JB_B,7,JB_W,"Submarines",JB_RC,"ADD")</f>
        <v/>
      </c>
      <c r="C67"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7"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7"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7"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7" s="33">
        <f>SUMIFS(JB_26BV,JB_B,2,JB_W,"Command Ships",JB_RC,"ADD")+SUMIFS(JB_26BV,JB_B,3,JB_W,"Command Ships",JB_RC,"ADD")+SUMIFS(JB_26BV,JB_B,4,JB_W,"Command Ships",JB_RC,"ADD")+SUMIFS(JB_26BV,JB_B,5,JB_W,"Command Ships",JB_RC,"ADD")+SUMIFS(JB_26BV,JB_B,6,JB_W,"Command Ships",JB_RC,"ADD")+SUMIFS(JB_26BV,JB_B,7,JB_W,"Command Ships",JB_RC,"ADD")</f>
        <v/>
      </c>
      <c r="H67"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7" s="33">
        <f>SUMIFS(JB_26BV,JB_B,2,JB_W,"Mine Warfare",JB_RC,"ADD")+SUMIFS(JB_26BV,JB_B,3,JB_W,"Mine Warfare",JB_RC,"ADD")+SUMIFS(JB_26BV,JB_B,4,JB_W,"Mine Warfare",JB_RC,"ADD")+SUMIFS(JB_26BV,JB_B,5,JB_W,"Mine Warfare",JB_RC,"ADD")+SUMIFS(JB_26BV,JB_B,6,JB_W,"Mine Warfare",JB_RC,"ADD")+SUMIFS(JB_26BV,JB_B,7,JB_W,"Mine Warfare",JB_RC,"ADD")</f>
        <v/>
      </c>
      <c r="J67"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7" s="44">
        <f>SUM(B67:J67)</f>
        <v/>
      </c>
    </row>
  </sheetData>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O8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24" t="inlineStr">
        <is>
          <t>MRO SAM — FY2026 ($K)</t>
        </is>
      </c>
      <c r="B1" s="25" t="n"/>
      <c r="C1" s="25" t="n"/>
      <c r="D1" s="25" t="n"/>
      <c r="E1" s="25" t="n"/>
      <c r="F1" s="25" t="n"/>
      <c r="G1" s="25" t="n"/>
      <c r="H1" s="25" t="n"/>
      <c r="I1" s="25" t="n"/>
      <c r="J1" s="25" t="n"/>
      <c r="K1" s="25" t="n"/>
      <c r="L1" s="25" t="n"/>
      <c r="M1" s="25" t="n"/>
      <c r="N1" s="25" t="n"/>
      <c r="O1" s="25" t="n"/>
    </row>
    <row r="2" ht="10" customHeight="1">
      <c r="A2" s="26" t="inlineStr">
        <is>
          <t>Outsourceable MRO sized at hull-program level. Starts from MRO TAM, excludes single-yard/nuclear programs (Submarines, Aircraft Carriers, UUVs), then narrows work types to scheduled depot maintenance (Bucket 2) and modernization/alteration installation (Bucket 4) — the categories where a company could compete for repair or upgrade work.</t>
        </is>
      </c>
    </row>
    <row r="3" ht="10" customHeight="1"/>
    <row r="4" ht="10" customHeight="1">
      <c r="A4" s="27" t="inlineStr">
        <is>
          <t>(A) Bridge: MRO TAM → MRO SAM</t>
        </is>
      </c>
      <c r="B4" s="28" t="n"/>
    </row>
    <row r="5" ht="10" customHeight="1">
      <c r="A5" s="30" t="inlineStr">
        <is>
          <t>MRO TAM</t>
        </is>
      </c>
      <c r="B5" s="49">
        <f>'FY26 MRO TAM'!B22</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 (Buckets 3, 5, 6, 7)</t>
        </is>
      </c>
      <c r="B9" s="31">
        <f>-(B5+B6+B7+B8-B10)</f>
        <v/>
      </c>
    </row>
    <row r="10" ht="10" customHeight="1">
      <c r="A10" s="32" t="inlineStr">
        <is>
          <t>MRO SAM</t>
        </is>
      </c>
      <c r="B10" s="33">
        <f>SUMIFS(JB_26BV,JB_B,2,JB_V,"Auxiliary Ships",JB_RC,"ADD")+SUMIFS(JB_26BV,JB_B,2,JB_V,"Combatant Ships",JB_RC,"ADD")+SUMIFS(JB_26BV,JB_B,2,JB_V,"Cutters",JB_RC,"ADD")+SUMIFS(JB_26BV,JB_B,2,JB_V,"Unmanned Maritime Platforms",JB_RC,"ADD")+SUMIFS(JB_26BV,JB_B,4,JB_V,"Auxiliary Ships",JB_RC,"ADD")+SUMIFS(JB_26BV,JB_B,4,JB_V,"Combatant Ships",JB_RC,"ADD")+SUMIFS(JB_26BV,JB_B,4,JB_V,"Cutters",JB_RC,"ADD")+SUMIFS(JB_26BV,JB_B,4,JB_V,"Unmanned Maritime Platforms",JB_RC,"ADD")-(SUMIFS(JB_26BV,JB_B,2,JB_W,"Submarines",JB_RC,"ADD"))+-(SUMIFS(JB_26BV,JB_B,2,JB_W,"Aircraft Carriers",JB_RC,"ADD"))+-(SUMIFS(JB_26BV,JB_B,2,JB_W,"Unmanned Undersea Vehicles",JB_RC,"ADD"))+-(SUMIFS(JB_26BV,JB_B,4,JB_W,"Submarines",JB_RC,"ADD"))+-(SUMIFS(JB_26BV,JB_B,4,JB_W,"Aircraft Carriers",JB_RC,"ADD"))+-(SUMIFS(JB_26BV,JB_B,4,JB_W,"Unmanned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SUMIFS(JB_26BV,JB_B,2,JB_W,"Surface Combatants",JB_RC,"ADD")</f>
        <v/>
      </c>
      <c r="D15" s="31">
        <f>SUMIFS(JB_26BV,JB_B,4,JB_W,"Surface Combatants",JB_RC,"ADD")</f>
        <v/>
      </c>
      <c r="E15" s="31">
        <f>C15+D15</f>
        <v/>
      </c>
      <c r="F15" s="37">
        <f>IFERROR(E15/E$40,0)</f>
        <v/>
      </c>
    </row>
    <row r="16" ht="10" customHeight="1">
      <c r="A16" s="30" t="inlineStr">
        <is>
          <t>Amphibious Warfare Ships</t>
        </is>
      </c>
      <c r="B16" s="30" t="inlineStr">
        <is>
          <t>USN</t>
        </is>
      </c>
      <c r="C16" s="31">
        <f>SUMIFS(JB_26BV,JB_B,2,JB_W,"Amphibious Warfare Ships",JB_RC,"ADD")</f>
        <v/>
      </c>
      <c r="D16" s="31">
        <f>SUMIFS(JB_26BV,JB_B,4,JB_W,"Amphibious Warfare Ships",JB_RC,"ADD")</f>
        <v/>
      </c>
      <c r="E16" s="31">
        <f>C16+D16</f>
        <v/>
      </c>
      <c r="F16" s="37">
        <f>IFERROR(E16/E$40,0)</f>
        <v/>
      </c>
    </row>
    <row r="17" ht="10" customHeight="1">
      <c r="A17" s="30" t="inlineStr">
        <is>
          <t>Surveillance Ships</t>
        </is>
      </c>
      <c r="B17" s="30" t="inlineStr">
        <is>
          <t>USN</t>
        </is>
      </c>
      <c r="C17" s="31">
        <f>SUMIFS(JB_26BV,JB_B,2,JB_W,"Surveillance Ships",JB_RC,"ADD")</f>
        <v/>
      </c>
      <c r="D17" s="31">
        <f>SUMIFS(JB_26BV,JB_B,4,JB_W,"Surveillance Ships",JB_RC,"ADD")</f>
        <v/>
      </c>
      <c r="E17" s="31">
        <f>C17+D17</f>
        <v/>
      </c>
      <c r="F17" s="37">
        <f>IFERROR(E17/E$40,0)</f>
        <v/>
      </c>
    </row>
    <row r="18" ht="10" customHeight="1">
      <c r="A18" s="30" t="inlineStr">
        <is>
          <t>Expeditionary &amp; Seabasing Ships</t>
        </is>
      </c>
      <c r="B18" s="30" t="inlineStr">
        <is>
          <t>USN</t>
        </is>
      </c>
      <c r="C18" s="31">
        <f>SUMIFS(JB_26BV,JB_B,2,JB_W,"Expeditionary &amp; Seabasing Ships",JB_RC,"ADD")</f>
        <v/>
      </c>
      <c r="D18" s="31">
        <f>SUMIFS(JB_26BV,JB_B,4,JB_W,"Expeditionary &amp; Seabasing Ships",JB_RC,"ADD")</f>
        <v/>
      </c>
      <c r="E18" s="31">
        <f>C18+D18</f>
        <v/>
      </c>
      <c r="F18" s="37">
        <f>IFERROR(E18/E$40,0)</f>
        <v/>
      </c>
    </row>
    <row r="19" ht="10" customHeight="1">
      <c r="A19" s="30" t="inlineStr">
        <is>
          <t>Mine Warfare</t>
        </is>
      </c>
      <c r="B19" s="30" t="inlineStr">
        <is>
          <t>USN</t>
        </is>
      </c>
      <c r="C19" s="31">
        <f>SUMIFS(JB_26BV,JB_B,2,JB_W,"Mine Warfare",JB_RC,"ADD")</f>
        <v/>
      </c>
      <c r="D19" s="31">
        <f>SUMIFS(JB_26BV,JB_B,4,JB_W,"Mine Warfare",JB_RC,"ADD")</f>
        <v/>
      </c>
      <c r="E19" s="31">
        <f>C19+D19</f>
        <v/>
      </c>
      <c r="F19" s="37">
        <f>IFERROR(E19/E$40,0)</f>
        <v/>
      </c>
    </row>
    <row r="20" ht="10" customHeight="1">
      <c r="A20" s="30" t="inlineStr">
        <is>
          <t>Command Ships</t>
        </is>
      </c>
      <c r="B20" s="30" t="inlineStr">
        <is>
          <t>USN</t>
        </is>
      </c>
      <c r="C20" s="31">
        <f>SUMIFS(JB_26BV,JB_B,2,JB_W,"Command Ships",JB_RC,"ADD")</f>
        <v/>
      </c>
      <c r="D20" s="31">
        <f>SUMIFS(JB_26BV,JB_B,4,JB_W,"Command Ships",JB_RC,"ADD")</f>
        <v/>
      </c>
      <c r="E20" s="31">
        <f>C20+D20</f>
        <v/>
      </c>
      <c r="F20" s="37">
        <f>IFERROR(E20/E$40,0)</f>
        <v/>
      </c>
    </row>
    <row r="21" ht="10" customHeight="1">
      <c r="A21" s="30" t="inlineStr">
        <is>
          <t>Unmanned Surface Vehicles</t>
        </is>
      </c>
      <c r="B21" s="30" t="inlineStr">
        <is>
          <t>USN</t>
        </is>
      </c>
      <c r="C21" s="31">
        <f>SUMIFS(JB_26BV,JB_B,2,JB_W,"Unmanned Surface Vehicles",JB_RC,"ADD")</f>
        <v/>
      </c>
      <c r="D21" s="31">
        <f>SUMIFS(JB_26BV,JB_B,4,JB_W,"Unmanned Surface Vehicles",JB_RC,"ADD")</f>
        <v/>
      </c>
      <c r="E21" s="31">
        <f>C21+D21</f>
        <v/>
      </c>
      <c r="F21" s="37">
        <f>IFERROR(E21/E$40,0)</f>
        <v/>
      </c>
    </row>
    <row r="22" ht="10" customHeight="1">
      <c r="A22" s="30" t="inlineStr">
        <is>
          <t>Aviation Logistics Support Ship</t>
        </is>
      </c>
      <c r="B22" s="30" t="inlineStr">
        <is>
          <t>USN</t>
        </is>
      </c>
      <c r="C22" s="31">
        <f>SUMIFS(JB_26BV,JB_B,2,JB_W,"Aviation Logistics Support Ship",JB_RC,"ADD")</f>
        <v/>
      </c>
      <c r="D22" s="31">
        <f>SUMIFS(JB_26BV,JB_B,4,JB_W,"Aviation Logistics Support Ship",JB_RC,"ADD")</f>
        <v/>
      </c>
      <c r="E22" s="31">
        <f>C22+D22</f>
        <v/>
      </c>
      <c r="F22" s="37">
        <f>IFERROR(E22/E$40,0)</f>
        <v/>
      </c>
    </row>
    <row r="23" ht="10" customHeight="1">
      <c r="A23" s="30" t="inlineStr">
        <is>
          <t>Cargo &amp; Vehicle Cargo Ships</t>
        </is>
      </c>
      <c r="B23" s="30" t="inlineStr">
        <is>
          <t>USN</t>
        </is>
      </c>
      <c r="C23" s="31">
        <f>SUMIFS(JB_26BV,JB_B,2,JB_W,"Cargo &amp; Vehicle Cargo Ships",JB_RC,"ADD")</f>
        <v/>
      </c>
      <c r="D23" s="31">
        <f>SUMIFS(JB_26BV,JB_B,4,JB_W,"Cargo &amp; Vehicle Cargo Ships",JB_RC,"ADD")</f>
        <v/>
      </c>
      <c r="E23" s="31">
        <f>C23+D23</f>
        <v/>
      </c>
      <c r="F23" s="37">
        <f>IFERROR(E23/E$40,0)</f>
        <v/>
      </c>
    </row>
    <row r="24" ht="10" customHeight="1">
      <c r="A24" s="30" t="inlineStr">
        <is>
          <t>Research, Survey &amp; Instrumentation Ships</t>
        </is>
      </c>
      <c r="B24" s="30" t="inlineStr">
        <is>
          <t>MSC</t>
        </is>
      </c>
      <c r="C24" s="31">
        <f>SUMIFS(JB_26BV,JB_B,2,JB_W,"Research, Survey &amp; Instrumentation Ships",JB_RC,"ADD")</f>
        <v/>
      </c>
      <c r="D24" s="31">
        <f>SUMIFS(JB_26BV,JB_B,4,JB_W,"Research, Survey &amp; Instrumentation Ships",JB_RC,"ADD")</f>
        <v/>
      </c>
      <c r="E24" s="31">
        <f>C24+D24</f>
        <v/>
      </c>
      <c r="F24" s="37">
        <f>IFERROR(E24/E$40,0)</f>
        <v/>
      </c>
    </row>
    <row r="25" ht="10" customHeight="1">
      <c r="A25" s="30" t="inlineStr">
        <is>
          <t>High Speed Transport</t>
        </is>
      </c>
      <c r="B25" s="30" t="inlineStr">
        <is>
          <t>USN</t>
        </is>
      </c>
      <c r="C25" s="31">
        <f>SUMIFS(JB_26BV,JB_B,2,JB_W,"High Speed Transport",JB_RC,"ADD")</f>
        <v/>
      </c>
      <c r="D25" s="31">
        <f>SUMIFS(JB_26BV,JB_B,4,JB_W,"High Speed Transport",JB_RC,"ADD")</f>
        <v/>
      </c>
      <c r="E25" s="31">
        <f>C25+D25</f>
        <v/>
      </c>
      <c r="F25" s="37">
        <f>IFERROR(E25/E$40,0)</f>
        <v/>
      </c>
    </row>
    <row r="26" ht="10" customHeight="1">
      <c r="A26" s="30" t="inlineStr">
        <is>
          <t>Salvage Ships &amp; Fleet Ocean Tugs</t>
        </is>
      </c>
      <c r="B26" s="30" t="inlineStr">
        <is>
          <t>MSC</t>
        </is>
      </c>
      <c r="C26" s="31">
        <f>SUMIFS(JB_26BV,JB_B,2,JB_W,"Salvage Ships &amp; Fleet Ocean Tugs",JB_RC,"ADD")</f>
        <v/>
      </c>
      <c r="D26" s="31">
        <f>SUMIFS(JB_26BV,JB_B,4,JB_W,"Salvage Ships &amp; Fleet Ocean Tugs",JB_RC,"ADD")</f>
        <v/>
      </c>
      <c r="E26" s="31">
        <f>C26+D26</f>
        <v/>
      </c>
      <c r="F26" s="37">
        <f>IFERROR(E26/E$40,0)</f>
        <v/>
      </c>
    </row>
    <row r="27" ht="10" customHeight="1">
      <c r="A27" s="30" t="inlineStr">
        <is>
          <t>Crane Ship</t>
        </is>
      </c>
      <c r="B27" s="30" t="inlineStr">
        <is>
          <t>USN</t>
        </is>
      </c>
      <c r="C27" s="31">
        <f>SUMIFS(JB_26BV,JB_B,2,JB_W,"Crane Ship",JB_RC,"ADD")</f>
        <v/>
      </c>
      <c r="D27" s="31">
        <f>SUMIFS(JB_26BV,JB_B,4,JB_W,"Crane Ship",JB_RC,"ADD")</f>
        <v/>
      </c>
      <c r="E27" s="31">
        <f>C27+D27</f>
        <v/>
      </c>
      <c r="F27" s="37">
        <f>IFERROR(E27/E$40,0)</f>
        <v/>
      </c>
    </row>
    <row r="28" ht="10" customHeight="1">
      <c r="A28" s="30" t="inlineStr">
        <is>
          <t>Submarine Escort Ship</t>
        </is>
      </c>
      <c r="B28" s="30" t="inlineStr">
        <is>
          <t>USN</t>
        </is>
      </c>
      <c r="C28" s="31">
        <f>SUMIFS(JB_26BV,JB_B,2,JB_W,"Submarine Escort Ship",JB_RC,"ADD")</f>
        <v/>
      </c>
      <c r="D28" s="31">
        <f>SUMIFS(JB_26BV,JB_B,4,JB_W,"Submarine Escort Ship",JB_RC,"ADD")</f>
        <v/>
      </c>
      <c r="E28" s="31">
        <f>C28+D28</f>
        <v/>
      </c>
      <c r="F28" s="37">
        <f>IFERROR(E28/E$40,0)</f>
        <v/>
      </c>
    </row>
    <row r="29" ht="10" customHeight="1">
      <c r="A29" s="30" t="inlineStr">
        <is>
          <t>Material Support Ships</t>
        </is>
      </c>
      <c r="B29" s="30" t="inlineStr">
        <is>
          <t>USN</t>
        </is>
      </c>
      <c r="C29" s="31">
        <f>SUMIFS(JB_26BV,JB_B,2,JB_W,"Material Support Ships",JB_RC,"ADD")</f>
        <v/>
      </c>
      <c r="D29" s="31">
        <f>SUMIFS(JB_26BV,JB_B,4,JB_W,"Material Support Ships",JB_RC,"ADD")</f>
        <v/>
      </c>
      <c r="E29" s="31">
        <f>C29+D29</f>
        <v/>
      </c>
      <c r="F29" s="37">
        <f>IFERROR(E29/E$40,0)</f>
        <v/>
      </c>
    </row>
    <row r="30" ht="10" customHeight="1">
      <c r="A30" s="30" t="inlineStr">
        <is>
          <t>General Auxiliary</t>
        </is>
      </c>
      <c r="B30" s="30" t="inlineStr">
        <is>
          <t>USN</t>
        </is>
      </c>
      <c r="C30" s="31">
        <f>SUMIFS(JB_26BV,JB_B,2,JB_W,"General Auxiliary",JB_RC,"ADD")</f>
        <v/>
      </c>
      <c r="D30" s="31">
        <f>SUMIFS(JB_26BV,JB_B,4,JB_W,"General Auxiliary",JB_RC,"ADD")</f>
        <v/>
      </c>
      <c r="E30" s="31">
        <f>C30+D30</f>
        <v/>
      </c>
      <c r="F30" s="37">
        <f>IFERROR(E30/E$40,0)</f>
        <v/>
      </c>
    </row>
    <row r="31" ht="10" customHeight="1">
      <c r="A31" s="30" t="inlineStr">
        <is>
          <t>Hospital Ship</t>
        </is>
      </c>
      <c r="B31" s="30" t="inlineStr">
        <is>
          <t>MSC</t>
        </is>
      </c>
      <c r="C31" s="31">
        <f>SUMIFS(JB_26BV,JB_B,2,JB_W,"Hospital Ship",JB_RC,"ADD")</f>
        <v/>
      </c>
      <c r="D31" s="31">
        <f>SUMIFS(JB_26BV,JB_B,4,JB_W,"Hospital Ship",JB_RC,"ADD")</f>
        <v/>
      </c>
      <c r="E31" s="31">
        <f>C31+D31</f>
        <v/>
      </c>
      <c r="F31" s="37">
        <f>IFERROR(E31/E$40,0)</f>
        <v/>
      </c>
    </row>
    <row r="32" ht="10" customHeight="1">
      <c r="A32" s="30" t="inlineStr">
        <is>
          <t>Combat Logistics Ships</t>
        </is>
      </c>
      <c r="B32" s="30" t="inlineStr">
        <is>
          <t>MSC</t>
        </is>
      </c>
      <c r="C32" s="31">
        <f>SUMIFS(JB_26BV,JB_B,2,JB_W,"Combat Logistics Ships",JB_RC,"ADD")</f>
        <v/>
      </c>
      <c r="D32" s="31">
        <f>SUMIFS(JB_26BV,JB_B,4,JB_W,"Combat Logistics Ships",JB_RC,"ADD")</f>
        <v/>
      </c>
      <c r="E32" s="31">
        <f>C32+D32</f>
        <v/>
      </c>
      <c r="F32" s="37">
        <f>IFERROR(E32/E$40,0)</f>
        <v/>
      </c>
    </row>
    <row r="33" ht="10" customHeight="1">
      <c r="A33" s="30" t="inlineStr">
        <is>
          <t>National Security Cutters</t>
        </is>
      </c>
      <c r="B33" s="30" t="inlineStr">
        <is>
          <t>USCG</t>
        </is>
      </c>
      <c r="C33" s="31">
        <f>SUMIFS(JB_26BV,JB_B,2,JB_W,"National Security Cutters",JB_RC,"ADD")</f>
        <v/>
      </c>
      <c r="D33" s="31">
        <f>SUMIFS(JB_26BV,JB_B,4,JB_W,"National Security Cutters",JB_RC,"ADD")</f>
        <v/>
      </c>
      <c r="E33" s="31">
        <f>C33+D33</f>
        <v/>
      </c>
      <c r="F33" s="37">
        <f>IFERROR(E33/E$40,0)</f>
        <v/>
      </c>
    </row>
    <row r="34" ht="10" customHeight="1">
      <c r="A34" s="30" t="inlineStr">
        <is>
          <t>Fast Response Cutters</t>
        </is>
      </c>
      <c r="B34" s="30" t="inlineStr">
        <is>
          <t>USCG</t>
        </is>
      </c>
      <c r="C34" s="31">
        <f>SUMIFS(JB_26BV,JB_B,2,JB_W,"Fast Response Cutters",JB_RC,"ADD")</f>
        <v/>
      </c>
      <c r="D34" s="31">
        <f>SUMIFS(JB_26BV,JB_B,4,JB_W,"Fast Response Cutters",JB_RC,"ADD")</f>
        <v/>
      </c>
      <c r="E34" s="31">
        <f>C34+D34</f>
        <v/>
      </c>
      <c r="F34" s="37">
        <f>IFERROR(E34/E$40,0)</f>
        <v/>
      </c>
    </row>
    <row r="35" ht="10" customHeight="1">
      <c r="A35" s="30" t="inlineStr">
        <is>
          <t>Offshore Patrol Cutter</t>
        </is>
      </c>
      <c r="B35" s="30" t="inlineStr">
        <is>
          <t>USCG</t>
        </is>
      </c>
      <c r="C35" s="31">
        <f>SUMIFS(JB_26BV,JB_B,2,JB_W,"Offshore Patrol Cutter",JB_RC,"ADD")</f>
        <v/>
      </c>
      <c r="D35" s="31">
        <f>SUMIFS(JB_26BV,JB_B,4,JB_W,"Offshore Patrol Cutter",JB_RC,"ADD")</f>
        <v/>
      </c>
      <c r="E35" s="31">
        <f>C35+D35</f>
        <v/>
      </c>
      <c r="F35" s="37">
        <f>IFERROR(E35/E$40,0)</f>
        <v/>
      </c>
    </row>
    <row r="36" ht="10" customHeight="1">
      <c r="A36" s="30" t="inlineStr">
        <is>
          <t>Coastal Buoy Tenders</t>
        </is>
      </c>
      <c r="B36" s="30" t="inlineStr">
        <is>
          <t>USCG</t>
        </is>
      </c>
      <c r="C36" s="31">
        <f>SUMIFS(JB_26BV,JB_B,2,JB_W,"Coastal Buoy Tenders",JB_RC,"ADD")</f>
        <v/>
      </c>
      <c r="D36" s="31">
        <f>SUMIFS(JB_26BV,JB_B,4,JB_W,"Coastal Buoy Tenders",JB_RC,"ADD")</f>
        <v/>
      </c>
      <c r="E36" s="31">
        <f>C36+D36</f>
        <v/>
      </c>
      <c r="F36" s="37">
        <f>IFERROR(E36/E$40,0)</f>
        <v/>
      </c>
    </row>
    <row r="37" ht="10" customHeight="1">
      <c r="A37" s="30" t="inlineStr">
        <is>
          <t>Icebreakers, Oceangoing</t>
        </is>
      </c>
      <c r="B37" s="30" t="inlineStr">
        <is>
          <t>USCG</t>
        </is>
      </c>
      <c r="C37" s="31">
        <f>SUMIFS(JB_26BV,JB_B,2,JB_W,"Icebreakers, Oceangoing",JB_RC,"ADD")</f>
        <v/>
      </c>
      <c r="D37" s="31">
        <f>SUMIFS(JB_26BV,JB_B,4,JB_W,"Icebreakers, Oceangoing",JB_RC,"ADD")</f>
        <v/>
      </c>
      <c r="E37" s="31">
        <f>C37+D37</f>
        <v/>
      </c>
      <c r="F37" s="37">
        <f>IFERROR(E37/E$40,0)</f>
        <v/>
      </c>
    </row>
    <row r="38" ht="10" customHeight="1">
      <c r="A38" s="30" t="inlineStr">
        <is>
          <t>Waterways Commerce Cutters</t>
        </is>
      </c>
      <c r="B38" s="30" t="inlineStr">
        <is>
          <t>USCG</t>
        </is>
      </c>
      <c r="C38" s="31">
        <f>SUMIFS(JB_26BV,JB_B,2,JB_W,"Waterways Commerce Cutters",JB_RC,"ADD")</f>
        <v/>
      </c>
      <c r="D38" s="31">
        <f>SUMIFS(JB_26BV,JB_B,4,JB_W,"Waterways Commerce Cutters",JB_RC,"ADD")</f>
        <v/>
      </c>
      <c r="E38" s="31">
        <f>C38+D38</f>
        <v/>
      </c>
      <c r="F38" s="37">
        <f>IFERROR(E38/E$40,0)</f>
        <v/>
      </c>
    </row>
    <row r="39" ht="10" customHeight="1">
      <c r="A39" s="30" t="inlineStr">
        <is>
          <t>Icebreakers, Great Lakes</t>
        </is>
      </c>
      <c r="B39" s="30" t="inlineStr">
        <is>
          <t>USCG</t>
        </is>
      </c>
      <c r="C39" s="31">
        <f>SUMIFS(JB_26BV,JB_B,2,JB_W,"Icebreakers, Great Lakes",JB_RC,"ADD")</f>
        <v/>
      </c>
      <c r="D39" s="31">
        <f>SUMIFS(JB_26BV,JB_B,4,JB_W,"Icebreakers, Great Lakes",JB_RC,"ADD")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by Hull Program — FY2026 ($K)</t>
        </is>
      </c>
      <c r="B43" s="28" t="n"/>
      <c r="C43" s="28" t="n"/>
      <c r="D43" s="28" t="n"/>
      <c r="E43" s="28" t="n"/>
      <c r="F43" s="28" t="n"/>
      <c r="G43" s="28" t="n"/>
    </row>
    <row r="44" ht="10" customHeight="1">
      <c r="A44" s="26" t="inlineStr">
        <is>
          <t>Same funding as (B) broken down to individual hull programs — the level at which depot maintenance and modernization line items are traceable.</t>
        </is>
      </c>
    </row>
    <row r="45" ht="10" customHeight="1">
      <c r="A45" s="29" t="inlineStr">
        <is>
          <t>Hull Program</t>
        </is>
      </c>
      <c r="B45" s="29" t="inlineStr">
        <is>
          <t>Vessel Type</t>
        </is>
      </c>
      <c r="C45" s="29" t="inlineStr">
        <is>
          <t>Service</t>
        </is>
      </c>
      <c r="D45" s="29" t="inlineStr">
        <is>
          <t>SDM ($K)</t>
        </is>
      </c>
      <c r="E45" s="29" t="inlineStr">
        <is>
          <t>Mod ($K)</t>
        </is>
      </c>
      <c r="F45" s="29" t="inlineStr">
        <is>
          <t>Total ($K)</t>
        </is>
      </c>
      <c r="G45" s="29" t="inlineStr">
        <is>
          <t>% of Total</t>
        </is>
      </c>
    </row>
    <row r="46" ht="10" customHeight="1">
      <c r="A46" s="30" t="inlineStr">
        <is>
          <t>DDG</t>
        </is>
      </c>
      <c r="B46" s="30" t="inlineStr">
        <is>
          <t>Surface Combatants</t>
        </is>
      </c>
      <c r="C46" s="30" t="inlineStr">
        <is>
          <t>USN</t>
        </is>
      </c>
      <c r="D46" s="31">
        <f>SUMIFS(JB_26BV,JB_B,2,JB_H,"DDG",JB_RC,"ADD")</f>
        <v/>
      </c>
      <c r="E46" s="31">
        <f>SUMIFS(JB_26BV,JB_B,4,JB_H,"DDG",JB_RC,"ADD")</f>
        <v/>
      </c>
      <c r="F46" s="31">
        <f>D46+E46</f>
        <v/>
      </c>
      <c r="G46" s="37">
        <f>IFERROR(F46/F$58,0)</f>
        <v/>
      </c>
    </row>
    <row r="47" ht="10" customHeight="1">
      <c r="A47" s="30" t="inlineStr">
        <is>
          <t>LCS</t>
        </is>
      </c>
      <c r="B47" s="30" t="inlineStr">
        <is>
          <t>Surface Combatants</t>
        </is>
      </c>
      <c r="C47" s="30" t="inlineStr">
        <is>
          <t>USN</t>
        </is>
      </c>
      <c r="D47" s="31">
        <f>SUMIFS(JB_26BV,JB_B,2,JB_H,"LCS",JB_RC,"ADD")</f>
        <v/>
      </c>
      <c r="E47" s="31">
        <f>SUMIFS(JB_26BV,JB_B,4,JB_H,"LCS",JB_RC,"ADD")</f>
        <v/>
      </c>
      <c r="F47" s="31">
        <f>D47+E47</f>
        <v/>
      </c>
      <c r="G47" s="37">
        <f>IFERROR(F47/F$58,0)</f>
        <v/>
      </c>
    </row>
    <row r="48" ht="10" customHeight="1">
      <c r="A48" s="30" t="inlineStr">
        <is>
          <t>LHD</t>
        </is>
      </c>
      <c r="B48" s="30" t="inlineStr">
        <is>
          <t>Amphibious Warfare Ships</t>
        </is>
      </c>
      <c r="C48" s="30" t="inlineStr">
        <is>
          <t>USN</t>
        </is>
      </c>
      <c r="D48" s="31">
        <f>SUMIFS(JB_26BV,JB_B,2,JB_H,"LHD",JB_RC,"ADD")</f>
        <v/>
      </c>
      <c r="E48" s="31">
        <f>SUMIFS(JB_26BV,JB_B,4,JB_H,"LHD",JB_RC,"ADD")</f>
        <v/>
      </c>
      <c r="F48" s="31">
        <f>D48+E48</f>
        <v/>
      </c>
      <c r="G48" s="37">
        <f>IFERROR(F48/F$58,0)</f>
        <v/>
      </c>
    </row>
    <row r="49" ht="10" customHeight="1">
      <c r="A49" s="30" t="inlineStr">
        <is>
          <t>LPD</t>
        </is>
      </c>
      <c r="B49" s="30" t="inlineStr">
        <is>
          <t>Amphibious Warfare Ships</t>
        </is>
      </c>
      <c r="C49" s="30" t="inlineStr">
        <is>
          <t>USN</t>
        </is>
      </c>
      <c r="D49" s="31">
        <f>SUMIFS(JB_26BV,JB_B,2,JB_H,"LPD",JB_RC,"ADD")</f>
        <v/>
      </c>
      <c r="E49" s="31">
        <f>SUMIFS(JB_26BV,JB_B,4,JB_H,"LPD",JB_RC,"ADD")</f>
        <v/>
      </c>
      <c r="F49" s="31">
        <f>D49+E49</f>
        <v/>
      </c>
      <c r="G49" s="37">
        <f>IFERROR(F49/F$58,0)</f>
        <v/>
      </c>
    </row>
    <row r="50" ht="10" customHeight="1">
      <c r="A50" s="30" t="inlineStr">
        <is>
          <t>CG</t>
        </is>
      </c>
      <c r="B50" s="30" t="inlineStr">
        <is>
          <t>Surface Combatants</t>
        </is>
      </c>
      <c r="C50" s="30" t="inlineStr">
        <is>
          <t>USN</t>
        </is>
      </c>
      <c r="D50" s="31">
        <f>SUMIFS(JB_26BV,JB_B,2,JB_H,"CG",JB_RC,"ADD")</f>
        <v/>
      </c>
      <c r="E50" s="31">
        <f>SUMIFS(JB_26BV,JB_B,4,JB_H,"CG",JB_RC,"ADD")</f>
        <v/>
      </c>
      <c r="F50" s="31">
        <f>D50+E50</f>
        <v/>
      </c>
      <c r="G50" s="37">
        <f>IFERROR(F50/F$58,0)</f>
        <v/>
      </c>
    </row>
    <row r="51" ht="10" customHeight="1">
      <c r="A51" s="30" t="inlineStr">
        <is>
          <t>LSD</t>
        </is>
      </c>
      <c r="B51" s="30" t="inlineStr">
        <is>
          <t>Amphibious Warfare Ships</t>
        </is>
      </c>
      <c r="C51" s="30" t="inlineStr">
        <is>
          <t>USN</t>
        </is>
      </c>
      <c r="D51" s="31">
        <f>SUMIFS(JB_26BV,JB_B,2,JB_H,"LSD",JB_RC,"ADD")</f>
        <v/>
      </c>
      <c r="E51" s="31">
        <f>SUMIFS(JB_26BV,JB_B,4,JB_H,"LSD",JB_RC,"ADD")</f>
        <v/>
      </c>
      <c r="F51" s="31">
        <f>D51+E51</f>
        <v/>
      </c>
      <c r="G51" s="37">
        <f>IFERROR(F51/F$58,0)</f>
        <v/>
      </c>
    </row>
    <row r="52" ht="10" customHeight="1">
      <c r="A52" s="30" t="inlineStr">
        <is>
          <t>LHA</t>
        </is>
      </c>
      <c r="B52" s="30" t="inlineStr">
        <is>
          <t>Amphibious Warfare Ships</t>
        </is>
      </c>
      <c r="C52" s="30" t="inlineStr">
        <is>
          <t>USN</t>
        </is>
      </c>
      <c r="D52" s="31">
        <f>SUMIFS(JB_26BV,JB_B,2,JB_H,"LHA",JB_RC,"ADD")</f>
        <v/>
      </c>
      <c r="E52" s="31">
        <f>SUMIFS(JB_26BV,JB_B,4,JB_H,"LHA",JB_RC,"ADD")</f>
        <v/>
      </c>
      <c r="F52" s="31">
        <f>D52+E52</f>
        <v/>
      </c>
      <c r="G52" s="37">
        <f>IFERROR(F52/F$58,0)</f>
        <v/>
      </c>
    </row>
    <row r="53" ht="10" customHeight="1">
      <c r="A53" s="30" t="inlineStr">
        <is>
          <t>T-AGOS</t>
        </is>
      </c>
      <c r="B53" s="30" t="inlineStr">
        <is>
          <t>Surveillance Ships</t>
        </is>
      </c>
      <c r="C53" s="30" t="inlineStr">
        <is>
          <t>MSC</t>
        </is>
      </c>
      <c r="D53" s="31">
        <f>SUMIFS(JB_26BV,JB_B,2,JB_H,"T-AGOS",JB_RC,"ADD")</f>
        <v/>
      </c>
      <c r="E53" s="31">
        <f>SUMIFS(JB_26BV,JB_B,4,JB_H,"T-AGOS",JB_RC,"ADD")</f>
        <v/>
      </c>
      <c r="F53" s="31">
        <f>D53+E53</f>
        <v/>
      </c>
      <c r="G53" s="37">
        <f>IFERROR(F53/F$58,0)</f>
        <v/>
      </c>
    </row>
    <row r="54" ht="10" customHeight="1">
      <c r="A54" s="30" t="inlineStr">
        <is>
          <t>ESB</t>
        </is>
      </c>
      <c r="B54" s="30" t="inlineStr">
        <is>
          <t>Expeditionary &amp; Seabasing Ships</t>
        </is>
      </c>
      <c r="C54" s="30" t="inlineStr">
        <is>
          <t>USN</t>
        </is>
      </c>
      <c r="D54" s="31">
        <f>SUMIFS(JB_26BV,JB_B,2,JB_H,"ESB",JB_RC,"ADD")</f>
        <v/>
      </c>
      <c r="E54" s="31">
        <f>SUMIFS(JB_26BV,JB_B,4,JB_H,"ESB",JB_RC,"ADD")</f>
        <v/>
      </c>
      <c r="F54" s="31">
        <f>D54+E54</f>
        <v/>
      </c>
      <c r="G54" s="37">
        <f>IFERROR(F54/F$58,0)</f>
        <v/>
      </c>
    </row>
    <row r="55" ht="10" customHeight="1">
      <c r="A55" s="30" t="inlineStr">
        <is>
          <t>MCM</t>
        </is>
      </c>
      <c r="B55" s="30" t="inlineStr">
        <is>
          <t>Mine Warfare</t>
        </is>
      </c>
      <c r="C55" s="30" t="inlineStr">
        <is>
          <t>USN</t>
        </is>
      </c>
      <c r="D55" s="31">
        <f>SUMIFS(JB_26BV,JB_B,2,JB_H,"MCM",JB_RC,"ADD")</f>
        <v/>
      </c>
      <c r="E55" s="31">
        <f>SUMIFS(JB_26BV,JB_B,4,JB_H,"MCM",JB_RC,"ADD")</f>
        <v/>
      </c>
      <c r="F55" s="31">
        <f>D55+E55</f>
        <v/>
      </c>
      <c r="G55" s="37">
        <f>IFERROR(F55/F$58,0)</f>
        <v/>
      </c>
    </row>
    <row r="56" ht="10" customHeight="1">
      <c r="A56" s="30" t="inlineStr">
        <is>
          <t>LCC</t>
        </is>
      </c>
      <c r="B56" s="30" t="inlineStr">
        <is>
          <t>Command Ships</t>
        </is>
      </c>
      <c r="C56" s="30" t="inlineStr">
        <is>
          <t>USN</t>
        </is>
      </c>
      <c r="D56" s="31">
        <f>SUMIFS(JB_26BV,JB_B,2,JB_H,"LCC",JB_RC,"ADD")</f>
        <v/>
      </c>
      <c r="E56" s="31">
        <f>SUMIFS(JB_26BV,JB_B,4,JB_H,"LCC",JB_RC,"ADD")</f>
        <v/>
      </c>
      <c r="F56" s="31">
        <f>D56+E56</f>
        <v/>
      </c>
      <c r="G56" s="37">
        <f>IFERROR(F56/F$58,0)</f>
        <v/>
      </c>
    </row>
    <row r="57" ht="10" customHeight="1">
      <c r="A57" s="30" t="inlineStr">
        <is>
          <t>WMSL</t>
        </is>
      </c>
      <c r="B57" s="30" t="inlineStr">
        <is>
          <t>National Security Cutters</t>
        </is>
      </c>
      <c r="C57" s="30" t="inlineStr">
        <is>
          <t>USCG</t>
        </is>
      </c>
      <c r="D57" s="31">
        <f>SUMIFS(JB_26BV,JB_B,2,JB_H,"WMSL",JB_RC,"ADD")</f>
        <v/>
      </c>
      <c r="E57" s="31">
        <f>SUMIFS(JB_26BV,JB_B,4,JB_H,"WMSL",JB_RC,"ADD")</f>
        <v/>
      </c>
      <c r="F57" s="31">
        <f>D57+E57</f>
        <v/>
      </c>
      <c r="G57" s="37">
        <f>IFERROR(F57/F$58,0)</f>
        <v/>
      </c>
    </row>
    <row r="58" ht="10" customHeight="1">
      <c r="A58" s="32" t="inlineStr">
        <is>
          <t>MRO SAM (all programs)</t>
        </is>
      </c>
      <c r="B58" s="32" t="inlineStr"/>
      <c r="C58" s="32" t="inlineStr"/>
      <c r="D58" s="33">
        <f>SUM(D46:D57)</f>
        <v/>
      </c>
      <c r="E58" s="33">
        <f>SUM(E46:E57)</f>
        <v/>
      </c>
      <c r="F58" s="33">
        <f>SUM(F46:F57)</f>
        <v/>
      </c>
      <c r="G58" s="38" t="n">
        <v>1</v>
      </c>
    </row>
    <row r="59" ht="10" customHeight="1"/>
    <row r="60" ht="10" customHeight="1"/>
    <row r="61" ht="10" customHeight="1">
      <c r="A61" s="27" t="inlineStr">
        <is>
          <t>(C→D) Bridge: All Programs → Cost-Element Coverage</t>
        </is>
      </c>
      <c r="B61" s="28" t="n"/>
    </row>
    <row r="62" ht="10" customHeight="1">
      <c r="A62" s="30" t="inlineStr">
        <is>
          <t>MRO SAM (all programs)</t>
        </is>
      </c>
      <c r="B62" s="31">
        <f>F58</f>
        <v/>
      </c>
    </row>
    <row r="63" ht="10" customHeight="1">
      <c r="A63" s="30" t="inlineStr">
        <is>
          <t xml:space="preserve">  Less: DDG (Surface Combatants — no P-5c)</t>
        </is>
      </c>
      <c r="B63" s="31">
        <f>-(SUMIFS(JB_26BV,JB_B,2,JB_H,"DDG",JB_RC,"ADD")+SUMIFS(JB_26BV,JB_B,4,JB_H,"DDG",JB_RC,"ADD"))</f>
        <v/>
      </c>
    </row>
    <row r="64" ht="10" customHeight="1">
      <c r="A64" s="30" t="inlineStr">
        <is>
          <t xml:space="preserve">  Less: LCS (Surface Combatants — no P-5c)</t>
        </is>
      </c>
      <c r="B64" s="31">
        <f>-(SUMIFS(JB_26BV,JB_B,2,JB_H,"LCS",JB_RC,"ADD")+SUMIFS(JB_26BV,JB_B,4,JB_H,"LCS",JB_RC,"ADD"))</f>
        <v/>
      </c>
    </row>
    <row r="65" ht="10" customHeight="1">
      <c r="A65" s="30" t="inlineStr">
        <is>
          <t xml:space="preserve">  Less: LHD (Amphibious Warfare Ships — no P-5c)</t>
        </is>
      </c>
      <c r="B65" s="31">
        <f>-(SUMIFS(JB_26BV,JB_B,2,JB_H,"LHD",JB_RC,"ADD")+SUMIFS(JB_26BV,JB_B,4,JB_H,"LHD",JB_RC,"ADD"))</f>
        <v/>
      </c>
    </row>
    <row r="66" ht="10" customHeight="1">
      <c r="A66" s="30" t="inlineStr">
        <is>
          <t xml:space="preserve">  Less: LPD (Amphibious Warfare Ships — no P-5c)</t>
        </is>
      </c>
      <c r="B66" s="31">
        <f>-(SUMIFS(JB_26BV,JB_B,2,JB_H,"LPD",JB_RC,"ADD")+SUMIFS(JB_26BV,JB_B,4,JB_H,"LPD",JB_RC,"ADD"))</f>
        <v/>
      </c>
    </row>
    <row r="67" ht="10" customHeight="1">
      <c r="A67" s="30" t="inlineStr">
        <is>
          <t xml:space="preserve">  Less: CG (Surface Combatants — no P-5c)</t>
        </is>
      </c>
      <c r="B67" s="31">
        <f>-(SUMIFS(JB_26BV,JB_B,2,JB_H,"CG",JB_RC,"ADD")+SUMIFS(JB_26BV,JB_B,4,JB_H,"CG",JB_RC,"ADD"))</f>
        <v/>
      </c>
    </row>
    <row r="68" ht="10" customHeight="1">
      <c r="A68" s="30" t="inlineStr">
        <is>
          <t xml:space="preserve">  Less: LSD (Amphibious Warfare Ships — no P-5c)</t>
        </is>
      </c>
      <c r="B68" s="31">
        <f>-(SUMIFS(JB_26BV,JB_B,2,JB_H,"LSD",JB_RC,"ADD")+SUMIFS(JB_26BV,JB_B,4,JB_H,"LSD",JB_RC,"ADD"))</f>
        <v/>
      </c>
    </row>
    <row r="69" ht="10" customHeight="1">
      <c r="A69" s="30" t="inlineStr">
        <is>
          <t xml:space="preserve">  Less: LHA (Amphibious Warfare Ships — no P-5c)</t>
        </is>
      </c>
      <c r="B69" s="31">
        <f>-(SUMIFS(JB_26BV,JB_B,2,JB_H,"LHA",JB_RC,"ADD")+SUMIFS(JB_26BV,JB_B,4,JB_H,"LHA",JB_RC,"ADD"))</f>
        <v/>
      </c>
    </row>
    <row r="70" ht="10" customHeight="1">
      <c r="A70" s="30" t="inlineStr">
        <is>
          <t xml:space="preserve">  Less: T-AGOS (Surveillance Ships — no P-5c)</t>
        </is>
      </c>
      <c r="B70" s="31">
        <f>-(SUMIFS(JB_26BV,JB_B,2,JB_H,"T-AGOS",JB_RC,"ADD")+SUMIFS(JB_26BV,JB_B,4,JB_H,"T-AGOS",JB_RC,"ADD"))</f>
        <v/>
      </c>
    </row>
    <row r="71" ht="10" customHeight="1">
      <c r="A71" s="30" t="inlineStr">
        <is>
          <t xml:space="preserve">  Less: ESB (Expeditionary &amp; Seabasing Ships — no P-5c)</t>
        </is>
      </c>
      <c r="B71" s="31">
        <f>-(SUMIFS(JB_26BV,JB_B,2,JB_H,"ESB",JB_RC,"ADD")+SUMIFS(JB_26BV,JB_B,4,JB_H,"ESB",JB_RC,"ADD"))</f>
        <v/>
      </c>
    </row>
    <row r="72" ht="10" customHeight="1">
      <c r="A72" s="30" t="inlineStr">
        <is>
          <t xml:space="preserve">  Less: MCM (Mine Warfare — no P-5c)</t>
        </is>
      </c>
      <c r="B72" s="31">
        <f>-(SUMIFS(JB_26BV,JB_B,2,JB_H,"MCM",JB_RC,"ADD")+SUMIFS(JB_26BV,JB_B,4,JB_H,"MCM",JB_RC,"ADD"))</f>
        <v/>
      </c>
    </row>
    <row r="73" ht="10" customHeight="1">
      <c r="A73" s="30" t="inlineStr">
        <is>
          <t xml:space="preserve">  Less: LCC (Command Ships — no P-5c)</t>
        </is>
      </c>
      <c r="B73" s="31">
        <f>-(SUMIFS(JB_26BV,JB_B,2,JB_H,"LCC",JB_RC,"ADD")+SUMIFS(JB_26BV,JB_B,4,JB_H,"LCC",JB_RC,"ADD"))</f>
        <v/>
      </c>
    </row>
    <row r="74" ht="10" customHeight="1">
      <c r="A74" s="30" t="inlineStr">
        <is>
          <t xml:space="preserve">  Less: WMSL (National Security Cutters, USCG — no P-5c)</t>
        </is>
      </c>
      <c r="B74" s="31">
        <f>-(SUMIFS(JB_26BV,JB_B,2,JB_H,"WMSL",JB_RC,"ADD")+SUMIFS(JB_26BV,JB_B,4,JB_H,"WMSL",JB_RC,"ADD"))</f>
        <v/>
      </c>
    </row>
    <row r="75" ht="10" customHeight="1">
      <c r="A75" s="32" t="inlineStr">
        <is>
          <t>MRO SAM (cost-element coverage)</t>
        </is>
      </c>
      <c r="B75" s="33">
        <f>SUM(B62:B74)</f>
        <v/>
      </c>
    </row>
    <row r="76" ht="10" customHeight="1"/>
    <row r="77" ht="10" customHeight="1"/>
    <row r="78" ht="10" customHeight="1">
      <c r="A78" s="27" t="inlineStr">
        <is>
          <t>(D) MRO SAM — SDM vs Modernization by Hull (Mekko)</t>
        </is>
      </c>
      <c r="B78" s="28" t="n"/>
      <c r="C78" s="28" t="n"/>
      <c r="D78" s="28" t="n"/>
      <c r="E78" s="28" t="n"/>
      <c r="F78" s="28" t="n"/>
      <c r="G78" s="28" t="n"/>
      <c r="H78" s="28" t="n"/>
      <c r="I78" s="28" t="n"/>
      <c r="J78" s="28" t="n"/>
      <c r="K78" s="28" t="n"/>
      <c r="L78" s="28" t="n"/>
      <c r="M78" s="28" t="n"/>
      <c r="N78" s="28" t="n"/>
    </row>
    <row r="79" ht="10" customHeight="1">
      <c r="A79" s="39" t="n"/>
      <c r="B79" s="40" t="inlineStr">
        <is>
          <t>USN</t>
        </is>
      </c>
      <c r="C79" s="39" t="n"/>
      <c r="D79" s="39" t="n"/>
      <c r="E79" s="39" t="n"/>
      <c r="F79" s="39" t="n"/>
      <c r="G79" s="39" t="n"/>
      <c r="H79" s="39" t="n"/>
      <c r="I79" s="39" t="n"/>
      <c r="J79" s="39" t="n"/>
      <c r="K79" s="39" t="n"/>
      <c r="L79" s="39" t="n"/>
      <c r="M79" s="40" t="inlineStr">
        <is>
          <t>USCG</t>
        </is>
      </c>
      <c r="N79" s="41" t="n"/>
    </row>
    <row r="80" ht="10" customHeight="1">
      <c r="A80" s="29" t="inlineStr">
        <is>
          <t>Work Type</t>
        </is>
      </c>
      <c r="B80" s="42" t="inlineStr">
        <is>
          <t>DDG</t>
        </is>
      </c>
      <c r="C80" s="29" t="inlineStr">
        <is>
          <t>LCS</t>
        </is>
      </c>
      <c r="D80" s="29" t="inlineStr">
        <is>
          <t>LHD</t>
        </is>
      </c>
      <c r="E80" s="29" t="inlineStr">
        <is>
          <t>LPD</t>
        </is>
      </c>
      <c r="F80" s="29" t="inlineStr">
        <is>
          <t>CG</t>
        </is>
      </c>
      <c r="G80" s="29" t="inlineStr">
        <is>
          <t>LSD</t>
        </is>
      </c>
      <c r="H80" s="29" t="inlineStr">
        <is>
          <t>LHA</t>
        </is>
      </c>
      <c r="I80" s="29" t="inlineStr">
        <is>
          <t>T-AGOS</t>
        </is>
      </c>
      <c r="J80" s="29" t="inlineStr">
        <is>
          <t>ESB</t>
        </is>
      </c>
      <c r="K80" s="29" t="inlineStr">
        <is>
          <t>MCM</t>
        </is>
      </c>
      <c r="L80" s="29" t="inlineStr">
        <is>
          <t>LCC</t>
        </is>
      </c>
      <c r="M80" s="42" t="inlineStr">
        <is>
          <t>WMSL</t>
        </is>
      </c>
      <c r="N80" s="42" t="inlineStr">
        <is>
          <t>Total</t>
        </is>
      </c>
    </row>
    <row r="81" ht="10" customHeight="1">
      <c r="A81" s="30" t="inlineStr">
        <is>
          <t>Scheduled Depot Maintenance</t>
        </is>
      </c>
      <c r="B81" s="43">
        <f>IFERROR((SUMIFS(JB_26BV,JB_B,2,JB_H,"DDG",JB_RC,"ADD"))/B$83,0)</f>
        <v/>
      </c>
      <c r="C81" s="37">
        <f>IFERROR((SUMIFS(JB_26BV,JB_B,2,JB_H,"LCS",JB_RC,"ADD"))/C$83,0)</f>
        <v/>
      </c>
      <c r="D81" s="37">
        <f>IFERROR((SUMIFS(JB_26BV,JB_B,2,JB_H,"LHD",JB_RC,"ADD"))/D$83,0)</f>
        <v/>
      </c>
      <c r="E81" s="37">
        <f>IFERROR((SUMIFS(JB_26BV,JB_B,2,JB_H,"LPD",JB_RC,"ADD"))/E$83,0)</f>
        <v/>
      </c>
      <c r="F81" s="37">
        <f>IFERROR((SUMIFS(JB_26BV,JB_B,2,JB_H,"CG",JB_RC,"ADD"))/F$83,0)</f>
        <v/>
      </c>
      <c r="G81" s="37">
        <f>IFERROR((SUMIFS(JB_26BV,JB_B,2,JB_H,"LSD",JB_RC,"ADD"))/G$83,0)</f>
        <v/>
      </c>
      <c r="H81" s="37">
        <f>IFERROR((SUMIFS(JB_26BV,JB_B,2,JB_H,"LHA",JB_RC,"ADD"))/H$83,0)</f>
        <v/>
      </c>
      <c r="I81" s="37">
        <f>IFERROR((SUMIFS(JB_26BV,JB_B,2,JB_H,"T-AGOS",JB_RC,"ADD"))/I$83,0)</f>
        <v/>
      </c>
      <c r="J81" s="37">
        <f>IFERROR((SUMIFS(JB_26BV,JB_B,2,JB_H,"ESB",JB_RC,"ADD"))/J$83,0)</f>
        <v/>
      </c>
      <c r="K81" s="37">
        <f>IFERROR((SUMIFS(JB_26BV,JB_B,2,JB_H,"MCM",JB_RC,"ADD"))/K$83,0)</f>
        <v/>
      </c>
      <c r="L81" s="37">
        <f>IFERROR((SUMIFS(JB_26BV,JB_B,2,JB_H,"LCC",JB_RC,"ADD"))/L$83,0)</f>
        <v/>
      </c>
      <c r="M81" s="43">
        <f>IFERROR((SUMIFS(JB_26BV,JB_B,2,JB_H,"WMSL",JB_RC,"ADD"))/M$83,0)</f>
        <v/>
      </c>
      <c r="N81" s="43">
        <f>IFERROR(1-N82,0)</f>
        <v/>
      </c>
    </row>
    <row r="82" ht="10" customHeight="1">
      <c r="A82" s="30" t="inlineStr">
        <is>
          <t>Modernization</t>
        </is>
      </c>
      <c r="B82" s="43">
        <f>IFERROR((SUMIFS(JB_26BV,JB_B,4,JB_H,"DDG",JB_RC,"ADD"))/B$83,0)</f>
        <v/>
      </c>
      <c r="C82" s="37">
        <f>IFERROR((SUMIFS(JB_26BV,JB_B,4,JB_H,"LCS",JB_RC,"ADD"))/C$83,0)</f>
        <v/>
      </c>
      <c r="D82" s="37">
        <f>IFERROR((SUMIFS(JB_26BV,JB_B,4,JB_H,"LHD",JB_RC,"ADD"))/D$83,0)</f>
        <v/>
      </c>
      <c r="E82" s="37">
        <f>IFERROR((SUMIFS(JB_26BV,JB_B,4,JB_H,"LPD",JB_RC,"ADD"))/E$83,0)</f>
        <v/>
      </c>
      <c r="F82" s="37">
        <f>IFERROR((SUMIFS(JB_26BV,JB_B,4,JB_H,"CG",JB_RC,"ADD"))/F$83,0)</f>
        <v/>
      </c>
      <c r="G82" s="37">
        <f>IFERROR((SUMIFS(JB_26BV,JB_B,4,JB_H,"LSD",JB_RC,"ADD"))/G$83,0)</f>
        <v/>
      </c>
      <c r="H82" s="37">
        <f>IFERROR((SUMIFS(JB_26BV,JB_B,4,JB_H,"LHA",JB_RC,"ADD"))/H$83,0)</f>
        <v/>
      </c>
      <c r="I82" s="37">
        <f>IFERROR((SUMIFS(JB_26BV,JB_B,4,JB_H,"T-AGOS",JB_RC,"ADD"))/I$83,0)</f>
        <v/>
      </c>
      <c r="J82" s="37">
        <f>IFERROR((SUMIFS(JB_26BV,JB_B,4,JB_H,"ESB",JB_RC,"ADD"))/J$83,0)</f>
        <v/>
      </c>
      <c r="K82" s="37">
        <f>IFERROR((SUMIFS(JB_26BV,JB_B,4,JB_H,"MCM",JB_RC,"ADD"))/K$83,0)</f>
        <v/>
      </c>
      <c r="L82" s="37">
        <f>IFERROR((SUMIFS(JB_26BV,JB_B,4,JB_H,"LCC",JB_RC,"ADD"))/L$83,0)</f>
        <v/>
      </c>
      <c r="M82" s="43">
        <f>IFERROR((SUMIFS(JB_26BV,JB_B,4,JB_H,"WMSL",JB_RC,"ADD"))/M$83,0)</f>
        <v/>
      </c>
      <c r="N82" s="43">
        <f>IFERROR((SUMIFS(JB_26BV,JB_B,4,JB_H,"DDG",JB_RC,"ADD")+SUMIFS(JB_26BV,JB_B,4,JB_H,"LCS",JB_RC,"ADD")+SUMIFS(JB_26BV,JB_B,4,JB_H,"LHD",JB_RC,"ADD")+SUMIFS(JB_26BV,JB_B,4,JB_H,"LPD",JB_RC,"ADD")+SUMIFS(JB_26BV,JB_B,4,JB_H,"CG",JB_RC,"ADD")+SUMIFS(JB_26BV,JB_B,4,JB_H,"LSD",JB_RC,"ADD")+SUMIFS(JB_26BV,JB_B,4,JB_H,"LHA",JB_RC,"ADD")+SUMIFS(JB_26BV,JB_B,4,JB_H,"T-AGOS",JB_RC,"ADD")+SUMIFS(JB_26BV,JB_B,4,JB_H,"ESB",JB_RC,"ADD")+SUMIFS(JB_26BV,JB_B,4,JB_H,"MCM",JB_RC,"ADD")+SUMIFS(JB_26BV,JB_B,4,JB_H,"LCC",JB_RC,"ADD")+SUMIFS(JB_26BV,JB_B,4,JB_H,"WMSL",JB_RC,"ADD"))/N$83,0)</f>
        <v/>
      </c>
    </row>
    <row r="83" ht="10" customHeight="1">
      <c r="A83" s="32" t="inlineStr">
        <is>
          <t>Total ($K)</t>
        </is>
      </c>
      <c r="B83" s="44">
        <f>SUMIFS(JB_26BV,JB_B,2,JB_H,"DDG",JB_RC,"ADD")+SUMIFS(JB_26BV,JB_B,4,JB_H,"DDG",JB_RC,"ADD")</f>
        <v/>
      </c>
      <c r="C83" s="33">
        <f>SUMIFS(JB_26BV,JB_B,2,JB_H,"LCS",JB_RC,"ADD")+SUMIFS(JB_26BV,JB_B,4,JB_H,"LCS",JB_RC,"ADD")</f>
        <v/>
      </c>
      <c r="D83" s="33">
        <f>SUMIFS(JB_26BV,JB_B,2,JB_H,"LHD",JB_RC,"ADD")+SUMIFS(JB_26BV,JB_B,4,JB_H,"LHD",JB_RC,"ADD")</f>
        <v/>
      </c>
      <c r="E83" s="33">
        <f>SUMIFS(JB_26BV,JB_B,2,JB_H,"LPD",JB_RC,"ADD")+SUMIFS(JB_26BV,JB_B,4,JB_H,"LPD",JB_RC,"ADD")</f>
        <v/>
      </c>
      <c r="F83" s="33">
        <f>SUMIFS(JB_26BV,JB_B,2,JB_H,"CG",JB_RC,"ADD")+SUMIFS(JB_26BV,JB_B,4,JB_H,"CG",JB_RC,"ADD")</f>
        <v/>
      </c>
      <c r="G83" s="33">
        <f>SUMIFS(JB_26BV,JB_B,2,JB_H,"LSD",JB_RC,"ADD")+SUMIFS(JB_26BV,JB_B,4,JB_H,"LSD",JB_RC,"ADD")</f>
        <v/>
      </c>
      <c r="H83" s="33">
        <f>SUMIFS(JB_26BV,JB_B,2,JB_H,"LHA",JB_RC,"ADD")+SUMIFS(JB_26BV,JB_B,4,JB_H,"LHA",JB_RC,"ADD")</f>
        <v/>
      </c>
      <c r="I83" s="33">
        <f>SUMIFS(JB_26BV,JB_B,2,JB_H,"T-AGOS",JB_RC,"ADD")+SUMIFS(JB_26BV,JB_B,4,JB_H,"T-AGOS",JB_RC,"ADD")</f>
        <v/>
      </c>
      <c r="J83" s="33">
        <f>SUMIFS(JB_26BV,JB_B,2,JB_H,"ESB",JB_RC,"ADD")+SUMIFS(JB_26BV,JB_B,4,JB_H,"ESB",JB_RC,"ADD")</f>
        <v/>
      </c>
      <c r="K83" s="33">
        <f>SUMIFS(JB_26BV,JB_B,2,JB_H,"MCM",JB_RC,"ADD")+SUMIFS(JB_26BV,JB_B,4,JB_H,"MCM",JB_RC,"ADD")</f>
        <v/>
      </c>
      <c r="L83" s="33">
        <f>SUMIFS(JB_26BV,JB_B,2,JB_H,"LCC",JB_RC,"ADD")+SUMIFS(JB_26BV,JB_B,4,JB_H,"LCC",JB_RC,"ADD")</f>
        <v/>
      </c>
      <c r="M83" s="44">
        <f>SUMIFS(JB_26BV,JB_B,2,JB_H,"WMSL",JB_RC,"ADD")+SUMIFS(JB_26BV,JB_B,4,JB_H,"WMSL",JB_RC,"ADD")</f>
        <v/>
      </c>
      <c r="N83" s="44">
        <f>SUM(B83:M83)</f>
        <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R8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FY2027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0" t="inlineStr">
        <is>
          <t xml:space="preserve">  Less: Boats</t>
        </is>
      </c>
      <c r="B9" s="31">
        <f>-SUMIFS(JB_27BV,JB_B,1,JB_V,"Boats",JB_RC,"ADD")</f>
        <v/>
      </c>
    </row>
    <row r="10" ht="10" customHeight="1">
      <c r="A10" s="30" t="inlineStr">
        <is>
          <t xml:space="preserve">  Less: No vessel type designation</t>
        </is>
      </c>
      <c r="B10" s="31">
        <f>-(SUMIFS(JB_27BV,JB_B,1,JB_V,"Auxiliary Ships",JB_W,"",JB_RC,"ADD")+SUMIFS(JB_27BV,JB_B,1,JB_V,"Combatant Ships",JB_W,"",JB_RC,"ADD")+SUMIFS(JB_27BV,JB_B,1,JB_V,"Cutters",JB_W,"",JB_RC,"ADD")+SUMIFS(JB_27BV,JB_B,1,JB_V,"Unmanned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FY2027 ($K)</t>
        </is>
      </c>
      <c r="D15" s="29" t="inlineStr">
        <is>
          <t>% of TAM</t>
        </is>
      </c>
    </row>
    <row r="16" ht="10" customHeight="1">
      <c r="A16" s="30" t="inlineStr">
        <is>
          <t>Submarines</t>
        </is>
      </c>
      <c r="B16" s="30" t="inlineStr">
        <is>
          <t>USN</t>
        </is>
      </c>
      <c r="C16" s="31">
        <f>SUMIFS(JB_27BV,JB_B,1,JB_W,"Submarines",JB_RC,"ADD")</f>
        <v/>
      </c>
      <c r="D16" s="37">
        <f>IFERROR(C16/C$44,0)</f>
        <v/>
      </c>
    </row>
    <row r="17" ht="10" customHeight="1">
      <c r="A17" s="30" t="inlineStr">
        <is>
          <t>Amphibious Warfare Ships</t>
        </is>
      </c>
      <c r="B17" s="30" t="inlineStr">
        <is>
          <t>USN</t>
        </is>
      </c>
      <c r="C17" s="31">
        <f>SUMIFS(JB_27BV,JB_B,1,JB_W,"Amphibious Warfare Ships",JB_RC,"ADD")</f>
        <v/>
      </c>
      <c r="D17" s="37">
        <f>IFERROR(C17/C$44,0)</f>
        <v/>
      </c>
    </row>
    <row r="18" ht="10" customHeight="1">
      <c r="A18" s="30" t="inlineStr">
        <is>
          <t>Surface Combatants</t>
        </is>
      </c>
      <c r="B18" s="30" t="inlineStr">
        <is>
          <t>USN</t>
        </is>
      </c>
      <c r="C18" s="31">
        <f>SUMIFS(JB_27BV,JB_B,1,JB_W,"Surface Combatants",JB_RC,"ADD")</f>
        <v/>
      </c>
      <c r="D18" s="37">
        <f>IFERROR(C18/C$44,0)</f>
        <v/>
      </c>
    </row>
    <row r="19" ht="10" customHeight="1">
      <c r="A19" s="30" t="inlineStr">
        <is>
          <t>Material Support Ships</t>
        </is>
      </c>
      <c r="B19" s="30" t="inlineStr">
        <is>
          <t>USN</t>
        </is>
      </c>
      <c r="C19" s="31">
        <f>SUMIFS(JB_27BV,JB_B,1,JB_W,"Material Support Ships",JB_RC,"ADD")</f>
        <v/>
      </c>
      <c r="D19" s="37">
        <f>IFERROR(C19/C$44,0)</f>
        <v/>
      </c>
    </row>
    <row r="20" ht="10" customHeight="1">
      <c r="A20" s="30" t="inlineStr">
        <is>
          <t>Aircraft Carriers</t>
        </is>
      </c>
      <c r="B20" s="30" t="inlineStr">
        <is>
          <t>USN</t>
        </is>
      </c>
      <c r="C20" s="31">
        <f>SUMIFS(JB_27BV,JB_B,1,JB_W,"Aircraft Carriers",JB_RC,"ADD")</f>
        <v/>
      </c>
      <c r="D20" s="37">
        <f>IFERROR(C20/C$44,0)</f>
        <v/>
      </c>
    </row>
    <row r="21" ht="10" customHeight="1">
      <c r="A21" s="30" t="inlineStr">
        <is>
          <t>Combat Logistics Ships</t>
        </is>
      </c>
      <c r="B21" s="30" t="inlineStr">
        <is>
          <t>MSC</t>
        </is>
      </c>
      <c r="C21" s="31">
        <f>SUMIFS(JB_27BV,JB_B,1,JB_W,"Combat Logistics Ships",JB_RC,"ADD")</f>
        <v/>
      </c>
      <c r="D21" s="37">
        <f>IFERROR(C21/C$44,0)</f>
        <v/>
      </c>
    </row>
    <row r="22" ht="10" customHeight="1">
      <c r="A22" s="30" t="inlineStr">
        <is>
          <t>Expeditionary &amp; Seabasing Ships</t>
        </is>
      </c>
      <c r="B22" s="30" t="inlineStr">
        <is>
          <t>USN</t>
        </is>
      </c>
      <c r="C22" s="31">
        <f>SUMIFS(JB_27BV,JB_B,1,JB_W,"Expeditionary &amp; Seabasing Ships",JB_RC,"ADD")</f>
        <v/>
      </c>
      <c r="D22" s="37">
        <f>IFERROR(C22/C$44,0)</f>
        <v/>
      </c>
    </row>
    <row r="23" ht="10" customHeight="1">
      <c r="A23" s="30" t="inlineStr">
        <is>
          <t>Surveillance Ships</t>
        </is>
      </c>
      <c r="B23" s="30" t="inlineStr">
        <is>
          <t>USN</t>
        </is>
      </c>
      <c r="C23" s="31">
        <f>SUMIFS(JB_27BV,JB_B,1,JB_W,"Surveillance Ships",JB_RC,"ADD")</f>
        <v/>
      </c>
      <c r="D23" s="37">
        <f>IFERROR(C23/C$44,0)</f>
        <v/>
      </c>
    </row>
    <row r="24" ht="10" customHeight="1">
      <c r="A24" s="30" t="inlineStr">
        <is>
          <t>Hospital Ship</t>
        </is>
      </c>
      <c r="B24" s="30" t="inlineStr">
        <is>
          <t>MSC</t>
        </is>
      </c>
      <c r="C24" s="31">
        <f>SUMIFS(JB_27BV,JB_B,1,JB_W,"Hospital Ship",JB_RC,"ADD")</f>
        <v/>
      </c>
      <c r="D24" s="37">
        <f>IFERROR(C24/C$44,0)</f>
        <v/>
      </c>
    </row>
    <row r="25" ht="10" customHeight="1">
      <c r="A25" s="30" t="inlineStr">
        <is>
          <t>Cargo &amp; Vehicle Cargo Ships</t>
        </is>
      </c>
      <c r="B25" s="30" t="inlineStr">
        <is>
          <t>USN</t>
        </is>
      </c>
      <c r="C25" s="31">
        <f>SUMIFS(JB_27BV,JB_B,1,JB_W,"Cargo &amp; Vehicle Cargo Ships",JB_RC,"ADD")</f>
        <v/>
      </c>
      <c r="D25" s="37">
        <f>IFERROR(C25/C$44,0)</f>
        <v/>
      </c>
    </row>
    <row r="26" ht="10" customHeight="1">
      <c r="A26" s="30" t="inlineStr">
        <is>
          <t>Unmanned Undersea Vehicles</t>
        </is>
      </c>
      <c r="B26" s="30" t="inlineStr">
        <is>
          <t>USN</t>
        </is>
      </c>
      <c r="C26" s="31">
        <f>SUMIFS(JB_27BV,JB_B,1,JB_W,"Unmanned Undersea Vehicles",JB_RC,"ADD")</f>
        <v/>
      </c>
      <c r="D26" s="37">
        <f>IFERROR(C26/C$44,0)</f>
        <v/>
      </c>
    </row>
    <row r="27" ht="10" customHeight="1">
      <c r="A27" s="30" t="inlineStr">
        <is>
          <t>Unmanned Surface Vehicles</t>
        </is>
      </c>
      <c r="B27" s="30" t="inlineStr">
        <is>
          <t>USN</t>
        </is>
      </c>
      <c r="C27" s="31">
        <f>SUMIFS(JB_27BV,JB_B,1,JB_W,"Unmanned Surface Vehicles",JB_RC,"ADD")</f>
        <v/>
      </c>
      <c r="D27" s="37">
        <f>IFERROR(C27/C$44,0)</f>
        <v/>
      </c>
    </row>
    <row r="28" ht="10" customHeight="1">
      <c r="A28" s="30" t="inlineStr">
        <is>
          <t>Aviation Logistics Support Ship</t>
        </is>
      </c>
      <c r="B28" s="30" t="inlineStr">
        <is>
          <t>USN</t>
        </is>
      </c>
      <c r="C28" s="31">
        <f>SUMIFS(JB_27BV,JB_B,1,JB_W,"Aviation Logistics Support Ship",JB_RC,"ADD")</f>
        <v/>
      </c>
      <c r="D28" s="37">
        <f>IFERROR(C28/C$44,0)</f>
        <v/>
      </c>
    </row>
    <row r="29" ht="10" customHeight="1">
      <c r="A29" s="30" t="inlineStr">
        <is>
          <t>Research, Survey &amp; Instrumentation Ships</t>
        </is>
      </c>
      <c r="B29" s="30" t="inlineStr">
        <is>
          <t>MSC</t>
        </is>
      </c>
      <c r="C29" s="31">
        <f>SUMIFS(JB_27BV,JB_B,1,JB_W,"Research, Survey &amp; Instrumentation Ships",JB_RC,"ADD")</f>
        <v/>
      </c>
      <c r="D29" s="37">
        <f>IFERROR(C29/C$44,0)</f>
        <v/>
      </c>
    </row>
    <row r="30" ht="10" customHeight="1">
      <c r="A30" s="30" t="inlineStr">
        <is>
          <t>High Speed Transport</t>
        </is>
      </c>
      <c r="B30" s="30" t="inlineStr">
        <is>
          <t>USN</t>
        </is>
      </c>
      <c r="C30" s="31">
        <f>SUMIFS(JB_27BV,JB_B,1,JB_W,"High Speed Transport",JB_RC,"ADD")</f>
        <v/>
      </c>
      <c r="D30" s="37">
        <f>IFERROR(C30/C$44,0)</f>
        <v/>
      </c>
    </row>
    <row r="31" ht="10" customHeight="1">
      <c r="A31" s="30" t="inlineStr">
        <is>
          <t>Crane Ship</t>
        </is>
      </c>
      <c r="B31" s="30" t="inlineStr">
        <is>
          <t>USN</t>
        </is>
      </c>
      <c r="C31" s="31">
        <f>SUMIFS(JB_27BV,JB_B,1,JB_W,"Crane Ship",JB_RC,"ADD")</f>
        <v/>
      </c>
      <c r="D31" s="37">
        <f>IFERROR(C31/C$44,0)</f>
        <v/>
      </c>
    </row>
    <row r="32" ht="10" customHeight="1">
      <c r="A32" s="30" t="inlineStr">
        <is>
          <t>Submarine Escort Ship</t>
        </is>
      </c>
      <c r="B32" s="30" t="inlineStr">
        <is>
          <t>USN</t>
        </is>
      </c>
      <c r="C32" s="31">
        <f>SUMIFS(JB_27BV,JB_B,1,JB_W,"Submarine Escort Ship",JB_RC,"ADD")</f>
        <v/>
      </c>
      <c r="D32" s="37">
        <f>IFERROR(C32/C$44,0)</f>
        <v/>
      </c>
    </row>
    <row r="33" ht="10" customHeight="1">
      <c r="A33" s="30" t="inlineStr">
        <is>
          <t>Command Ships</t>
        </is>
      </c>
      <c r="B33" s="30" t="inlineStr">
        <is>
          <t>USN</t>
        </is>
      </c>
      <c r="C33" s="31">
        <f>SUMIFS(JB_27BV,JB_B,1,JB_W,"Command Ships",JB_RC,"ADD")</f>
        <v/>
      </c>
      <c r="D33" s="37">
        <f>IFERROR(C33/C$44,0)</f>
        <v/>
      </c>
    </row>
    <row r="34" ht="10" customHeight="1">
      <c r="A34" s="30" t="inlineStr">
        <is>
          <t>Mine Warfare</t>
        </is>
      </c>
      <c r="B34" s="30" t="inlineStr">
        <is>
          <t>USN</t>
        </is>
      </c>
      <c r="C34" s="31">
        <f>SUMIFS(JB_27BV,JB_B,1,JB_W,"Mine Warfare",JB_RC,"ADD")</f>
        <v/>
      </c>
      <c r="D34" s="37">
        <f>IFERROR(C34/C$44,0)</f>
        <v/>
      </c>
    </row>
    <row r="35" ht="10" customHeight="1">
      <c r="A35" s="30" t="inlineStr">
        <is>
          <t>Salvage Ships &amp; Fleet Ocean Tugs</t>
        </is>
      </c>
      <c r="B35" s="30" t="inlineStr">
        <is>
          <t>MSC</t>
        </is>
      </c>
      <c r="C35" s="31">
        <f>SUMIFS(JB_27BV,JB_B,1,JB_W,"Salvage Ships &amp; Fleet Ocean Tugs",JB_RC,"ADD")</f>
        <v/>
      </c>
      <c r="D35" s="37">
        <f>IFERROR(C35/C$44,0)</f>
        <v/>
      </c>
    </row>
    <row r="36" ht="10" customHeight="1">
      <c r="A36" s="30" t="inlineStr">
        <is>
          <t>General Auxiliary</t>
        </is>
      </c>
      <c r="B36" s="30" t="inlineStr">
        <is>
          <t>USN</t>
        </is>
      </c>
      <c r="C36" s="31">
        <f>SUMIFS(JB_27BV,JB_B,1,JB_W,"General Auxiliary",JB_RC,"ADD")</f>
        <v/>
      </c>
      <c r="D36" s="37">
        <f>IFERROR(C36/C$44,0)</f>
        <v/>
      </c>
    </row>
    <row r="37" ht="10" customHeight="1">
      <c r="A37" s="30" t="inlineStr">
        <is>
          <t>Coastal Buoy Tenders</t>
        </is>
      </c>
      <c r="B37" s="30" t="inlineStr">
        <is>
          <t>USCG</t>
        </is>
      </c>
      <c r="C37" s="31">
        <f>SUMIFS(JB_27BV,JB_B,1,JB_W,"Coastal Buoy Tenders",JB_RC,"ADD")</f>
        <v/>
      </c>
      <c r="D37" s="37">
        <f>IFERROR(C37/C$44,0)</f>
        <v/>
      </c>
    </row>
    <row r="38" ht="10" customHeight="1">
      <c r="A38" s="30" t="inlineStr">
        <is>
          <t>Icebreakers, Oceangoing</t>
        </is>
      </c>
      <c r="B38" s="30" t="inlineStr">
        <is>
          <t>USCG</t>
        </is>
      </c>
      <c r="C38" s="31">
        <f>SUMIFS(JB_27BV,JB_B,1,JB_W,"Icebreakers, Oceangoing",JB_RC,"ADD")</f>
        <v/>
      </c>
      <c r="D38" s="37">
        <f>IFERROR(C38/C$44,0)</f>
        <v/>
      </c>
    </row>
    <row r="39" ht="10" customHeight="1">
      <c r="A39" s="30" t="inlineStr">
        <is>
          <t>National Security Cutters</t>
        </is>
      </c>
      <c r="B39" s="30" t="inlineStr">
        <is>
          <t>USCG</t>
        </is>
      </c>
      <c r="C39" s="31">
        <f>SUMIFS(JB_27BV,JB_B,1,JB_W,"National Security Cutters",JB_RC,"ADD")</f>
        <v/>
      </c>
      <c r="D39" s="37">
        <f>IFERROR(C39/C$44,0)</f>
        <v/>
      </c>
    </row>
    <row r="40" ht="10" customHeight="1">
      <c r="A40" s="30" t="inlineStr">
        <is>
          <t>Fast Response Cutters</t>
        </is>
      </c>
      <c r="B40" s="30" t="inlineStr">
        <is>
          <t>USCG</t>
        </is>
      </c>
      <c r="C40" s="31">
        <f>SUMIFS(JB_27BV,JB_B,1,JB_W,"Fast Response Cutters",JB_RC,"ADD")</f>
        <v/>
      </c>
      <c r="D40" s="37">
        <f>IFERROR(C40/C$44,0)</f>
        <v/>
      </c>
    </row>
    <row r="41" ht="10" customHeight="1">
      <c r="A41" s="30" t="inlineStr">
        <is>
          <t>Offshore Patrol Cutter</t>
        </is>
      </c>
      <c r="B41" s="30" t="inlineStr">
        <is>
          <t>USCG</t>
        </is>
      </c>
      <c r="C41" s="31">
        <f>SUMIFS(JB_27BV,JB_B,1,JB_W,"Offshore Patrol Cutter",JB_RC,"ADD")</f>
        <v/>
      </c>
      <c r="D41" s="37">
        <f>IFERROR(C41/C$44,0)</f>
        <v/>
      </c>
    </row>
    <row r="42" ht="10" customHeight="1">
      <c r="A42" s="30" t="inlineStr">
        <is>
          <t>Waterways Commerce Cutters</t>
        </is>
      </c>
      <c r="B42" s="30" t="inlineStr">
        <is>
          <t>USCG</t>
        </is>
      </c>
      <c r="C42" s="31">
        <f>SUMIFS(JB_27BV,JB_B,1,JB_W,"Waterways Commerce Cutters",JB_RC,"ADD")</f>
        <v/>
      </c>
      <c r="D42" s="37">
        <f>IFERROR(C42/C$44,0)</f>
        <v/>
      </c>
    </row>
    <row r="43" ht="10" customHeight="1">
      <c r="A43" s="30" t="inlineStr">
        <is>
          <t>Icebreakers, Great Lakes</t>
        </is>
      </c>
      <c r="B43" s="30" t="inlineStr">
        <is>
          <t>USCG</t>
        </is>
      </c>
      <c r="C43" s="31">
        <f>SUMIFS(JB_27BV,JB_B,1,JB_W,"Icebreakers, Great Lakes",JB_RC,"ADD")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FY2027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FY2027 ($K)</t>
        </is>
      </c>
      <c r="E49" s="29" t="inlineStr">
        <is>
          <t>% of TAM</t>
        </is>
      </c>
    </row>
    <row r="50" ht="10" customHeight="1">
      <c r="A50" s="30" t="inlineStr">
        <is>
          <t>SSBN</t>
        </is>
      </c>
      <c r="B50" s="30" t="inlineStr">
        <is>
          <t>Submarines</t>
        </is>
      </c>
      <c r="C50" s="30" t="inlineStr">
        <is>
          <t>USN</t>
        </is>
      </c>
      <c r="D50" s="31">
        <f>SUMIFS(JB_27BV,JB_B,1,JB_H,"SSBN",JB_RC,"ADD")</f>
        <v/>
      </c>
      <c r="E50" s="37">
        <f>IFERROR(D50/D$65,0)</f>
        <v/>
      </c>
    </row>
    <row r="51" ht="10" customHeight="1">
      <c r="A51" s="30" t="inlineStr">
        <is>
          <t>SSN</t>
        </is>
      </c>
      <c r="B51" s="30" t="inlineStr">
        <is>
          <t>Submarines</t>
        </is>
      </c>
      <c r="C51" s="30" t="inlineStr">
        <is>
          <t>USN</t>
        </is>
      </c>
      <c r="D51" s="31">
        <f>SUMIFS(JB_27BV,JB_B,1,JB_H,"SSN",JB_RC,"ADD")</f>
        <v/>
      </c>
      <c r="E51" s="37">
        <f>IFERROR(D51/D$65,0)</f>
        <v/>
      </c>
    </row>
    <row r="52" ht="10" customHeight="1">
      <c r="A52" s="30" t="inlineStr">
        <is>
          <t>AS</t>
        </is>
      </c>
      <c r="B52" s="30" t="inlineStr">
        <is>
          <t>Material Support Ships</t>
        </is>
      </c>
      <c r="C52" s="30" t="inlineStr">
        <is>
          <t>USN</t>
        </is>
      </c>
      <c r="D52" s="31">
        <f>SUMIFS(JB_27BV,JB_B,1,JB_H,"AS",JB_RC,"ADD")</f>
        <v/>
      </c>
      <c r="E52" s="37">
        <f>IFERROR(D52/D$65,0)</f>
        <v/>
      </c>
    </row>
    <row r="53" ht="10" customHeight="1">
      <c r="A53" s="30" t="inlineStr">
        <is>
          <t>CVN</t>
        </is>
      </c>
      <c r="B53" s="30" t="inlineStr">
        <is>
          <t>Aircraft Carriers</t>
        </is>
      </c>
      <c r="C53" s="30" t="inlineStr">
        <is>
          <t>USN</t>
        </is>
      </c>
      <c r="D53" s="31">
        <f>SUMIFS(JB_27BV,JB_B,1,JB_H,"CVN",JB_RC,"ADD")</f>
        <v/>
      </c>
      <c r="E53" s="37">
        <f>IFERROR(D53/D$65,0)</f>
        <v/>
      </c>
    </row>
    <row r="54" ht="10" customHeight="1">
      <c r="A54" s="30" t="inlineStr">
        <is>
          <t>LHA</t>
        </is>
      </c>
      <c r="B54" s="30" t="inlineStr">
        <is>
          <t>Amphibious Warfare Ships</t>
        </is>
      </c>
      <c r="C54" s="30" t="inlineStr">
        <is>
          <t>USN</t>
        </is>
      </c>
      <c r="D54" s="31">
        <f>SUMIFS(JB_27BV,JB_B,1,JB_H,"LHA",JB_RC,"ADD")</f>
        <v/>
      </c>
      <c r="E54" s="37">
        <f>IFERROR(D54/D$65,0)</f>
        <v/>
      </c>
    </row>
    <row r="55" ht="10" customHeight="1">
      <c r="A55" s="30" t="inlineStr">
        <is>
          <t>DDG</t>
        </is>
      </c>
      <c r="B55" s="30" t="inlineStr">
        <is>
          <t>Surface Combatants</t>
        </is>
      </c>
      <c r="C55" s="30" t="inlineStr">
        <is>
          <t>USN</t>
        </is>
      </c>
      <c r="D55" s="31">
        <f>SUMIFS(JB_27BV,JB_B,1,JB_H,"DDG",JB_RC,"ADD")</f>
        <v/>
      </c>
      <c r="E55" s="37">
        <f>IFERROR(D55/D$65,0)</f>
        <v/>
      </c>
    </row>
    <row r="56" ht="10" customHeight="1">
      <c r="A56" s="30" t="inlineStr">
        <is>
          <t>LPD</t>
        </is>
      </c>
      <c r="B56" s="30" t="inlineStr">
        <is>
          <t>Amphibious Warfare Ships</t>
        </is>
      </c>
      <c r="C56" s="30" t="inlineStr">
        <is>
          <t>USN</t>
        </is>
      </c>
      <c r="D56" s="31">
        <f>SUMIFS(JB_27BV,JB_B,1,JB_H,"LPD",JB_RC,"ADD")</f>
        <v/>
      </c>
      <c r="E56" s="37">
        <f>IFERROR(D56/D$65,0)</f>
        <v/>
      </c>
    </row>
    <row r="57" ht="10" customHeight="1">
      <c r="A57" s="30" t="inlineStr">
        <is>
          <t>T-AO</t>
        </is>
      </c>
      <c r="B57" s="30" t="inlineStr">
        <is>
          <t>Combat Logistics Ships</t>
        </is>
      </c>
      <c r="C57" s="30" t="inlineStr">
        <is>
          <t>MSC</t>
        </is>
      </c>
      <c r="D57" s="31">
        <f>SUMIFS(JB_27BV,JB_B,1,JB_H,"T-AO",JB_RC,"ADD")</f>
        <v/>
      </c>
      <c r="E57" s="37">
        <f>IFERROR(D57/D$65,0)</f>
        <v/>
      </c>
    </row>
    <row r="58" ht="10" customHeight="1">
      <c r="A58" s="30" t="inlineStr">
        <is>
          <t>LSM</t>
        </is>
      </c>
      <c r="B58" s="30" t="inlineStr">
        <is>
          <t>Expeditionary &amp; Seabasing Ships</t>
        </is>
      </c>
      <c r="C58" s="30" t="inlineStr">
        <is>
          <t>USN</t>
        </is>
      </c>
      <c r="D58" s="31">
        <f>SUMIFS(JB_27BV,JB_B,1,JB_H,"LSM",JB_RC,"ADD")</f>
        <v/>
      </c>
      <c r="E58" s="37">
        <f>IFERROR(D58/D$65,0)</f>
        <v/>
      </c>
    </row>
    <row r="59" ht="10" customHeight="1">
      <c r="A59" s="30" t="inlineStr">
        <is>
          <t>FFG</t>
        </is>
      </c>
      <c r="B59" s="30" t="inlineStr">
        <is>
          <t>Surface Combatants</t>
        </is>
      </c>
      <c r="C59" s="30" t="inlineStr">
        <is>
          <t>USN</t>
        </is>
      </c>
      <c r="D59" s="31">
        <f>SUMIFS(JB_27BV,JB_B,1,JB_H,"FFG",JB_RC,"ADD")</f>
        <v/>
      </c>
      <c r="E59" s="37">
        <f>IFERROR(D59/D$65,0)</f>
        <v/>
      </c>
    </row>
    <row r="60" ht="10" customHeight="1">
      <c r="A60" s="30" t="inlineStr">
        <is>
          <t>T-AGOS</t>
        </is>
      </c>
      <c r="B60" s="30" t="inlineStr">
        <is>
          <t>Surveillance Ships</t>
        </is>
      </c>
      <c r="C60" s="30" t="inlineStr">
        <is>
          <t>MSC</t>
        </is>
      </c>
      <c r="D60" s="31">
        <f>SUMIFS(JB_27BV,JB_B,1,JB_H,"T-AGOS",JB_RC,"ADD")</f>
        <v/>
      </c>
      <c r="E60" s="37">
        <f>IFERROR(D60/D$65,0)</f>
        <v/>
      </c>
    </row>
    <row r="61" ht="10" customHeight="1">
      <c r="A61" s="30" t="inlineStr">
        <is>
          <t>T-AH</t>
        </is>
      </c>
      <c r="B61" s="30" t="inlineStr">
        <is>
          <t>Hospital Ship</t>
        </is>
      </c>
      <c r="C61" s="30" t="inlineStr">
        <is>
          <t>MSC</t>
        </is>
      </c>
      <c r="D61" s="31">
        <f>SUMIFS(JB_27BV,JB_B,1,JB_H,"T-AH",JB_RC,"ADD")</f>
        <v/>
      </c>
      <c r="E61" s="37">
        <f>IFERROR(D61/D$65,0)</f>
        <v/>
      </c>
    </row>
    <row r="62" ht="10" customHeight="1">
      <c r="A62" s="30" t="inlineStr">
        <is>
          <t>T-AKR</t>
        </is>
      </c>
      <c r="B62" s="30" t="inlineStr">
        <is>
          <t>Cargo &amp; Vehicle Cargo Ships</t>
        </is>
      </c>
      <c r="C62" s="30" t="inlineStr">
        <is>
          <t>MSC</t>
        </is>
      </c>
      <c r="D62" s="31">
        <f>SUMIFS(JB_27BV,JB_B,1,JB_H,"T-AKR",JB_RC,"ADD")</f>
        <v/>
      </c>
      <c r="E62" s="37">
        <f>IFERROR(D62/D$65,0)</f>
        <v/>
      </c>
    </row>
    <row r="63" ht="10" customHeight="1">
      <c r="A63" s="30" t="inlineStr">
        <is>
          <t>UUV</t>
        </is>
      </c>
      <c r="B63" s="30" t="inlineStr">
        <is>
          <t>Unmanned Undersea Vehicles</t>
        </is>
      </c>
      <c r="C63" s="30" t="inlineStr">
        <is>
          <t>USN</t>
        </is>
      </c>
      <c r="D63" s="31">
        <f>SUMIFS(JB_27BV,JB_B,1,JB_H,"UUV",JB_RC,"ADD")</f>
        <v/>
      </c>
      <c r="E63" s="37">
        <f>IFERROR(D63/D$65,0)</f>
        <v/>
      </c>
    </row>
    <row r="64" ht="10" customHeight="1">
      <c r="A64" s="30" t="inlineStr">
        <is>
          <t>MUSV</t>
        </is>
      </c>
      <c r="B64" s="30" t="inlineStr">
        <is>
          <t>Unmanned Surface Vehicles</t>
        </is>
      </c>
      <c r="C64" s="30" t="inlineStr">
        <is>
          <t>USN</t>
        </is>
      </c>
      <c r="D64" s="31">
        <f>SUMIFS(JB_27BV,JB_B,1,JB_H,"MUSV",JB_RC,"ADD")</f>
        <v/>
      </c>
      <c r="E64" s="37">
        <f>IFERROR(D64/D$65,0)</f>
        <v/>
      </c>
    </row>
    <row r="65" ht="10" customHeight="1">
      <c r="A65" s="32" t="inlineStr">
        <is>
          <t>Newbuild TAM</t>
        </is>
      </c>
      <c r="B65" s="32" t="inlineStr"/>
      <c r="C65" s="32" t="inlineStr"/>
      <c r="D65" s="33">
        <f>SUM(D50:D64)</f>
        <v/>
      </c>
      <c r="E65" s="38" t="n">
        <v>1</v>
      </c>
    </row>
    <row r="66" ht="10" customHeight="1"/>
    <row r="67" ht="10" customHeight="1"/>
    <row r="68" ht="10" customHeight="1">
      <c r="A68" s="27" t="inlineStr">
        <is>
          <t>(D) Newbuild TAM — Sub-Category Mix by Vessel Type (Mekko)</t>
        </is>
      </c>
      <c r="B68" s="28" t="n"/>
      <c r="C68" s="28" t="n"/>
      <c r="D68" s="28" t="n"/>
      <c r="E68" s="28" t="n"/>
      <c r="F68" s="28" t="n"/>
      <c r="G68" s="28" t="n"/>
      <c r="H68" s="28" t="n"/>
      <c r="I68" s="28" t="n"/>
      <c r="J68" s="28" t="n"/>
      <c r="K68" s="28" t="n"/>
      <c r="L68" s="28" t="n"/>
      <c r="M68" s="28" t="n"/>
      <c r="N68" s="28" t="n"/>
    </row>
    <row r="69" ht="10" customHeight="1">
      <c r="A69" s="39" t="n"/>
      <c r="B69" s="40" t="inlineStr">
        <is>
          <t>USN</t>
        </is>
      </c>
      <c r="C69" s="39" t="n"/>
      <c r="D69" s="39" t="n"/>
      <c r="E69" s="39" t="n"/>
      <c r="F69" s="39" t="n"/>
      <c r="G69" s="39" t="n"/>
      <c r="H69" s="39" t="n"/>
      <c r="I69" s="39" t="n"/>
      <c r="J69" s="39" t="n"/>
      <c r="K69" s="39" t="n"/>
      <c r="L69" s="39" t="n"/>
      <c r="M69" s="39" t="n"/>
      <c r="N69" s="41" t="n"/>
    </row>
    <row r="70" ht="10" customHeight="1">
      <c r="A70" s="29" t="inlineStr">
        <is>
          <t>Sub-Category</t>
        </is>
      </c>
      <c r="B70" s="42" t="inlineStr">
        <is>
          <t>Submarines</t>
        </is>
      </c>
      <c r="C70" s="29" t="inlineStr">
        <is>
          <t>Amphibious Warfare Ships</t>
        </is>
      </c>
      <c r="D70" s="29" t="inlineStr">
        <is>
          <t>Surface Combatants</t>
        </is>
      </c>
      <c r="E70" s="29" t="inlineStr">
        <is>
          <t>Material Support Ships</t>
        </is>
      </c>
      <c r="F70" s="29" t="inlineStr">
        <is>
          <t>Aircraft Carriers</t>
        </is>
      </c>
      <c r="G70" s="29" t="inlineStr">
        <is>
          <t>Combat Logistics Ships</t>
        </is>
      </c>
      <c r="H70" s="29" t="inlineStr">
        <is>
          <t>Expeditionary &amp; Seabasing Ships</t>
        </is>
      </c>
      <c r="I70" s="29" t="inlineStr">
        <is>
          <t>Surveillance Ships</t>
        </is>
      </c>
      <c r="J70" s="29" t="inlineStr">
        <is>
          <t>Hospital Ship</t>
        </is>
      </c>
      <c r="K70" s="29" t="inlineStr">
        <is>
          <t>Cargo &amp; Vehicle Cargo Ships</t>
        </is>
      </c>
      <c r="L70" s="29" t="inlineStr">
        <is>
          <t>Unmanned Undersea Vehicles</t>
        </is>
      </c>
      <c r="M70" s="29" t="inlineStr">
        <is>
          <t>Unmanned Surface Vehicles</t>
        </is>
      </c>
      <c r="N70" s="42" t="inlineStr">
        <is>
          <t>Total</t>
        </is>
      </c>
    </row>
    <row r="71" ht="10" customHeight="1">
      <c r="A71" s="30" t="inlineStr">
        <is>
          <t>Full Ship DD&amp;C</t>
        </is>
      </c>
      <c r="B71" s="43">
        <f>IFERROR((SUMIFS(JB_27BV,JB_B,1,JB_W,"Submarines",JB_F,"Full ship DD&amp;C",JB_RC,"ADD")+SUMIFS(JB_27BV,JB_B,1,JB_W,"Submarines",JB_F,"Full ship DD&amp;C / LLTM",JB_RC,"ADD")+SUMIFS(JB_27BV,JB_B,1,JB_W,"Submarines",JB_F,"Full vessel procurement",JB_RC,"ADD"))/B$75,0)</f>
        <v/>
      </c>
      <c r="C71" s="37">
        <f>IFERROR((SUMIFS(JB_27BV,JB_B,1,JB_W,"Amphibious Warfare Ships",JB_F,"Full ship DD&amp;C",JB_RC,"ADD")+SUMIFS(JB_27BV,JB_B,1,JB_W,"Amphibious Warfare Ships",JB_F,"Full ship DD&amp;C / LLTM",JB_RC,"ADD")+SUMIFS(JB_27BV,JB_B,1,JB_W,"Amphibious Warfare Ships",JB_F,"Full vessel procurement",JB_RC,"ADD"))/C$75,0)</f>
        <v/>
      </c>
      <c r="D71" s="37">
        <f>IFERROR((SUMIFS(JB_27BV,JB_B,1,JB_W,"Surface Combatants",JB_F,"Full ship DD&amp;C",JB_RC,"ADD")+SUMIFS(JB_27BV,JB_B,1,JB_W,"Surface Combatants",JB_F,"Full ship DD&amp;C / LLTM",JB_RC,"ADD")+SUMIFS(JB_27BV,JB_B,1,JB_W,"Surface Combatants",JB_F,"Full vessel procurement",JB_RC,"ADD"))/D$75,0)</f>
        <v/>
      </c>
      <c r="E71" s="37">
        <f>IFERROR((SUMIFS(JB_27BV,JB_B,1,JB_W,"Material Support Ships",JB_F,"Full ship DD&amp;C",JB_RC,"ADD")+SUMIFS(JB_27BV,JB_B,1,JB_W,"Material Support Ships",JB_F,"Full ship DD&amp;C / LLTM",JB_RC,"ADD")+SUMIFS(JB_27BV,JB_B,1,JB_W,"Material Support Ships",JB_F,"Full vessel procurement",JB_RC,"ADD"))/E$75,0)</f>
        <v/>
      </c>
      <c r="F71" s="37">
        <f>IFERROR((SUMIFS(JB_27BV,JB_B,1,JB_W,"Aircraft Carriers",JB_F,"Full ship DD&amp;C",JB_RC,"ADD")+SUMIFS(JB_27BV,JB_B,1,JB_W,"Aircraft Carriers",JB_F,"Full ship DD&amp;C / LLTM",JB_RC,"ADD")+SUMIFS(JB_27BV,JB_B,1,JB_W,"Aircraft Carriers",JB_F,"Full vessel procurement",JB_RC,"ADD"))/F$75,0)</f>
        <v/>
      </c>
      <c r="G71" s="37">
        <f>IFERROR((SUMIFS(JB_27BV,JB_B,1,JB_W,"Combat Logistics Ships",JB_F,"Full ship DD&amp;C",JB_RC,"ADD")+SUMIFS(JB_27BV,JB_B,1,JB_W,"Combat Logistics Ships",JB_F,"Full ship DD&amp;C / LLTM",JB_RC,"ADD")+SUMIFS(JB_27BV,JB_B,1,JB_W,"Combat Logistics Ships",JB_F,"Full vessel procurement",JB_RC,"ADD"))/G$75,0)</f>
        <v/>
      </c>
      <c r="H71" s="37">
        <f>IFERROR((SUMIFS(JB_27BV,JB_B,1,JB_W,"Expeditionary &amp; Seabasing Ships",JB_F,"Full ship DD&amp;C",JB_RC,"ADD")+SUMIFS(JB_27BV,JB_B,1,JB_W,"Expeditionary &amp; Seabasing Ships",JB_F,"Full ship DD&amp;C / LLTM",JB_RC,"ADD")+SUMIFS(JB_27BV,JB_B,1,JB_W,"Expeditionary &amp; Seabasing Ships",JB_F,"Full vessel procurement",JB_RC,"ADD"))/H$75,0)</f>
        <v/>
      </c>
      <c r="I71" s="37">
        <f>IFERROR((SUMIFS(JB_27BV,JB_B,1,JB_W,"Surveillance Ships",JB_F,"Full ship DD&amp;C",JB_RC,"ADD")+SUMIFS(JB_27BV,JB_B,1,JB_W,"Surveillance Ships",JB_F,"Full ship DD&amp;C / LLTM",JB_RC,"ADD")+SUMIFS(JB_27BV,JB_B,1,JB_W,"Surveillance Ships",JB_F,"Full vessel procurement",JB_RC,"ADD"))/I$75,0)</f>
        <v/>
      </c>
      <c r="J71" s="37">
        <f>IFERROR((SUMIFS(JB_27BV,JB_B,1,JB_W,"Hospital Ship",JB_F,"Full ship DD&amp;C",JB_RC,"ADD")+SUMIFS(JB_27BV,JB_B,1,JB_W,"Hospital Ship",JB_F,"Full ship DD&amp;C / LLTM",JB_RC,"ADD")+SUMIFS(JB_27BV,JB_B,1,JB_W,"Hospital Ship",JB_F,"Full vessel procurement",JB_RC,"ADD"))/J$75,0)</f>
        <v/>
      </c>
      <c r="K71" s="37">
        <f>IFERROR((SUMIFS(JB_27BV,JB_B,1,JB_W,"Cargo &amp; Vehicle Cargo Ships",JB_F,"Full ship DD&amp;C",JB_RC,"ADD")+SUMIFS(JB_27BV,JB_B,1,JB_W,"Cargo &amp; Vehicle Cargo Ships",JB_F,"Full ship DD&amp;C / LLTM",JB_RC,"ADD")+SUMIFS(JB_27BV,JB_B,1,JB_W,"Cargo &amp; Vehicle Cargo Ships",JB_F,"Full vessel procurement",JB_RC,"ADD"))/K$75,0)</f>
        <v/>
      </c>
      <c r="L71" s="37">
        <f>IFERROR((SUMIFS(JB_27BV,JB_B,1,JB_W,"Unmanned Undersea Vehicles",JB_F,"Full ship DD&amp;C",JB_RC,"ADD")+SUMIFS(JB_27BV,JB_B,1,JB_W,"Unmanned Undersea Vehicles",JB_F,"Full ship DD&amp;C / LLTM",JB_RC,"ADD")+SUMIFS(JB_27BV,JB_B,1,JB_W,"Unmanned Undersea Vehicles",JB_F,"Full vessel procurement",JB_RC,"ADD"))/L$75,0)</f>
        <v/>
      </c>
      <c r="M71" s="37">
        <f>IFERROR((SUMIFS(JB_27BV,JB_B,1,JB_W,"Unmanned Surface Vehicles",JB_F,"Full ship DD&amp;C",JB_RC,"ADD")+SUMIFS(JB_27BV,JB_B,1,JB_W,"Unmanned Surface Vehicles",JB_F,"Full ship DD&amp;C / LLTM",JB_RC,"ADD")+SUMIFS(JB_27BV,JB_B,1,JB_W,"Unmanned Surface Vehicles",JB_F,"Full vessel procurement",JB_RC,"ADD"))/M$75,0)</f>
        <v/>
      </c>
      <c r="N71" s="43">
        <f>IFERROR(SUMPRODUCT(B71:M71,B$75:M$75)/N$75,0)</f>
        <v/>
      </c>
    </row>
    <row r="72" ht="10" customHeight="1">
      <c r="A72" s="30" t="inlineStr">
        <is>
          <t>Advance Procurement / LLTM</t>
        </is>
      </c>
      <c r="B72" s="43">
        <f>IFERROR((SUMIFS(JB_27BV,JB_B,1,JB_W,"Submarines",JB_F,"Advance procurement / LLTM",JB_RC,"ADD"))/B$75,0)</f>
        <v/>
      </c>
      <c r="C72" s="37">
        <f>IFERROR((SUMIFS(JB_27BV,JB_B,1,JB_W,"Amphibious Warfare Ships",JB_F,"Advance procurement / LLTM",JB_RC,"ADD"))/C$75,0)</f>
        <v/>
      </c>
      <c r="D72" s="37">
        <f>IFERROR((SUMIFS(JB_27BV,JB_B,1,JB_W,"Surface Combatants",JB_F,"Advance procurement / LLTM",JB_RC,"ADD"))/D$75,0)</f>
        <v/>
      </c>
      <c r="E72" s="37">
        <f>IFERROR((SUMIFS(JB_27BV,JB_B,1,JB_W,"Material Support Ships",JB_F,"Advance procurement / LLTM",JB_RC,"ADD"))/E$75,0)</f>
        <v/>
      </c>
      <c r="F72" s="37">
        <f>IFERROR((SUMIFS(JB_27BV,JB_B,1,JB_W,"Aircraft Carriers",JB_F,"Advance procurement / LLTM",JB_RC,"ADD"))/F$75,0)</f>
        <v/>
      </c>
      <c r="G72" s="37">
        <f>IFERROR((SUMIFS(JB_27BV,JB_B,1,JB_W,"Combat Logistics Ships",JB_F,"Advance procurement / LLTM",JB_RC,"ADD"))/G$75,0)</f>
        <v/>
      </c>
      <c r="H72" s="37">
        <f>IFERROR((SUMIFS(JB_27BV,JB_B,1,JB_W,"Expeditionary &amp; Seabasing Ships",JB_F,"Advance procurement / LLTM",JB_RC,"ADD"))/H$75,0)</f>
        <v/>
      </c>
      <c r="I72" s="37">
        <f>IFERROR((SUMIFS(JB_27BV,JB_B,1,JB_W,"Surveillance Ships",JB_F,"Advance procurement / LLTM",JB_RC,"ADD"))/I$75,0)</f>
        <v/>
      </c>
      <c r="J72" s="37">
        <f>IFERROR((SUMIFS(JB_27BV,JB_B,1,JB_W,"Hospital Ship",JB_F,"Advance procurement / LLTM",JB_RC,"ADD"))/J$75,0)</f>
        <v/>
      </c>
      <c r="K72" s="37">
        <f>IFERROR((SUMIFS(JB_27BV,JB_B,1,JB_W,"Cargo &amp; Vehicle Cargo Ships",JB_F,"Advance procurement / LLTM",JB_RC,"ADD"))/K$75,0)</f>
        <v/>
      </c>
      <c r="L72" s="37">
        <f>IFERROR((SUMIFS(JB_27BV,JB_B,1,JB_W,"Unmanned Undersea Vehicles",JB_F,"Advance procurement / LLTM",JB_RC,"ADD"))/L$75,0)</f>
        <v/>
      </c>
      <c r="M72" s="37">
        <f>IFERROR((SUMIFS(JB_27BV,JB_B,1,JB_W,"Unmanned Surface Vehicles",JB_F,"Advance procurement / LLTM",JB_RC,"ADD"))/M$75,0)</f>
        <v/>
      </c>
      <c r="N72" s="43">
        <f>IFERROR(SUMPRODUCT(B72:M72,B$75:M$75)/N$75,0)</f>
        <v/>
      </c>
    </row>
    <row r="73" ht="10" customHeight="1">
      <c r="A73" s="30" t="inlineStr">
        <is>
          <t>RCOH</t>
        </is>
      </c>
      <c r="B73" s="43">
        <f>IFERROR((SUMIFS(JB_27BV,JB_B,1,JB_W,"Submarines",JB_F,"RCOH",JB_RC,"ADD"))/B$75,0)</f>
        <v/>
      </c>
      <c r="C73" s="37">
        <f>IFERROR((SUMIFS(JB_27BV,JB_B,1,JB_W,"Amphibious Warfare Ships",JB_F,"RCOH",JB_RC,"ADD"))/C$75,0)</f>
        <v/>
      </c>
      <c r="D73" s="37">
        <f>IFERROR((SUMIFS(JB_27BV,JB_B,1,JB_W,"Surface Combatants",JB_F,"RCOH",JB_RC,"ADD"))/D$75,0)</f>
        <v/>
      </c>
      <c r="E73" s="37">
        <f>IFERROR((SUMIFS(JB_27BV,JB_B,1,JB_W,"Material Support Ships",JB_F,"RCOH",JB_RC,"ADD"))/E$75,0)</f>
        <v/>
      </c>
      <c r="F73" s="37">
        <f>IFERROR((SUMIFS(JB_27BV,JB_B,1,JB_W,"Aircraft Carriers",JB_F,"RCOH",JB_RC,"ADD"))/F$75,0)</f>
        <v/>
      </c>
      <c r="G73" s="37">
        <f>IFERROR((SUMIFS(JB_27BV,JB_B,1,JB_W,"Combat Logistics Ships",JB_F,"RCOH",JB_RC,"ADD"))/G$75,0)</f>
        <v/>
      </c>
      <c r="H73" s="37">
        <f>IFERROR((SUMIFS(JB_27BV,JB_B,1,JB_W,"Expeditionary &amp; Seabasing Ships",JB_F,"RCOH",JB_RC,"ADD"))/H$75,0)</f>
        <v/>
      </c>
      <c r="I73" s="37">
        <f>IFERROR((SUMIFS(JB_27BV,JB_B,1,JB_W,"Surveillance Ships",JB_F,"RCOH",JB_RC,"ADD"))/I$75,0)</f>
        <v/>
      </c>
      <c r="J73" s="37">
        <f>IFERROR((SUMIFS(JB_27BV,JB_B,1,JB_W,"Hospital Ship",JB_F,"RCOH",JB_RC,"ADD"))/J$75,0)</f>
        <v/>
      </c>
      <c r="K73" s="37">
        <f>IFERROR((SUMIFS(JB_27BV,JB_B,1,JB_W,"Cargo &amp; Vehicle Cargo Ships",JB_F,"RCOH",JB_RC,"ADD"))/K$75,0)</f>
        <v/>
      </c>
      <c r="L73" s="37">
        <f>IFERROR((SUMIFS(JB_27BV,JB_B,1,JB_W,"Unmanned Undersea Vehicles",JB_F,"RCOH",JB_RC,"ADD"))/L$75,0)</f>
        <v/>
      </c>
      <c r="M73" s="37">
        <f>IFERROR((SUMIFS(JB_27BV,JB_B,1,JB_W,"Unmanned Surface Vehicles",JB_F,"RCOH",JB_RC,"ADD"))/M$75,0)</f>
        <v/>
      </c>
      <c r="N73" s="43">
        <f>IFERROR(SUMPRODUCT(B73:M73,B$75:M$75)/N$75,0)</f>
        <v/>
      </c>
    </row>
    <row r="74" ht="10" customHeight="1">
      <c r="A74" s="30" t="inlineStr">
        <is>
          <t>SLEP</t>
        </is>
      </c>
      <c r="B74" s="43">
        <f>IFERROR((SUMIFS(JB_27BV,JB_B,1,JB_W,"Submarines",JB_F,"SLEP",JB_RC,"ADD"))/B$75,0)</f>
        <v/>
      </c>
      <c r="C74" s="37">
        <f>IFERROR((SUMIFS(JB_27BV,JB_B,1,JB_W,"Amphibious Warfare Ships",JB_F,"SLEP",JB_RC,"ADD"))/C$75,0)</f>
        <v/>
      </c>
      <c r="D74" s="37">
        <f>IFERROR((SUMIFS(JB_27BV,JB_B,1,JB_W,"Surface Combatants",JB_F,"SLEP",JB_RC,"ADD"))/D$75,0)</f>
        <v/>
      </c>
      <c r="E74" s="37">
        <f>IFERROR((SUMIFS(JB_27BV,JB_B,1,JB_W,"Material Support Ships",JB_F,"SLEP",JB_RC,"ADD"))/E$75,0)</f>
        <v/>
      </c>
      <c r="F74" s="37">
        <f>IFERROR((SUMIFS(JB_27BV,JB_B,1,JB_W,"Aircraft Carriers",JB_F,"SLEP",JB_RC,"ADD"))/F$75,0)</f>
        <v/>
      </c>
      <c r="G74" s="37">
        <f>IFERROR((SUMIFS(JB_27BV,JB_B,1,JB_W,"Combat Logistics Ships",JB_F,"SLEP",JB_RC,"ADD"))/G$75,0)</f>
        <v/>
      </c>
      <c r="H74" s="37">
        <f>IFERROR((SUMIFS(JB_27BV,JB_B,1,JB_W,"Expeditionary &amp; Seabasing Ships",JB_F,"SLEP",JB_RC,"ADD"))/H$75,0)</f>
        <v/>
      </c>
      <c r="I74" s="37">
        <f>IFERROR((SUMIFS(JB_27BV,JB_B,1,JB_W,"Surveillance Ships",JB_F,"SLEP",JB_RC,"ADD"))/I$75,0)</f>
        <v/>
      </c>
      <c r="J74" s="37">
        <f>IFERROR((SUMIFS(JB_27BV,JB_B,1,JB_W,"Hospital Ship",JB_F,"SLEP",JB_RC,"ADD"))/J$75,0)</f>
        <v/>
      </c>
      <c r="K74" s="37">
        <f>IFERROR((SUMIFS(JB_27BV,JB_B,1,JB_W,"Cargo &amp; Vehicle Cargo Ships",JB_F,"SLEP",JB_RC,"ADD"))/K$75,0)</f>
        <v/>
      </c>
      <c r="L74" s="37">
        <f>IFERROR((SUMIFS(JB_27BV,JB_B,1,JB_W,"Unmanned Undersea Vehicles",JB_F,"SLEP",JB_RC,"ADD"))/L$75,0)</f>
        <v/>
      </c>
      <c r="M74" s="37">
        <f>IFERROR((SUMIFS(JB_27BV,JB_B,1,JB_W,"Unmanned Surface Vehicles",JB_F,"SLEP",JB_RC,"ADD"))/M$75,0)</f>
        <v/>
      </c>
      <c r="N74" s="43">
        <f>IFERROR(SUMPRODUCT(B74:M74,B$75:M$75)/N$75,0)</f>
        <v/>
      </c>
    </row>
    <row r="75" ht="10" customHeight="1">
      <c r="A75" s="32" t="inlineStr">
        <is>
          <t>Total ($K)</t>
        </is>
      </c>
      <c r="B75" s="44">
        <f>SUMIFS(JB_27BV,JB_B,1,JB_W,"Submarines",JB_RC,"ADD")</f>
        <v/>
      </c>
      <c r="C75" s="33">
        <f>SUMIFS(JB_27BV,JB_B,1,JB_W,"Amphibious Warfare Ships",JB_RC,"ADD")</f>
        <v/>
      </c>
      <c r="D75" s="33">
        <f>SUMIFS(JB_27BV,JB_B,1,JB_W,"Surface Combatants",JB_RC,"ADD")</f>
        <v/>
      </c>
      <c r="E75" s="33">
        <f>SUMIFS(JB_27BV,JB_B,1,JB_W,"Material Support Ships",JB_RC,"ADD")</f>
        <v/>
      </c>
      <c r="F75" s="33">
        <f>SUMIFS(JB_27BV,JB_B,1,JB_W,"Aircraft Carriers",JB_RC,"ADD")</f>
        <v/>
      </c>
      <c r="G75" s="33">
        <f>SUMIFS(JB_27BV,JB_B,1,JB_W,"Combat Logistics Ships",JB_RC,"ADD")</f>
        <v/>
      </c>
      <c r="H75" s="33">
        <f>SUMIFS(JB_27BV,JB_B,1,JB_W,"Expeditionary &amp; Seabasing Ships",JB_RC,"ADD")</f>
        <v/>
      </c>
      <c r="I75" s="33">
        <f>SUMIFS(JB_27BV,JB_B,1,JB_W,"Surveillance Ships",JB_RC,"ADD")</f>
        <v/>
      </c>
      <c r="J75" s="33">
        <f>SUMIFS(JB_27BV,JB_B,1,JB_W,"Hospital Ship",JB_RC,"ADD")</f>
        <v/>
      </c>
      <c r="K75" s="33">
        <f>SUMIFS(JB_27BV,JB_B,1,JB_W,"Cargo &amp; Vehicle Cargo Ships",JB_RC,"ADD")</f>
        <v/>
      </c>
      <c r="L75" s="33">
        <f>SUMIFS(JB_27BV,JB_B,1,JB_W,"Unmanned Undersea Vehicles",JB_RC,"ADD")</f>
        <v/>
      </c>
      <c r="M75" s="33">
        <f>SUMIFS(JB_27BV,JB_B,1,JB_W,"Unmanned Surface Vehicles",JB_RC,"ADD")</f>
        <v/>
      </c>
      <c r="N75" s="44">
        <f>SUM(B75:M75)</f>
        <v/>
      </c>
    </row>
    <row r="76" ht="10" customHeight="1"/>
    <row r="77" ht="10" customHeight="1"/>
    <row r="78" ht="10" customHeight="1">
      <c r="A78" s="27" t="inlineStr">
        <is>
          <t>(E) Newbuild TAM — Sub-Category Mix by Hull Program (Mekko)</t>
        </is>
      </c>
      <c r="B78" s="28" t="n"/>
      <c r="C78" s="28" t="n"/>
      <c r="D78" s="28" t="n"/>
      <c r="E78" s="28" t="n"/>
      <c r="F78" s="28" t="n"/>
      <c r="G78" s="28" t="n"/>
      <c r="H78" s="28" t="n"/>
      <c r="I78" s="28" t="n"/>
      <c r="J78" s="28" t="n"/>
      <c r="K78" s="28" t="n"/>
      <c r="L78" s="28" t="n"/>
      <c r="M78" s="28" t="n"/>
      <c r="N78" s="28" t="n"/>
      <c r="O78" s="28" t="n"/>
      <c r="P78" s="28" t="n"/>
      <c r="Q78" s="28" t="n"/>
    </row>
    <row r="79" ht="10" customHeight="1">
      <c r="A79" s="39" t="n"/>
      <c r="B79" s="40" t="inlineStr">
        <is>
          <t>USN</t>
        </is>
      </c>
      <c r="C79" s="39" t="n"/>
      <c r="D79" s="39" t="n"/>
      <c r="E79" s="39" t="n"/>
      <c r="F79" s="39" t="n"/>
      <c r="G79" s="39" t="n"/>
      <c r="H79" s="39" t="n"/>
      <c r="I79" s="39" t="n"/>
      <c r="J79" s="39" t="n"/>
      <c r="K79" s="39" t="n"/>
      <c r="L79" s="39" t="n"/>
      <c r="M79" s="39" t="n"/>
      <c r="N79" s="39" t="n"/>
      <c r="O79" s="39" t="n"/>
      <c r="P79" s="39" t="n"/>
      <c r="Q79" s="41" t="n"/>
    </row>
    <row r="80" ht="10" customHeight="1">
      <c r="A80" s="29" t="inlineStr">
        <is>
          <t>Sub-Category</t>
        </is>
      </c>
      <c r="B80" s="42" t="inlineStr">
        <is>
          <t>SSBN</t>
        </is>
      </c>
      <c r="C80" s="29" t="inlineStr">
        <is>
          <t>SSN</t>
        </is>
      </c>
      <c r="D80" s="29" t="inlineStr">
        <is>
          <t>AS</t>
        </is>
      </c>
      <c r="E80" s="29" t="inlineStr">
        <is>
          <t>CVN</t>
        </is>
      </c>
      <c r="F80" s="29" t="inlineStr">
        <is>
          <t>LHA</t>
        </is>
      </c>
      <c r="G80" s="29" t="inlineStr">
        <is>
          <t>DDG</t>
        </is>
      </c>
      <c r="H80" s="29" t="inlineStr">
        <is>
          <t>LPD</t>
        </is>
      </c>
      <c r="I80" s="29" t="inlineStr">
        <is>
          <t>T-AO</t>
        </is>
      </c>
      <c r="J80" s="29" t="inlineStr">
        <is>
          <t>LSM</t>
        </is>
      </c>
      <c r="K80" s="29" t="inlineStr">
        <is>
          <t>FFG</t>
        </is>
      </c>
      <c r="L80" s="29" t="inlineStr">
        <is>
          <t>T-AGOS</t>
        </is>
      </c>
      <c r="M80" s="29" t="inlineStr">
        <is>
          <t>T-AH</t>
        </is>
      </c>
      <c r="N80" s="29" t="inlineStr">
        <is>
          <t>T-AKR</t>
        </is>
      </c>
      <c r="O80" s="29" t="inlineStr">
        <is>
          <t>UUV</t>
        </is>
      </c>
      <c r="P80" s="29" t="inlineStr">
        <is>
          <t>MUSV</t>
        </is>
      </c>
      <c r="Q80" s="42" t="inlineStr">
        <is>
          <t>Total</t>
        </is>
      </c>
    </row>
    <row r="81" ht="10" customHeight="1">
      <c r="A81" s="30" t="inlineStr">
        <is>
          <t>Full Ship DD&amp;C</t>
        </is>
      </c>
      <c r="B81" s="43">
        <f>IFERROR((SUMIFS(JB_27BV,JB_B,1,JB_H,"SSBN",JB_F,"Full ship DD&amp;C",JB_RC,"ADD")+SUMIFS(JB_27BV,JB_B,1,JB_H,"SSBN",JB_F,"Full ship DD&amp;C / LLTM",JB_RC,"ADD")+SUMIFS(JB_27BV,JB_B,1,JB_H,"SSBN",JB_F,"Full vessel procurement",JB_RC,"ADD"))/B$85,0)</f>
        <v/>
      </c>
      <c r="C81" s="37">
        <f>IFERROR((SUMIFS(JB_27BV,JB_B,1,JB_H,"SSN",JB_F,"Full ship DD&amp;C",JB_RC,"ADD")+SUMIFS(JB_27BV,JB_B,1,JB_H,"SSN",JB_F,"Full ship DD&amp;C / LLTM",JB_RC,"ADD")+SUMIFS(JB_27BV,JB_B,1,JB_H,"SSN",JB_F,"Full vessel procurement",JB_RC,"ADD"))/C$85,0)</f>
        <v/>
      </c>
      <c r="D81" s="37">
        <f>IFERROR((SUMIFS(JB_27BV,JB_B,1,JB_H,"AS",JB_F,"Full ship DD&amp;C",JB_RC,"ADD")+SUMIFS(JB_27BV,JB_B,1,JB_H,"AS",JB_F,"Full ship DD&amp;C / LLTM",JB_RC,"ADD")+SUMIFS(JB_27BV,JB_B,1,JB_H,"AS",JB_F,"Full vessel procurement",JB_RC,"ADD"))/D$85,0)</f>
        <v/>
      </c>
      <c r="E81" s="37">
        <f>IFERROR((SUMIFS(JB_27BV,JB_B,1,JB_H,"CVN",JB_F,"Full ship DD&amp;C",JB_RC,"ADD")+SUMIFS(JB_27BV,JB_B,1,JB_H,"CVN",JB_F,"Full ship DD&amp;C / LLTM",JB_RC,"ADD")+SUMIFS(JB_27BV,JB_B,1,JB_H,"CVN",JB_F,"Full vessel procurement",JB_RC,"ADD"))/E$85,0)</f>
        <v/>
      </c>
      <c r="F81" s="37">
        <f>IFERROR((SUMIFS(JB_27BV,JB_B,1,JB_H,"LHA",JB_F,"Full ship DD&amp;C",JB_RC,"ADD")+SUMIFS(JB_27BV,JB_B,1,JB_H,"LHA",JB_F,"Full ship DD&amp;C / LLTM",JB_RC,"ADD")+SUMIFS(JB_27BV,JB_B,1,JB_H,"LHA",JB_F,"Full vessel procurement",JB_RC,"ADD"))/F$85,0)</f>
        <v/>
      </c>
      <c r="G81" s="37">
        <f>IFERROR((SUMIFS(JB_27BV,JB_B,1,JB_H,"DDG",JB_F,"Full ship DD&amp;C",JB_RC,"ADD")+SUMIFS(JB_27BV,JB_B,1,JB_H,"DDG",JB_F,"Full ship DD&amp;C / LLTM",JB_RC,"ADD")+SUMIFS(JB_27BV,JB_B,1,JB_H,"DDG",JB_F,"Full vessel procurement",JB_RC,"ADD"))/G$85,0)</f>
        <v/>
      </c>
      <c r="H81" s="37">
        <f>IFERROR((SUMIFS(JB_27BV,JB_B,1,JB_H,"LPD",JB_F,"Full ship DD&amp;C",JB_RC,"ADD")+SUMIFS(JB_27BV,JB_B,1,JB_H,"LPD",JB_F,"Full ship DD&amp;C / LLTM",JB_RC,"ADD")+SUMIFS(JB_27BV,JB_B,1,JB_H,"LPD",JB_F,"Full vessel procurement",JB_RC,"ADD"))/H$85,0)</f>
        <v/>
      </c>
      <c r="I81" s="37">
        <f>IFERROR((SUMIFS(JB_27BV,JB_B,1,JB_H,"T-AO",JB_F,"Full ship DD&amp;C",JB_RC,"ADD")+SUMIFS(JB_27BV,JB_B,1,JB_H,"T-AO",JB_F,"Full ship DD&amp;C / LLTM",JB_RC,"ADD")+SUMIFS(JB_27BV,JB_B,1,JB_H,"T-AO",JB_F,"Full vessel procurement",JB_RC,"ADD"))/I$85,0)</f>
        <v/>
      </c>
      <c r="J81" s="37">
        <f>IFERROR((SUMIFS(JB_27BV,JB_B,1,JB_H,"LSM",JB_F,"Full ship DD&amp;C",JB_RC,"ADD")+SUMIFS(JB_27BV,JB_B,1,JB_H,"LSM",JB_F,"Full ship DD&amp;C / LLTM",JB_RC,"ADD")+SUMIFS(JB_27BV,JB_B,1,JB_H,"LSM",JB_F,"Full vessel procurement",JB_RC,"ADD"))/J$85,0)</f>
        <v/>
      </c>
      <c r="K81" s="37">
        <f>IFERROR((SUMIFS(JB_27BV,JB_B,1,JB_H,"FFG",JB_F,"Full ship DD&amp;C",JB_RC,"ADD")+SUMIFS(JB_27BV,JB_B,1,JB_H,"FFG",JB_F,"Full ship DD&amp;C / LLTM",JB_RC,"ADD")+SUMIFS(JB_27BV,JB_B,1,JB_H,"FFG",JB_F,"Full vessel procurement",JB_RC,"ADD"))/K$85,0)</f>
        <v/>
      </c>
      <c r="L81" s="37">
        <f>IFERROR((SUMIFS(JB_27BV,JB_B,1,JB_H,"T-AGOS",JB_F,"Full ship DD&amp;C",JB_RC,"ADD")+SUMIFS(JB_27BV,JB_B,1,JB_H,"T-AGOS",JB_F,"Full ship DD&amp;C / LLTM",JB_RC,"ADD")+SUMIFS(JB_27BV,JB_B,1,JB_H,"T-AGOS",JB_F,"Full vessel procurement",JB_RC,"ADD"))/L$85,0)</f>
        <v/>
      </c>
      <c r="M81" s="37">
        <f>IFERROR((SUMIFS(JB_27BV,JB_B,1,JB_H,"T-AH",JB_F,"Full ship DD&amp;C",JB_RC,"ADD")+SUMIFS(JB_27BV,JB_B,1,JB_H,"T-AH",JB_F,"Full ship DD&amp;C / LLTM",JB_RC,"ADD")+SUMIFS(JB_27BV,JB_B,1,JB_H,"T-AH",JB_F,"Full vessel procurement",JB_RC,"ADD"))/M$85,0)</f>
        <v/>
      </c>
      <c r="N81" s="37">
        <f>IFERROR((SUMIFS(JB_27BV,JB_B,1,JB_H,"T-AKR",JB_F,"Full ship DD&amp;C",JB_RC,"ADD")+SUMIFS(JB_27BV,JB_B,1,JB_H,"T-AKR",JB_F,"Full ship DD&amp;C / LLTM",JB_RC,"ADD")+SUMIFS(JB_27BV,JB_B,1,JB_H,"T-AKR",JB_F,"Full vessel procurement",JB_RC,"ADD"))/N$85,0)</f>
        <v/>
      </c>
      <c r="O81" s="37">
        <f>IFERROR((SUMIFS(JB_27BV,JB_B,1,JB_H,"UUV",JB_F,"Full ship DD&amp;C",JB_RC,"ADD")+SUMIFS(JB_27BV,JB_B,1,JB_H,"UUV",JB_F,"Full ship DD&amp;C / LLTM",JB_RC,"ADD")+SUMIFS(JB_27BV,JB_B,1,JB_H,"UUV",JB_F,"Full vessel procurement",JB_RC,"ADD"))/O$85,0)</f>
        <v/>
      </c>
      <c r="P81" s="37">
        <f>IFERROR((SUMIFS(JB_27BV,JB_B,1,JB_H,"MUSV",JB_F,"Full ship DD&amp;C",JB_RC,"ADD")+SUMIFS(JB_27BV,JB_B,1,JB_H,"MUSV",JB_F,"Full ship DD&amp;C / LLTM",JB_RC,"ADD")+SUMIFS(JB_27BV,JB_B,1,JB_H,"MUSV",JB_F,"Full vessel procurement",JB_RC,"ADD"))/P$85,0)</f>
        <v/>
      </c>
      <c r="Q81" s="4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
      </c>
    </row>
    <row r="82" ht="10" customHeight="1">
      <c r="A82" s="30" t="inlineStr">
        <is>
          <t>Advance Procurement / LLTM</t>
        </is>
      </c>
      <c r="B82" s="43">
        <f>IFERROR((SUMIFS(JB_27BV,JB_B,1,JB_H,"SSBN",JB_F,"Advance procurement / LLTM",JB_RC,"ADD"))/B$85,0)</f>
        <v/>
      </c>
      <c r="C82" s="37">
        <f>IFERROR((SUMIFS(JB_27BV,JB_B,1,JB_H,"SSN",JB_F,"Advance procurement / LLTM",JB_RC,"ADD"))/C$85,0)</f>
        <v/>
      </c>
      <c r="D82" s="37">
        <f>IFERROR((SUMIFS(JB_27BV,JB_B,1,JB_H,"AS",JB_F,"Advance procurement / LLTM",JB_RC,"ADD"))/D$85,0)</f>
        <v/>
      </c>
      <c r="E82" s="37">
        <f>IFERROR((SUMIFS(JB_27BV,JB_B,1,JB_H,"CVN",JB_F,"Advance procurement / LLTM",JB_RC,"ADD"))/E$85,0)</f>
        <v/>
      </c>
      <c r="F82" s="37">
        <f>IFERROR((SUMIFS(JB_27BV,JB_B,1,JB_H,"LHA",JB_F,"Advance procurement / LLTM",JB_RC,"ADD"))/F$85,0)</f>
        <v/>
      </c>
      <c r="G82" s="37">
        <f>IFERROR((SUMIFS(JB_27BV,JB_B,1,JB_H,"DDG",JB_F,"Advance procurement / LLTM",JB_RC,"ADD"))/G$85,0)</f>
        <v/>
      </c>
      <c r="H82" s="37">
        <f>IFERROR((SUMIFS(JB_27BV,JB_B,1,JB_H,"LPD",JB_F,"Advance procurement / LLTM",JB_RC,"ADD"))/H$85,0)</f>
        <v/>
      </c>
      <c r="I82" s="37">
        <f>IFERROR((SUMIFS(JB_27BV,JB_B,1,JB_H,"T-AO",JB_F,"Advance procurement / LLTM",JB_RC,"ADD"))/I$85,0)</f>
        <v/>
      </c>
      <c r="J82" s="37">
        <f>IFERROR((SUMIFS(JB_27BV,JB_B,1,JB_H,"LSM",JB_F,"Advance procurement / LLTM",JB_RC,"ADD"))/J$85,0)</f>
        <v/>
      </c>
      <c r="K82" s="37">
        <f>IFERROR((SUMIFS(JB_27BV,JB_B,1,JB_H,"FFG",JB_F,"Advance procurement / LLTM",JB_RC,"ADD"))/K$85,0)</f>
        <v/>
      </c>
      <c r="L82" s="37">
        <f>IFERROR((SUMIFS(JB_27BV,JB_B,1,JB_H,"T-AGOS",JB_F,"Advance procurement / LLTM",JB_RC,"ADD"))/L$85,0)</f>
        <v/>
      </c>
      <c r="M82" s="37">
        <f>IFERROR((SUMIFS(JB_27BV,JB_B,1,JB_H,"T-AH",JB_F,"Advance procurement / LLTM",JB_RC,"ADD"))/M$85,0)</f>
        <v/>
      </c>
      <c r="N82" s="37">
        <f>IFERROR((SUMIFS(JB_27BV,JB_B,1,JB_H,"T-AKR",JB_F,"Advance procurement / LLTM",JB_RC,"ADD"))/N$85,0)</f>
        <v/>
      </c>
      <c r="O82" s="37">
        <f>IFERROR((SUMIFS(JB_27BV,JB_B,1,JB_H,"UUV",JB_F,"Advance procurement / LLTM",JB_RC,"ADD"))/O$85,0)</f>
        <v/>
      </c>
      <c r="P82" s="37">
        <f>IFERROR((SUMIFS(JB_27BV,JB_B,1,JB_H,"MUSV",JB_F,"Advance procurement / LLTM",JB_RC,"ADD"))/P$85,0)</f>
        <v/>
      </c>
      <c r="Q82"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
      </c>
    </row>
    <row r="83" ht="10" customHeight="1">
      <c r="A83" s="30" t="inlineStr">
        <is>
          <t>RCOH</t>
        </is>
      </c>
      <c r="B83" s="43">
        <f>IFERROR((SUMIFS(JB_27BV,JB_B,1,JB_H,"SSBN",JB_F,"RCOH",JB_RC,"ADD"))/B$85,0)</f>
        <v/>
      </c>
      <c r="C83" s="37">
        <f>IFERROR((SUMIFS(JB_27BV,JB_B,1,JB_H,"SSN",JB_F,"RCOH",JB_RC,"ADD"))/C$85,0)</f>
        <v/>
      </c>
      <c r="D83" s="37">
        <f>IFERROR((SUMIFS(JB_27BV,JB_B,1,JB_H,"AS",JB_F,"RCOH",JB_RC,"ADD"))/D$85,0)</f>
        <v/>
      </c>
      <c r="E83" s="37">
        <f>IFERROR((SUMIFS(JB_27BV,JB_B,1,JB_H,"CVN",JB_F,"RCOH",JB_RC,"ADD"))/E$85,0)</f>
        <v/>
      </c>
      <c r="F83" s="37">
        <f>IFERROR((SUMIFS(JB_27BV,JB_B,1,JB_H,"LHA",JB_F,"RCOH",JB_RC,"ADD"))/F$85,0)</f>
        <v/>
      </c>
      <c r="G83" s="37">
        <f>IFERROR((SUMIFS(JB_27BV,JB_B,1,JB_H,"DDG",JB_F,"RCOH",JB_RC,"ADD"))/G$85,0)</f>
        <v/>
      </c>
      <c r="H83" s="37">
        <f>IFERROR((SUMIFS(JB_27BV,JB_B,1,JB_H,"LPD",JB_F,"RCOH",JB_RC,"ADD"))/H$85,0)</f>
        <v/>
      </c>
      <c r="I83" s="37">
        <f>IFERROR((SUMIFS(JB_27BV,JB_B,1,JB_H,"T-AO",JB_F,"RCOH",JB_RC,"ADD"))/I$85,0)</f>
        <v/>
      </c>
      <c r="J83" s="37">
        <f>IFERROR((SUMIFS(JB_27BV,JB_B,1,JB_H,"LSM",JB_F,"RCOH",JB_RC,"ADD"))/J$85,0)</f>
        <v/>
      </c>
      <c r="K83" s="37">
        <f>IFERROR((SUMIFS(JB_27BV,JB_B,1,JB_H,"FFG",JB_F,"RCOH",JB_RC,"ADD"))/K$85,0)</f>
        <v/>
      </c>
      <c r="L83" s="37">
        <f>IFERROR((SUMIFS(JB_27BV,JB_B,1,JB_H,"T-AGOS",JB_F,"RCOH",JB_RC,"ADD"))/L$85,0)</f>
        <v/>
      </c>
      <c r="M83" s="37">
        <f>IFERROR((SUMIFS(JB_27BV,JB_B,1,JB_H,"T-AH",JB_F,"RCOH",JB_RC,"ADD"))/M$85,0)</f>
        <v/>
      </c>
      <c r="N83" s="37">
        <f>IFERROR((SUMIFS(JB_27BV,JB_B,1,JB_H,"T-AKR",JB_F,"RCOH",JB_RC,"ADD"))/N$85,0)</f>
        <v/>
      </c>
      <c r="O83" s="37">
        <f>IFERROR((SUMIFS(JB_27BV,JB_B,1,JB_H,"UUV",JB_F,"RCOH",JB_RC,"ADD"))/O$85,0)</f>
        <v/>
      </c>
      <c r="P83" s="37">
        <f>IFERROR((SUMIFS(JB_27BV,JB_B,1,JB_H,"MUSV",JB_F,"RCOH",JB_RC,"ADD"))/P$85,0)</f>
        <v/>
      </c>
      <c r="Q83" s="43">
        <f>IFERROR((SUMIFS(JB_27BV,JB_B,1,JB_V,"Auxiliary Ships",JB_F,"RCOH",JB_RC,"ADD")+SUMIFS(JB_27BV,JB_B,1,JB_V,"Combatant Ships",JB_F,"RCOH",JB_RC,"ADD")+SUMIFS(JB_27BV,JB_B,1,JB_V,"Cutters",JB_F,"RCOH",JB_RC,"ADD")+SUMIFS(JB_27BV,JB_B,1,JB_V,"Unmanned Maritime Platforms",JB_F,"RCOH",JB_RC,"ADD"))/Q$85,0)</f>
        <v/>
      </c>
    </row>
    <row r="84" ht="10" customHeight="1">
      <c r="A84" s="30" t="inlineStr">
        <is>
          <t>SLEP</t>
        </is>
      </c>
      <c r="B84" s="43">
        <f>IFERROR((SUMIFS(JB_27BV,JB_B,1,JB_H,"SSBN",JB_F,"SLEP",JB_RC,"ADD"))/B$85,0)</f>
        <v/>
      </c>
      <c r="C84" s="37">
        <f>IFERROR((SUMIFS(JB_27BV,JB_B,1,JB_H,"SSN",JB_F,"SLEP",JB_RC,"ADD"))/C$85,0)</f>
        <v/>
      </c>
      <c r="D84" s="37">
        <f>IFERROR((SUMIFS(JB_27BV,JB_B,1,JB_H,"AS",JB_F,"SLEP",JB_RC,"ADD"))/D$85,0)</f>
        <v/>
      </c>
      <c r="E84" s="37">
        <f>IFERROR((SUMIFS(JB_27BV,JB_B,1,JB_H,"CVN",JB_F,"SLEP",JB_RC,"ADD"))/E$85,0)</f>
        <v/>
      </c>
      <c r="F84" s="37">
        <f>IFERROR((SUMIFS(JB_27BV,JB_B,1,JB_H,"LHA",JB_F,"SLEP",JB_RC,"ADD"))/F$85,0)</f>
        <v/>
      </c>
      <c r="G84" s="37">
        <f>IFERROR((SUMIFS(JB_27BV,JB_B,1,JB_H,"DDG",JB_F,"SLEP",JB_RC,"ADD"))/G$85,0)</f>
        <v/>
      </c>
      <c r="H84" s="37">
        <f>IFERROR((SUMIFS(JB_27BV,JB_B,1,JB_H,"LPD",JB_F,"SLEP",JB_RC,"ADD"))/H$85,0)</f>
        <v/>
      </c>
      <c r="I84" s="37">
        <f>IFERROR((SUMIFS(JB_27BV,JB_B,1,JB_H,"T-AO",JB_F,"SLEP",JB_RC,"ADD"))/I$85,0)</f>
        <v/>
      </c>
      <c r="J84" s="37">
        <f>IFERROR((SUMIFS(JB_27BV,JB_B,1,JB_H,"LSM",JB_F,"SLEP",JB_RC,"ADD"))/J$85,0)</f>
        <v/>
      </c>
      <c r="K84" s="37">
        <f>IFERROR((SUMIFS(JB_27BV,JB_B,1,JB_H,"FFG",JB_F,"SLEP",JB_RC,"ADD"))/K$85,0)</f>
        <v/>
      </c>
      <c r="L84" s="37">
        <f>IFERROR((SUMIFS(JB_27BV,JB_B,1,JB_H,"T-AGOS",JB_F,"SLEP",JB_RC,"ADD"))/L$85,0)</f>
        <v/>
      </c>
      <c r="M84" s="37">
        <f>IFERROR((SUMIFS(JB_27BV,JB_B,1,JB_H,"T-AH",JB_F,"SLEP",JB_RC,"ADD"))/M$85,0)</f>
        <v/>
      </c>
      <c r="N84" s="37">
        <f>IFERROR((SUMIFS(JB_27BV,JB_B,1,JB_H,"T-AKR",JB_F,"SLEP",JB_RC,"ADD"))/N$85,0)</f>
        <v/>
      </c>
      <c r="O84" s="37">
        <f>IFERROR((SUMIFS(JB_27BV,JB_B,1,JB_H,"UUV",JB_F,"SLEP",JB_RC,"ADD"))/O$85,0)</f>
        <v/>
      </c>
      <c r="P84" s="37">
        <f>IFERROR((SUMIFS(JB_27BV,JB_B,1,JB_H,"MUSV",JB_F,"SLEP",JB_RC,"ADD"))/P$85,0)</f>
        <v/>
      </c>
      <c r="Q84" s="43">
        <f>IFERROR((SUMIFS(JB_27BV,JB_B,1,JB_V,"Auxiliary Ships",JB_F,"SLEP",JB_RC,"ADD")+SUMIFS(JB_27BV,JB_B,1,JB_V,"Combatant Ships",JB_F,"SLEP",JB_RC,"ADD")+SUMIFS(JB_27BV,JB_B,1,JB_V,"Cutters",JB_F,"SLEP",JB_RC,"ADD")+SUMIFS(JB_27BV,JB_B,1,JB_V,"Unmanned Maritime Platforms",JB_F,"SLEP",JB_RC,"ADD"))/Q$85,0)</f>
        <v/>
      </c>
    </row>
    <row r="85" ht="10" customHeight="1">
      <c r="A85" s="32" t="inlineStr">
        <is>
          <t>Total ($K)</t>
        </is>
      </c>
      <c r="B85" s="44">
        <f>SUMIFS(JB_27BV,JB_B,1,JB_H,"SSBN",JB_RC,"ADD")</f>
        <v/>
      </c>
      <c r="C85" s="33">
        <f>SUMIFS(JB_27BV,JB_B,1,JB_H,"SSN",JB_RC,"ADD")</f>
        <v/>
      </c>
      <c r="D85" s="33">
        <f>SUMIFS(JB_27BV,JB_B,1,JB_H,"AS",JB_RC,"ADD")</f>
        <v/>
      </c>
      <c r="E85" s="33">
        <f>SUMIFS(JB_27BV,JB_B,1,JB_H,"CVN",JB_RC,"ADD")</f>
        <v/>
      </c>
      <c r="F85" s="33">
        <f>SUMIFS(JB_27BV,JB_B,1,JB_H,"LHA",JB_RC,"ADD")</f>
        <v/>
      </c>
      <c r="G85" s="33">
        <f>SUMIFS(JB_27BV,JB_B,1,JB_H,"DDG",JB_RC,"ADD")</f>
        <v/>
      </c>
      <c r="H85" s="33">
        <f>SUMIFS(JB_27BV,JB_B,1,JB_H,"LPD",JB_RC,"ADD")</f>
        <v/>
      </c>
      <c r="I85" s="33">
        <f>SUMIFS(JB_27BV,JB_B,1,JB_H,"T-AO",JB_RC,"ADD")</f>
        <v/>
      </c>
      <c r="J85" s="33">
        <f>SUMIFS(JB_27BV,JB_B,1,JB_H,"LSM",JB_RC,"ADD")</f>
        <v/>
      </c>
      <c r="K85" s="33">
        <f>SUMIFS(JB_27BV,JB_B,1,JB_H,"FFG",JB_RC,"ADD")</f>
        <v/>
      </c>
      <c r="L85" s="33">
        <f>SUMIFS(JB_27BV,JB_B,1,JB_H,"T-AGOS",JB_RC,"ADD")</f>
        <v/>
      </c>
      <c r="M85" s="33">
        <f>SUMIFS(JB_27BV,JB_B,1,JB_H,"T-AH",JB_RC,"ADD")</f>
        <v/>
      </c>
      <c r="N85" s="33">
        <f>SUMIFS(JB_27BV,JB_B,1,JB_H,"T-AKR",JB_RC,"ADD")</f>
        <v/>
      </c>
      <c r="O85" s="33">
        <f>SUMIFS(JB_27BV,JB_B,1,JB_H,"UUV",JB_RC,"ADD")</f>
        <v/>
      </c>
      <c r="P85" s="33">
        <f>SUMIFS(JB_27BV,JB_B,1,JB_H,"MUSV",JB_RC,"ADD")</f>
        <v/>
      </c>
      <c r="Q85" s="44">
        <f>SUM(B85:P85)</f>
        <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I42"/>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Newbuild SAM — FY2027 ($K)</t>
        </is>
      </c>
      <c r="B1" s="25" t="n"/>
      <c r="C1" s="25" t="n"/>
      <c r="D1" s="25" t="n"/>
      <c r="E1" s="25" t="n"/>
      <c r="F1" s="25" t="n"/>
      <c r="G1" s="25" t="n"/>
      <c r="H1" s="25" t="n"/>
      <c r="I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is>
      </c>
    </row>
    <row r="3" ht="10" customHeight="1"/>
    <row r="4" ht="10" customHeight="1">
      <c r="A4" s="27" t="inlineStr">
        <is>
          <t>(A) Bridge: Newbuild TAM → Newbuild SAM (all programs)</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FY2027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Amphibious Warfare Ships</t>
        </is>
      </c>
      <c r="B14" s="30" t="inlineStr">
        <is>
          <t>USN</t>
        </is>
      </c>
      <c r="C14" s="31">
        <f>SUMIFS(JB_27BV,JB_B,1,JB_W,"Amphibious Warfare Ships",JB_F,"Full ship DD&amp;C",JB_RC,"ADD")+SUMIFS(JB_27BV,JB_B,1,JB_W,"Amphibious Warfare Ships",JB_F,"Full ship DD&amp;C / LLTM",JB_RC,"ADD")+SUMIFS(JB_27BV,JB_B,1,JB_W,"Amphibious Warfare Ships",JB_F,"Full vessel procurement",JB_RC,"ADD")</f>
        <v/>
      </c>
      <c r="D14" s="31">
        <f>SUMIFS(JB_27BV,JB_B,1,JB_W,"Amphibious Warfare Ships",JB_F,"Advance procurement / LLTM",JB_RC,"ADD")</f>
        <v/>
      </c>
      <c r="E14" s="31">
        <f>SUMIFS(JB_27BV,JB_B,1,JB_W,"Amphibious Warfare Ships",JB_F,"RCOH",JB_RC,"ADD")</f>
        <v/>
      </c>
      <c r="F14" s="31">
        <f>SUMIFS(JB_27BV,JB_B,1,JB_W,"Amphibious Warfare Ships",JB_F,"SLEP",JB_RC,"ADD")</f>
        <v/>
      </c>
      <c r="G14" s="31">
        <f>SUMIFS(JB_27BV,JB_B,1,JB_W,"Amphibious Warfare Ships",JB_RC,"ADD")</f>
        <v/>
      </c>
      <c r="H14" s="37">
        <f>IFERROR(G14/G$23,0)</f>
        <v/>
      </c>
    </row>
    <row r="15" ht="10" customHeight="1">
      <c r="A15" s="30" t="inlineStr">
        <is>
          <t>Surface Combatants</t>
        </is>
      </c>
      <c r="B15" s="30" t="inlineStr">
        <is>
          <t>USN</t>
        </is>
      </c>
      <c r="C15" s="31">
        <f>SUMIFS(JB_27BV,JB_B,1,JB_W,"Surface Combatants",JB_F,"Full ship DD&amp;C",JB_RC,"ADD")+SUMIFS(JB_27BV,JB_B,1,JB_W,"Surface Combatants",JB_F,"Full ship DD&amp;C / LLTM",JB_RC,"ADD")+SUMIFS(JB_27BV,JB_B,1,JB_W,"Surface Combatants",JB_F,"Full vessel procurement",JB_RC,"ADD")</f>
        <v/>
      </c>
      <c r="D15" s="31">
        <f>SUMIFS(JB_27BV,JB_B,1,JB_W,"Surface Combatants",JB_F,"Advance procurement / LLTM",JB_RC,"ADD")</f>
        <v/>
      </c>
      <c r="E15" s="31">
        <f>SUMIFS(JB_27BV,JB_B,1,JB_W,"Surface Combatants",JB_F,"RCOH",JB_RC,"ADD")</f>
        <v/>
      </c>
      <c r="F15" s="31">
        <f>SUMIFS(JB_27BV,JB_B,1,JB_W,"Surface Combatants",JB_F,"SLEP",JB_RC,"ADD")</f>
        <v/>
      </c>
      <c r="G15" s="31">
        <f>SUMIFS(JB_27BV,JB_B,1,JB_W,"Surface Combatants",JB_RC,"ADD")</f>
        <v/>
      </c>
      <c r="H15" s="37">
        <f>IFERROR(G15/G$23,0)</f>
        <v/>
      </c>
    </row>
    <row r="16" ht="10" customHeight="1">
      <c r="A16" s="30" t="inlineStr">
        <is>
          <t>Material Support Ships</t>
        </is>
      </c>
      <c r="B16" s="30" t="inlineStr">
        <is>
          <t>USN</t>
        </is>
      </c>
      <c r="C16" s="31">
        <f>SUMIFS(JB_27BV,JB_B,1,JB_W,"Material Support Ships",JB_F,"Full ship DD&amp;C",JB_RC,"ADD")+SUMIFS(JB_27BV,JB_B,1,JB_W,"Material Support Ships",JB_F,"Full ship DD&amp;C / LLTM",JB_RC,"ADD")+SUMIFS(JB_27BV,JB_B,1,JB_W,"Material Support Ships",JB_F,"Full vessel procurement",JB_RC,"ADD")</f>
        <v/>
      </c>
      <c r="D16" s="31">
        <f>SUMIFS(JB_27BV,JB_B,1,JB_W,"Material Support Ships",JB_F,"Advance procurement / LLTM",JB_RC,"ADD")</f>
        <v/>
      </c>
      <c r="E16" s="31">
        <f>SUMIFS(JB_27BV,JB_B,1,JB_W,"Material Support Ships",JB_F,"RCOH",JB_RC,"ADD")</f>
        <v/>
      </c>
      <c r="F16" s="31">
        <f>SUMIFS(JB_27BV,JB_B,1,JB_W,"Material Support Ships",JB_F,"SLEP",JB_RC,"ADD")</f>
        <v/>
      </c>
      <c r="G16" s="31">
        <f>SUMIFS(JB_27BV,JB_B,1,JB_W,"Material Support Ships",JB_RC,"ADD")</f>
        <v/>
      </c>
      <c r="H16" s="37">
        <f>IFERROR(G16/G$23,0)</f>
        <v/>
      </c>
    </row>
    <row r="17" ht="10" customHeight="1">
      <c r="A17" s="30" t="inlineStr">
        <is>
          <t>Combat Logistics Ships</t>
        </is>
      </c>
      <c r="B17" s="30" t="inlineStr">
        <is>
          <t>MSC</t>
        </is>
      </c>
      <c r="C17" s="31">
        <f>SUMIFS(JB_27BV,JB_B,1,JB_W,"Combat Logistics Ships",JB_F,"Full ship DD&amp;C",JB_RC,"ADD")+SUMIFS(JB_27BV,JB_B,1,JB_W,"Combat Logistics Ships",JB_F,"Full ship DD&amp;C / LLTM",JB_RC,"ADD")+SUMIFS(JB_27BV,JB_B,1,JB_W,"Combat Logistics Ships",JB_F,"Full vessel procurement",JB_RC,"ADD")</f>
        <v/>
      </c>
      <c r="D17" s="31">
        <f>SUMIFS(JB_27BV,JB_B,1,JB_W,"Combat Logistics Ships",JB_F,"Advance procurement / LLTM",JB_RC,"ADD")</f>
        <v/>
      </c>
      <c r="E17" s="31">
        <f>SUMIFS(JB_27BV,JB_B,1,JB_W,"Combat Logistics Ships",JB_F,"RCOH",JB_RC,"ADD")</f>
        <v/>
      </c>
      <c r="F17" s="31">
        <f>SUMIFS(JB_27BV,JB_B,1,JB_W,"Combat Logistics Ships",JB_F,"SLEP",JB_RC,"ADD")</f>
        <v/>
      </c>
      <c r="G17" s="31">
        <f>SUMIFS(JB_27BV,JB_B,1,JB_W,"Combat Logistics Ships",JB_RC,"ADD")</f>
        <v/>
      </c>
      <c r="H17" s="37">
        <f>IFERROR(G17/G$23,0)</f>
        <v/>
      </c>
    </row>
    <row r="18" ht="10" customHeight="1">
      <c r="A18" s="30" t="inlineStr">
        <is>
          <t>Expeditionary &amp; Seabasing Ships</t>
        </is>
      </c>
      <c r="B18" s="30" t="inlineStr">
        <is>
          <t>USN</t>
        </is>
      </c>
      <c r="C18" s="31">
        <f>SUMIFS(JB_27BV,JB_B,1,JB_W,"Expeditionary &amp; Seabasing Ships",JB_F,"Full ship DD&amp;C",JB_RC,"ADD")+SUMIFS(JB_27BV,JB_B,1,JB_W,"Expeditionary &amp; Seabasing Ships",JB_F,"Full ship DD&amp;C / LLTM",JB_RC,"ADD")+SUMIFS(JB_27BV,JB_B,1,JB_W,"Expeditionary &amp; Seabasing Ships",JB_F,"Full vessel procurement",JB_RC,"ADD")</f>
        <v/>
      </c>
      <c r="D18" s="31">
        <f>SUMIFS(JB_27BV,JB_B,1,JB_W,"Expeditionary &amp; Seabasing Ships",JB_F,"Advance procurement / LLTM",JB_RC,"ADD")</f>
        <v/>
      </c>
      <c r="E18" s="31">
        <f>SUMIFS(JB_27BV,JB_B,1,JB_W,"Expeditionary &amp; Seabasing Ships",JB_F,"RCOH",JB_RC,"ADD")</f>
        <v/>
      </c>
      <c r="F18" s="31">
        <f>SUMIFS(JB_27BV,JB_B,1,JB_W,"Expeditionary &amp; Seabasing Ships",JB_F,"SLEP",JB_RC,"ADD")</f>
        <v/>
      </c>
      <c r="G18" s="31">
        <f>SUMIFS(JB_27BV,JB_B,1,JB_W,"Expeditionary &amp; Seabasing Ships",JB_RC,"ADD")</f>
        <v/>
      </c>
      <c r="H18" s="37">
        <f>IFERROR(G18/G$23,0)</f>
        <v/>
      </c>
    </row>
    <row r="19" ht="10" customHeight="1">
      <c r="A19" s="30" t="inlineStr">
        <is>
          <t>Surveillance Ships</t>
        </is>
      </c>
      <c r="B19" s="30" t="inlineStr">
        <is>
          <t>USN</t>
        </is>
      </c>
      <c r="C19" s="31">
        <f>SUMIFS(JB_27BV,JB_B,1,JB_W,"Surveillance Ships",JB_F,"Full ship DD&amp;C",JB_RC,"ADD")+SUMIFS(JB_27BV,JB_B,1,JB_W,"Surveillance Ships",JB_F,"Full ship DD&amp;C / LLTM",JB_RC,"ADD")+SUMIFS(JB_27BV,JB_B,1,JB_W,"Surveillance Ships",JB_F,"Full vessel procurement",JB_RC,"ADD")</f>
        <v/>
      </c>
      <c r="D19" s="31">
        <f>SUMIFS(JB_27BV,JB_B,1,JB_W,"Surveillance Ships",JB_F,"Advance procurement / LLTM",JB_RC,"ADD")</f>
        <v/>
      </c>
      <c r="E19" s="31">
        <f>SUMIFS(JB_27BV,JB_B,1,JB_W,"Surveillance Ships",JB_F,"RCOH",JB_RC,"ADD")</f>
        <v/>
      </c>
      <c r="F19" s="31">
        <f>SUMIFS(JB_27BV,JB_B,1,JB_W,"Surveillance Ships",JB_F,"SLEP",JB_RC,"ADD")</f>
        <v/>
      </c>
      <c r="G19" s="31">
        <f>SUMIFS(JB_27BV,JB_B,1,JB_W,"Surveillance Ships",JB_RC,"ADD")</f>
        <v/>
      </c>
      <c r="H19" s="37">
        <f>IFERROR(G19/G$23,0)</f>
        <v/>
      </c>
    </row>
    <row r="20" ht="10" customHeight="1">
      <c r="A20" s="30" t="inlineStr">
        <is>
          <t>Hospital Ship</t>
        </is>
      </c>
      <c r="B20" s="30" t="inlineStr">
        <is>
          <t>MSC</t>
        </is>
      </c>
      <c r="C20" s="31">
        <f>SUMIFS(JB_27BV,JB_B,1,JB_W,"Hospital Ship",JB_F,"Full ship DD&amp;C",JB_RC,"ADD")+SUMIFS(JB_27BV,JB_B,1,JB_W,"Hospital Ship",JB_F,"Full ship DD&amp;C / LLTM",JB_RC,"ADD")+SUMIFS(JB_27BV,JB_B,1,JB_W,"Hospital Ship",JB_F,"Full vessel procurement",JB_RC,"ADD")</f>
        <v/>
      </c>
      <c r="D20" s="31">
        <f>SUMIFS(JB_27BV,JB_B,1,JB_W,"Hospital Ship",JB_F,"Advance procurement / LLTM",JB_RC,"ADD")</f>
        <v/>
      </c>
      <c r="E20" s="31">
        <f>SUMIFS(JB_27BV,JB_B,1,JB_W,"Hospital Ship",JB_F,"RCOH",JB_RC,"ADD")</f>
        <v/>
      </c>
      <c r="F20" s="31">
        <f>SUMIFS(JB_27BV,JB_B,1,JB_W,"Hospital Ship",JB_F,"SLEP",JB_RC,"ADD")</f>
        <v/>
      </c>
      <c r="G20" s="31">
        <f>SUMIFS(JB_27BV,JB_B,1,JB_W,"Hospital Ship",JB_RC,"ADD")</f>
        <v/>
      </c>
      <c r="H20" s="37">
        <f>IFERROR(G20/G$23,0)</f>
        <v/>
      </c>
    </row>
    <row r="21" ht="10" customHeight="1">
      <c r="A21" s="30" t="inlineStr">
        <is>
          <t>Cargo &amp; Vehicle Cargo Ships</t>
        </is>
      </c>
      <c r="B21" s="30" t="inlineStr">
        <is>
          <t>USN</t>
        </is>
      </c>
      <c r="C21" s="31">
        <f>SUMIFS(JB_27BV,JB_B,1,JB_W,"Cargo &amp; Vehicle Cargo Ships",JB_F,"Full ship DD&amp;C",JB_RC,"ADD")+SUMIFS(JB_27BV,JB_B,1,JB_W,"Cargo &amp; Vehicle Cargo Ships",JB_F,"Full ship DD&amp;C / LLTM",JB_RC,"ADD")+SUMIFS(JB_27BV,JB_B,1,JB_W,"Cargo &amp; Vehicle Cargo Ships",JB_F,"Full vessel procurement",JB_RC,"ADD")</f>
        <v/>
      </c>
      <c r="D21" s="31">
        <f>SUMIFS(JB_27BV,JB_B,1,JB_W,"Cargo &amp; Vehicle Cargo Ships",JB_F,"Advance procurement / LLTM",JB_RC,"ADD")</f>
        <v/>
      </c>
      <c r="E21" s="31">
        <f>SUMIFS(JB_27BV,JB_B,1,JB_W,"Cargo &amp; Vehicle Cargo Ships",JB_F,"RCOH",JB_RC,"ADD")</f>
        <v/>
      </c>
      <c r="F21" s="31">
        <f>SUMIFS(JB_27BV,JB_B,1,JB_W,"Cargo &amp; Vehicle Cargo Ships",JB_F,"SLEP",JB_RC,"ADD")</f>
        <v/>
      </c>
      <c r="G21" s="31">
        <f>SUMIFS(JB_27BV,JB_B,1,JB_W,"Cargo &amp; Vehicle Cargo Ships",JB_RC,"ADD")</f>
        <v/>
      </c>
      <c r="H21" s="37">
        <f>IFERROR(G21/G$23,0)</f>
        <v/>
      </c>
    </row>
    <row r="22" ht="10" customHeight="1">
      <c r="A22" s="30" t="inlineStr">
        <is>
          <t>Unmanned Surface Vehicles</t>
        </is>
      </c>
      <c r="B22" s="30" t="inlineStr">
        <is>
          <t>USN</t>
        </is>
      </c>
      <c r="C22" s="31">
        <f>SUMIFS(JB_27BV,JB_B,1,JB_W,"Unmanned Surface Vehicles",JB_F,"Full ship DD&amp;C",JB_RC,"ADD")+SUMIFS(JB_27BV,JB_B,1,JB_W,"Unmanned Surface Vehicles",JB_F,"Full ship DD&amp;C / LLTM",JB_RC,"ADD")+SUMIFS(JB_27BV,JB_B,1,JB_W,"Unmanned Surface Vehicles",JB_F,"Full vessel procurement",JB_RC,"ADD")</f>
        <v/>
      </c>
      <c r="D22" s="31">
        <f>SUMIFS(JB_27BV,JB_B,1,JB_W,"Unmanned Surface Vehicles",JB_F,"Advance procurement / LLTM",JB_RC,"ADD")</f>
        <v/>
      </c>
      <c r="E22" s="31">
        <f>SUMIFS(JB_27BV,JB_B,1,JB_W,"Unmanned Surface Vehicles",JB_F,"RCOH",JB_RC,"ADD")</f>
        <v/>
      </c>
      <c r="F22" s="31">
        <f>SUMIFS(JB_27BV,JB_B,1,JB_W,"Unmanned Surface Vehicles",JB_F,"SLEP",JB_RC,"ADD")</f>
        <v/>
      </c>
      <c r="G22" s="31">
        <f>SUMIFS(JB_27BV,JB_B,1,JB_W,"Unmanned Surface Vehicles",JB_RC,"ADD")</f>
        <v/>
      </c>
      <c r="H22" s="37">
        <f>IFERROR(G22/G$23,0)</f>
        <v/>
      </c>
    </row>
    <row r="23" ht="10" customHeight="1">
      <c r="A23" s="32" t="inlineStr">
        <is>
          <t>Newbuild SAM (all programs)</t>
        </is>
      </c>
      <c r="B23" s="32" t="inlineStr"/>
      <c r="C23" s="33">
        <f>SUM(C14:C22)</f>
        <v/>
      </c>
      <c r="D23" s="33">
        <f>SUM(D14:D22)</f>
        <v/>
      </c>
      <c r="E23" s="33">
        <f>SUM(E14:E22)</f>
        <v/>
      </c>
      <c r="F23" s="33">
        <f>SUM(F14:F22)</f>
        <v/>
      </c>
      <c r="G23" s="33">
        <f>SUM(G14:G22)</f>
        <v/>
      </c>
      <c r="H23" s="38" t="n">
        <v>1</v>
      </c>
    </row>
    <row r="24" ht="10" customHeight="1"/>
    <row r="25" ht="10" customHeight="1"/>
    <row r="26" ht="10" customHeight="1">
      <c r="A26" s="27" t="inlineStr">
        <is>
          <t>(C) Newbuild SAM (all programs) by Hull Program — FY2027 ($K)</t>
        </is>
      </c>
      <c r="B26" s="28" t="n"/>
      <c r="C26" s="28" t="n"/>
      <c r="D26" s="28" t="n"/>
      <c r="E26" s="28" t="n"/>
      <c r="F26" s="28" t="n"/>
      <c r="G26" s="28" t="n"/>
      <c r="H26" s="28" t="n"/>
      <c r="I26" s="28" t="n"/>
    </row>
    <row r="27" ht="10" customHeight="1">
      <c r="A27" s="26" t="inlineStr">
        <is>
          <t>Same funding as (B) broken down to individual hull programs — the level at which budget line items are traceable.</t>
        </is>
      </c>
    </row>
    <row r="28" ht="10" customHeight="1">
      <c r="A28" s="29" t="inlineStr">
        <is>
          <t>Hull Program</t>
        </is>
      </c>
      <c r="B28" s="29" t="inlineStr">
        <is>
          <t>Vessel Type</t>
        </is>
      </c>
      <c r="C28" s="29" t="inlineStr">
        <is>
          <t>Service</t>
        </is>
      </c>
      <c r="D28" s="29" t="inlineStr">
        <is>
          <t>DD&amp;C</t>
        </is>
      </c>
      <c r="E28" s="29" t="inlineStr">
        <is>
          <t>AP/LLTM</t>
        </is>
      </c>
      <c r="F28" s="29" t="inlineStr">
        <is>
          <t>RCOH</t>
        </is>
      </c>
      <c r="G28" s="29" t="inlineStr">
        <is>
          <t>SLEP</t>
        </is>
      </c>
      <c r="H28" s="29" t="inlineStr">
        <is>
          <t>Total</t>
        </is>
      </c>
      <c r="I28" s="29" t="inlineStr">
        <is>
          <t>% of Total</t>
        </is>
      </c>
    </row>
    <row r="29" ht="10" customHeight="1">
      <c r="A29" s="30" t="inlineStr">
        <is>
          <t>AS</t>
        </is>
      </c>
      <c r="B29" s="30" t="inlineStr">
        <is>
          <t>Material Support Ships</t>
        </is>
      </c>
      <c r="C29" s="30" t="inlineStr">
        <is>
          <t>USN</t>
        </is>
      </c>
      <c r="D29" s="31">
        <f>SUMIFS(JB_27BV,JB_B,1,JB_H,"AS",JB_F,"Full ship DD&amp;C",JB_RC,"ADD")+SUMIFS(JB_27BV,JB_B,1,JB_H,"AS",JB_F,"Full ship DD&amp;C / LLTM",JB_RC,"ADD")+SUMIFS(JB_27BV,JB_B,1,JB_H,"AS",JB_F,"Full vessel procurement",JB_RC,"ADD")</f>
        <v/>
      </c>
      <c r="E29" s="31">
        <f>SUMIFS(JB_27BV,JB_B,1,JB_H,"AS",JB_F,"Advance procurement / LLTM",JB_RC,"ADD")</f>
        <v/>
      </c>
      <c r="F29" s="31">
        <f>SUMIFS(JB_27BV,JB_B,1,JB_H,"AS",JB_F,"RCOH",JB_RC,"ADD")</f>
        <v/>
      </c>
      <c r="G29" s="31">
        <f>SUMIFS(JB_27BV,JB_B,1,JB_H,"AS",JB_F,"SLEP",JB_RC,"ADD")</f>
        <v/>
      </c>
      <c r="H29" s="31">
        <f>SUMIFS(JB_27BV,JB_B,1,JB_H,"AS",JB_RC,"ADD")</f>
        <v/>
      </c>
      <c r="I29" s="37">
        <f>IFERROR(H29/H$40,0)</f>
        <v/>
      </c>
    </row>
    <row r="30" ht="10" customHeight="1">
      <c r="A30" s="30" t="inlineStr">
        <is>
          <t>LHA</t>
        </is>
      </c>
      <c r="B30" s="30" t="inlineStr">
        <is>
          <t>Amphibious Warfare Ships</t>
        </is>
      </c>
      <c r="C30" s="30" t="inlineStr">
        <is>
          <t>USN</t>
        </is>
      </c>
      <c r="D30" s="31">
        <f>SUMIFS(JB_27BV,JB_B,1,JB_H,"LHA",JB_F,"Full ship DD&amp;C",JB_RC,"ADD")+SUMIFS(JB_27BV,JB_B,1,JB_H,"LHA",JB_F,"Full ship DD&amp;C / LLTM",JB_RC,"ADD")+SUMIFS(JB_27BV,JB_B,1,JB_H,"LHA",JB_F,"Full vessel procurement",JB_RC,"ADD")</f>
        <v/>
      </c>
      <c r="E30" s="31">
        <f>SUMIFS(JB_27BV,JB_B,1,JB_H,"LHA",JB_F,"Advance procurement / LLTM",JB_RC,"ADD")</f>
        <v/>
      </c>
      <c r="F30" s="31">
        <f>SUMIFS(JB_27BV,JB_B,1,JB_H,"LHA",JB_F,"RCOH",JB_RC,"ADD")</f>
        <v/>
      </c>
      <c r="G30" s="31">
        <f>SUMIFS(JB_27BV,JB_B,1,JB_H,"LHA",JB_F,"SLEP",JB_RC,"ADD")</f>
        <v/>
      </c>
      <c r="H30" s="31">
        <f>SUMIFS(JB_27BV,JB_B,1,JB_H,"LHA",JB_RC,"ADD")</f>
        <v/>
      </c>
      <c r="I30" s="37">
        <f>IFERROR(H30/H$40,0)</f>
        <v/>
      </c>
    </row>
    <row r="31" ht="10" customHeight="1">
      <c r="A31" s="30" t="inlineStr">
        <is>
          <t>DDG</t>
        </is>
      </c>
      <c r="B31" s="30" t="inlineStr">
        <is>
          <t>Surface Combatants</t>
        </is>
      </c>
      <c r="C31" s="30" t="inlineStr">
        <is>
          <t>USN</t>
        </is>
      </c>
      <c r="D31" s="31">
        <f>SUMIFS(JB_27BV,JB_B,1,JB_H,"DDG",JB_F,"Full ship DD&amp;C",JB_RC,"ADD")+SUMIFS(JB_27BV,JB_B,1,JB_H,"DDG",JB_F,"Full ship DD&amp;C / LLTM",JB_RC,"ADD")+SUMIFS(JB_27BV,JB_B,1,JB_H,"DDG",JB_F,"Full vessel procurement",JB_RC,"ADD")</f>
        <v/>
      </c>
      <c r="E31" s="31">
        <f>SUMIFS(JB_27BV,JB_B,1,JB_H,"DDG",JB_F,"Advance procurement / LLTM",JB_RC,"ADD")</f>
        <v/>
      </c>
      <c r="F31" s="31">
        <f>SUMIFS(JB_27BV,JB_B,1,JB_H,"DDG",JB_F,"RCOH",JB_RC,"ADD")</f>
        <v/>
      </c>
      <c r="G31" s="31">
        <f>SUMIFS(JB_27BV,JB_B,1,JB_H,"DDG",JB_F,"SLEP",JB_RC,"ADD")</f>
        <v/>
      </c>
      <c r="H31" s="31">
        <f>SUMIFS(JB_27BV,JB_B,1,JB_H,"DDG",JB_RC,"ADD")</f>
        <v/>
      </c>
      <c r="I31" s="37">
        <f>IFERROR(H31/H$40,0)</f>
        <v/>
      </c>
    </row>
    <row r="32" ht="10" customHeight="1">
      <c r="A32" s="30" t="inlineStr">
        <is>
          <t>LPD</t>
        </is>
      </c>
      <c r="B32" s="30" t="inlineStr">
        <is>
          <t>Amphibious Warfare Ships</t>
        </is>
      </c>
      <c r="C32" s="30" t="inlineStr">
        <is>
          <t>USN</t>
        </is>
      </c>
      <c r="D32" s="31">
        <f>SUMIFS(JB_27BV,JB_B,1,JB_H,"LPD",JB_F,"Full ship DD&amp;C",JB_RC,"ADD")+SUMIFS(JB_27BV,JB_B,1,JB_H,"LPD",JB_F,"Full ship DD&amp;C / LLTM",JB_RC,"ADD")+SUMIFS(JB_27BV,JB_B,1,JB_H,"LPD",JB_F,"Full vessel procurement",JB_RC,"ADD")</f>
        <v/>
      </c>
      <c r="E32" s="31">
        <f>SUMIFS(JB_27BV,JB_B,1,JB_H,"LPD",JB_F,"Advance procurement / LLTM",JB_RC,"ADD")</f>
        <v/>
      </c>
      <c r="F32" s="31">
        <f>SUMIFS(JB_27BV,JB_B,1,JB_H,"LPD",JB_F,"RCOH",JB_RC,"ADD")</f>
        <v/>
      </c>
      <c r="G32" s="31">
        <f>SUMIFS(JB_27BV,JB_B,1,JB_H,"LPD",JB_F,"SLEP",JB_RC,"ADD")</f>
        <v/>
      </c>
      <c r="H32" s="31">
        <f>SUMIFS(JB_27BV,JB_B,1,JB_H,"LPD",JB_RC,"ADD")</f>
        <v/>
      </c>
      <c r="I32" s="37">
        <f>IFERROR(H32/H$40,0)</f>
        <v/>
      </c>
    </row>
    <row r="33" ht="10" customHeight="1">
      <c r="A33" s="30" t="inlineStr">
        <is>
          <t>T-AO</t>
        </is>
      </c>
      <c r="B33" s="30" t="inlineStr">
        <is>
          <t>Combat Logistics Ships</t>
        </is>
      </c>
      <c r="C33" s="30" t="inlineStr">
        <is>
          <t>MSC</t>
        </is>
      </c>
      <c r="D33" s="31">
        <f>SUMIFS(JB_27BV,JB_B,1,JB_H,"T-AO",JB_F,"Full ship DD&amp;C",JB_RC,"ADD")+SUMIFS(JB_27BV,JB_B,1,JB_H,"T-AO",JB_F,"Full ship DD&amp;C / LLTM",JB_RC,"ADD")+SUMIFS(JB_27BV,JB_B,1,JB_H,"T-AO",JB_F,"Full vessel procurement",JB_RC,"ADD")</f>
        <v/>
      </c>
      <c r="E33" s="31">
        <f>SUMIFS(JB_27BV,JB_B,1,JB_H,"T-AO",JB_F,"Advance procurement / LLTM",JB_RC,"ADD")</f>
        <v/>
      </c>
      <c r="F33" s="31">
        <f>SUMIFS(JB_27BV,JB_B,1,JB_H,"T-AO",JB_F,"RCOH",JB_RC,"ADD")</f>
        <v/>
      </c>
      <c r="G33" s="31">
        <f>SUMIFS(JB_27BV,JB_B,1,JB_H,"T-AO",JB_F,"SLEP",JB_RC,"ADD")</f>
        <v/>
      </c>
      <c r="H33" s="31">
        <f>SUMIFS(JB_27BV,JB_B,1,JB_H,"T-AO",JB_RC,"ADD")</f>
        <v/>
      </c>
      <c r="I33" s="37">
        <f>IFERROR(H33/H$40,0)</f>
        <v/>
      </c>
    </row>
    <row r="34" ht="10" customHeight="1">
      <c r="A34" s="30" t="inlineStr">
        <is>
          <t>LSM</t>
        </is>
      </c>
      <c r="B34" s="30" t="inlineStr">
        <is>
          <t>Expeditionary &amp; Seabasing Ships</t>
        </is>
      </c>
      <c r="C34" s="30" t="inlineStr">
        <is>
          <t>USN</t>
        </is>
      </c>
      <c r="D34" s="31">
        <f>SUMIFS(JB_27BV,JB_B,1,JB_H,"LSM",JB_F,"Full ship DD&amp;C",JB_RC,"ADD")+SUMIFS(JB_27BV,JB_B,1,JB_H,"LSM",JB_F,"Full ship DD&amp;C / LLTM",JB_RC,"ADD")+SUMIFS(JB_27BV,JB_B,1,JB_H,"LSM",JB_F,"Full vessel procurement",JB_RC,"ADD")</f>
        <v/>
      </c>
      <c r="E34" s="31">
        <f>SUMIFS(JB_27BV,JB_B,1,JB_H,"LSM",JB_F,"Advance procurement / LLTM",JB_RC,"ADD")</f>
        <v/>
      </c>
      <c r="F34" s="31">
        <f>SUMIFS(JB_27BV,JB_B,1,JB_H,"LSM",JB_F,"RCOH",JB_RC,"ADD")</f>
        <v/>
      </c>
      <c r="G34" s="31">
        <f>SUMIFS(JB_27BV,JB_B,1,JB_H,"LSM",JB_F,"SLEP",JB_RC,"ADD")</f>
        <v/>
      </c>
      <c r="H34" s="31">
        <f>SUMIFS(JB_27BV,JB_B,1,JB_H,"LSM",JB_RC,"ADD")</f>
        <v/>
      </c>
      <c r="I34" s="37">
        <f>IFERROR(H34/H$40,0)</f>
        <v/>
      </c>
    </row>
    <row r="35" ht="10" customHeight="1">
      <c r="A35" s="30" t="inlineStr">
        <is>
          <t>FFG</t>
        </is>
      </c>
      <c r="B35" s="30" t="inlineStr">
        <is>
          <t>Surface Combatants</t>
        </is>
      </c>
      <c r="C35" s="30" t="inlineStr">
        <is>
          <t>USN</t>
        </is>
      </c>
      <c r="D35" s="31">
        <f>SUMIFS(JB_27BV,JB_B,1,JB_H,"FFG",JB_F,"Full ship DD&amp;C",JB_RC,"ADD")+SUMIFS(JB_27BV,JB_B,1,JB_H,"FFG",JB_F,"Full ship DD&amp;C / LLTM",JB_RC,"ADD")+SUMIFS(JB_27BV,JB_B,1,JB_H,"FFG",JB_F,"Full vessel procurement",JB_RC,"ADD")</f>
        <v/>
      </c>
      <c r="E35" s="31">
        <f>SUMIFS(JB_27BV,JB_B,1,JB_H,"FFG",JB_F,"Advance procurement / LLTM",JB_RC,"ADD")</f>
        <v/>
      </c>
      <c r="F35" s="31">
        <f>SUMIFS(JB_27BV,JB_B,1,JB_H,"FFG",JB_F,"RCOH",JB_RC,"ADD")</f>
        <v/>
      </c>
      <c r="G35" s="31">
        <f>SUMIFS(JB_27BV,JB_B,1,JB_H,"FFG",JB_F,"SLEP",JB_RC,"ADD")</f>
        <v/>
      </c>
      <c r="H35" s="31">
        <f>SUMIFS(JB_27BV,JB_B,1,JB_H,"FFG",JB_RC,"ADD")</f>
        <v/>
      </c>
      <c r="I35" s="37">
        <f>IFERROR(H35/H$40,0)</f>
        <v/>
      </c>
    </row>
    <row r="36" ht="10" customHeight="1">
      <c r="A36" s="30" t="inlineStr">
        <is>
          <t>T-AGOS</t>
        </is>
      </c>
      <c r="B36" s="30" t="inlineStr">
        <is>
          <t>Surveillance Ships</t>
        </is>
      </c>
      <c r="C36" s="30" t="inlineStr">
        <is>
          <t>MSC</t>
        </is>
      </c>
      <c r="D36" s="31">
        <f>SUMIFS(JB_27BV,JB_B,1,JB_H,"T-AGOS",JB_F,"Full ship DD&amp;C",JB_RC,"ADD")+SUMIFS(JB_27BV,JB_B,1,JB_H,"T-AGOS",JB_F,"Full ship DD&amp;C / LLTM",JB_RC,"ADD")+SUMIFS(JB_27BV,JB_B,1,JB_H,"T-AGOS",JB_F,"Full vessel procurement",JB_RC,"ADD")</f>
        <v/>
      </c>
      <c r="E36" s="31">
        <f>SUMIFS(JB_27BV,JB_B,1,JB_H,"T-AGOS",JB_F,"Advance procurement / LLTM",JB_RC,"ADD")</f>
        <v/>
      </c>
      <c r="F36" s="31">
        <f>SUMIFS(JB_27BV,JB_B,1,JB_H,"T-AGOS",JB_F,"RCOH",JB_RC,"ADD")</f>
        <v/>
      </c>
      <c r="G36" s="31">
        <f>SUMIFS(JB_27BV,JB_B,1,JB_H,"T-AGOS",JB_F,"SLEP",JB_RC,"ADD")</f>
        <v/>
      </c>
      <c r="H36" s="31">
        <f>SUMIFS(JB_27BV,JB_B,1,JB_H,"T-AGOS",JB_RC,"ADD")</f>
        <v/>
      </c>
      <c r="I36" s="37">
        <f>IFERROR(H36/H$40,0)</f>
        <v/>
      </c>
    </row>
    <row r="37" ht="10" customHeight="1">
      <c r="A37" s="30" t="inlineStr">
        <is>
          <t>T-AH</t>
        </is>
      </c>
      <c r="B37" s="30" t="inlineStr">
        <is>
          <t>Hospital Ship</t>
        </is>
      </c>
      <c r="C37" s="30" t="inlineStr">
        <is>
          <t>MSC</t>
        </is>
      </c>
      <c r="D37" s="31">
        <f>SUMIFS(JB_27BV,JB_B,1,JB_H,"T-AH",JB_F,"Full ship DD&amp;C",JB_RC,"ADD")+SUMIFS(JB_27BV,JB_B,1,JB_H,"T-AH",JB_F,"Full ship DD&amp;C / LLTM",JB_RC,"ADD")+SUMIFS(JB_27BV,JB_B,1,JB_H,"T-AH",JB_F,"Full vessel procurement",JB_RC,"ADD")</f>
        <v/>
      </c>
      <c r="E37" s="31">
        <f>SUMIFS(JB_27BV,JB_B,1,JB_H,"T-AH",JB_F,"Advance procurement / LLTM",JB_RC,"ADD")</f>
        <v/>
      </c>
      <c r="F37" s="31">
        <f>SUMIFS(JB_27BV,JB_B,1,JB_H,"T-AH",JB_F,"RCOH",JB_RC,"ADD")</f>
        <v/>
      </c>
      <c r="G37" s="31">
        <f>SUMIFS(JB_27BV,JB_B,1,JB_H,"T-AH",JB_F,"SLEP",JB_RC,"ADD")</f>
        <v/>
      </c>
      <c r="H37" s="31">
        <f>SUMIFS(JB_27BV,JB_B,1,JB_H,"T-AH",JB_RC,"ADD")</f>
        <v/>
      </c>
      <c r="I37" s="37">
        <f>IFERROR(H37/H$40,0)</f>
        <v/>
      </c>
    </row>
    <row r="38" ht="10" customHeight="1">
      <c r="A38" s="30" t="inlineStr">
        <is>
          <t>T-AKR</t>
        </is>
      </c>
      <c r="B38" s="30" t="inlineStr">
        <is>
          <t>Cargo &amp; Vehicle Cargo Ships</t>
        </is>
      </c>
      <c r="C38" s="30" t="inlineStr">
        <is>
          <t>MSC</t>
        </is>
      </c>
      <c r="D38" s="31">
        <f>SUMIFS(JB_27BV,JB_B,1,JB_H,"T-AKR",JB_F,"Full ship DD&amp;C",JB_RC,"ADD")+SUMIFS(JB_27BV,JB_B,1,JB_H,"T-AKR",JB_F,"Full ship DD&amp;C / LLTM",JB_RC,"ADD")+SUMIFS(JB_27BV,JB_B,1,JB_H,"T-AKR",JB_F,"Full vessel procurement",JB_RC,"ADD")</f>
        <v/>
      </c>
      <c r="E38" s="31">
        <f>SUMIFS(JB_27BV,JB_B,1,JB_H,"T-AKR",JB_F,"Advance procurement / LLTM",JB_RC,"ADD")</f>
        <v/>
      </c>
      <c r="F38" s="31">
        <f>SUMIFS(JB_27BV,JB_B,1,JB_H,"T-AKR",JB_F,"RCOH",JB_RC,"ADD")</f>
        <v/>
      </c>
      <c r="G38" s="31">
        <f>SUMIFS(JB_27BV,JB_B,1,JB_H,"T-AKR",JB_F,"SLEP",JB_RC,"ADD")</f>
        <v/>
      </c>
      <c r="H38" s="31">
        <f>SUMIFS(JB_27BV,JB_B,1,JB_H,"T-AKR",JB_RC,"ADD")</f>
        <v/>
      </c>
      <c r="I38" s="37">
        <f>IFERROR(H38/H$40,0)</f>
        <v/>
      </c>
    </row>
    <row r="39" ht="10" customHeight="1">
      <c r="A39" s="30" t="inlineStr">
        <is>
          <t>MUSV</t>
        </is>
      </c>
      <c r="B39" s="30" t="inlineStr">
        <is>
          <t>Unmanned Surface Vehicles</t>
        </is>
      </c>
      <c r="C39" s="30" t="inlineStr">
        <is>
          <t>USN</t>
        </is>
      </c>
      <c r="D39" s="31">
        <f>SUMIFS(JB_27BV,JB_B,1,JB_H,"MUSV",JB_F,"Full ship DD&amp;C",JB_RC,"ADD")+SUMIFS(JB_27BV,JB_B,1,JB_H,"MUSV",JB_F,"Full ship DD&amp;C / LLTM",JB_RC,"ADD")+SUMIFS(JB_27BV,JB_B,1,JB_H,"MUSV",JB_F,"Full vessel procurement",JB_RC,"ADD")</f>
        <v/>
      </c>
      <c r="E39" s="31">
        <f>SUMIFS(JB_27BV,JB_B,1,JB_H,"MUSV",JB_F,"Advance procurement / LLTM",JB_RC,"ADD")</f>
        <v/>
      </c>
      <c r="F39" s="31">
        <f>SUMIFS(JB_27BV,JB_B,1,JB_H,"MUSV",JB_F,"RCOH",JB_RC,"ADD")</f>
        <v/>
      </c>
      <c r="G39" s="31">
        <f>SUMIFS(JB_27BV,JB_B,1,JB_H,"MUSV",JB_F,"SLEP",JB_RC,"ADD")</f>
        <v/>
      </c>
      <c r="H39" s="31">
        <f>SUMIFS(JB_27BV,JB_B,1,JB_H,"MUSV",JB_RC,"ADD")</f>
        <v/>
      </c>
      <c r="I39" s="37">
        <f>IFERROR(H39/H$40,0)</f>
        <v/>
      </c>
    </row>
    <row r="40" ht="10" customHeight="1">
      <c r="A40" s="32" t="inlineStr">
        <is>
          <t>Newbuild SAM (all programs)</t>
        </is>
      </c>
      <c r="B40" s="32" t="inlineStr"/>
      <c r="C40" s="32" t="inlineStr"/>
      <c r="D40" s="33">
        <f>SUM(D29:D39)</f>
        <v/>
      </c>
      <c r="E40" s="33">
        <f>SUM(E29:E39)</f>
        <v/>
      </c>
      <c r="F40" s="33">
        <f>SUM(F29:F39)</f>
        <v/>
      </c>
      <c r="G40" s="33">
        <f>SUM(G29:G39)</f>
        <v/>
      </c>
      <c r="H40" s="33">
        <f>SUM(H29:H39)</f>
        <v/>
      </c>
      <c r="I40" s="38" t="n">
        <v>1</v>
      </c>
    </row>
    <row r="41" ht="10" customHeight="1"/>
    <row r="42" ht="10" customHeight="1">
      <c r="A42" s="26" t="inlineStr">
        <is>
          <t>Justification books (P-5c, P-8a) not yet released for FY27 — cost-element breakdown and Newbuild SAM (cost-element coverage) are not available.</t>
        </is>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0" t="inlineStr">
        <is>
          <t xml:space="preserve">  Less: Boats</t>
        </is>
      </c>
      <c r="B9" s="31">
        <f>-(SUMIFS(JB_27BV,JB_B,2,JB_V,"Boats",JB_RC,"ADD")+SUMIFS(JB_27BV,JB_B,3,JB_V,"Boats",JB_RC,"ADD")+SUMIFS(JB_27BV,JB_B,4,JB_V,"Boats",JB_RC,"ADD")+SUMIFS(JB_27BV,JB_B,5,JB_V,"Boats",JB_RC,"ADD")+SUMIFS(JB_27BV,JB_B,6,JB_V,"Boats",JB_RC,"ADD")+SUMIFS(JB_27BV,JB_B,7,JB_V,"Boats",JB_RC,"ADD"))</f>
        <v/>
      </c>
    </row>
    <row r="10" ht="10" customHeight="1">
      <c r="A10" s="30" t="inlineStr">
        <is>
          <t xml:space="preserve">  Less: No vessel type designation</t>
        </is>
      </c>
      <c r="B10" s="31">
        <f>-(SUMIFS(JB_27BV,JB_B,2,JB_V,"Auxiliary Ships",JB_W,"",JB_RC,"ADD")+SUMIFS(JB_27BV,JB_B,2,JB_V,"Combatant Ships",JB_W,"",JB_RC,"ADD")+SUMIFS(JB_27BV,JB_B,2,JB_V,"Cutters",JB_W,"",JB_RC,"ADD")+SUMIFS(JB_27BV,JB_B,2,JB_V,"Unmanned Maritime Platforms",JB_W,"",JB_RC,"ADD")+SUMIFS(JB_27BV,JB_B,3,JB_V,"Auxiliary Ships",JB_W,"",JB_RC,"ADD")+SUMIFS(JB_27BV,JB_B,3,JB_V,"Combatant Ships",JB_W,"",JB_RC,"ADD")+SUMIFS(JB_27BV,JB_B,3,JB_V,"Cutters",JB_W,"",JB_RC,"ADD")+SUMIFS(JB_27BV,JB_B,3,JB_V,"Unmanned Maritime Platforms",JB_W,"",JB_RC,"ADD")+SUMIFS(JB_27BV,JB_B,4,JB_V,"Auxiliary Ships",JB_W,"",JB_RC,"ADD")+SUMIFS(JB_27BV,JB_B,4,JB_V,"Combatant Ships",JB_W,"",JB_RC,"ADD")+SUMIFS(JB_27BV,JB_B,4,JB_V,"Cutters",JB_W,"",JB_RC,"ADD")+SUMIFS(JB_27BV,JB_B,4,JB_V,"Unmanned Maritime Platforms",JB_W,"",JB_RC,"ADD")+SUMIFS(JB_27BV,JB_B,5,JB_V,"Auxiliary Ships",JB_W,"",JB_RC,"ADD")+SUMIFS(JB_27BV,JB_B,5,JB_V,"Combatant Ships",JB_W,"",JB_RC,"ADD")+SUMIFS(JB_27BV,JB_B,5,JB_V,"Cutters",JB_W,"",JB_RC,"ADD")+SUMIFS(JB_27BV,JB_B,5,JB_V,"Unmanned Maritime Platforms",JB_W,"",JB_RC,"ADD")+SUMIFS(JB_27BV,JB_B,6,JB_V,"Auxiliary Ships",JB_W,"",JB_RC,"ADD")+SUMIFS(JB_27BV,JB_B,6,JB_V,"Combatant Ships",JB_W,"",JB_RC,"ADD")+SUMIFS(JB_27BV,JB_B,6,JB_V,"Cutters",JB_W,"",JB_RC,"ADD")+SUMIFS(JB_27BV,JB_B,6,JB_V,"Unmanned Maritime Platforms",JB_W,"",JB_RC,"ADD")+SUMIFS(JB_27BV,JB_B,7,JB_V,"Auxiliary Ships",JB_W,"",JB_RC,"ADD")+SUMIFS(JB_27BV,JB_B,7,JB_V,"Combatant Ships",JB_W,"",JB_RC,"ADD")+SUMIFS(JB_27BV,JB_B,7,JB_V,"Cutters",JB_W,"",JB_RC,"ADD")+SUMIFS(JB_27BV,JB_B,7,JB_V,"Unmanned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FY2027 ($K)</t>
        </is>
      </c>
      <c r="C15" s="29" t="inlineStr">
        <is>
          <t>% of TAM</t>
        </is>
      </c>
    </row>
    <row r="16" ht="10" customHeight="1">
      <c r="A16" s="30" t="inlineStr">
        <is>
          <t>Modernization</t>
        </is>
      </c>
      <c r="B16" s="31">
        <f>SUMIFS(JB_27BV,JB_B,4,JB_V,"Auxiliary Ships",JB_RC,"ADD")+SUMIFS(JB_27BV,JB_B,4,JB_V,"Combatant Ships",JB_RC,"ADD")+SUMIFS(JB_27BV,JB_B,4,JB_V,"Cutters",JB_RC,"ADD")+SUMIFS(JB_27BV,JB_B,4,JB_V,"Unmanned Maritime Platforms",JB_RC,"ADD")</f>
        <v/>
      </c>
      <c r="C16" s="37">
        <f>IFERROR(B16/B$20,0)</f>
        <v/>
      </c>
    </row>
    <row r="17" ht="10" customHeight="1">
      <c r="A17" s="30" t="inlineStr">
        <is>
          <t>Major Life-Cycle Events / RCOH</t>
        </is>
      </c>
      <c r="B17" s="31">
        <f>SUMIFS(JB_27BV,JB_B,5,JB_V,"Auxiliary Ships",JB_RC,"ADD")+SUMIFS(JB_27BV,JB_B,5,JB_V,"Combatant Ships",JB_RC,"ADD")+SUMIFS(JB_27BV,JB_B,5,JB_V,"Cutters",JB_RC,"ADD")+SUMIFS(JB_27BV,JB_B,5,JB_V,"Unmanned Maritime Platforms",JB_RC,"ADD")</f>
        <v/>
      </c>
      <c r="C17" s="37">
        <f>IFERROR(B17/B$20,0)</f>
        <v/>
      </c>
    </row>
    <row r="18" ht="10" customHeight="1">
      <c r="A18" s="30" t="inlineStr">
        <is>
          <t>Sustainment Engineering</t>
        </is>
      </c>
      <c r="B18" s="31">
        <f>SUMIFS(JB_27BV,JB_B,6,JB_V,"Auxiliary Ships",JB_RC,"ADD")+SUMIFS(JB_27BV,JB_B,6,JB_V,"Combatant Ships",JB_RC,"ADD")+SUMIFS(JB_27BV,JB_B,6,JB_V,"Cutters",JB_RC,"ADD")+SUMIFS(JB_27BV,JB_B,6,JB_V,"Unmanned Maritime Platforms",JB_RC,"ADD")</f>
        <v/>
      </c>
      <c r="C18" s="37">
        <f>IFERROR(B18/B$20,0)</f>
        <v/>
      </c>
    </row>
    <row r="19" ht="10" customHeight="1">
      <c r="A19" s="30" t="inlineStr">
        <is>
          <t>Availability Support</t>
        </is>
      </c>
      <c r="B19" s="31">
        <f>SUMIFS(JB_27BV,JB_B,7,JB_V,"Auxiliary Ships",JB_RC,"ADD")+SUMIFS(JB_27BV,JB_B,7,JB_V,"Combatant Ships",JB_RC,"ADD")+SUMIFS(JB_27BV,JB_B,7,JB_V,"Cutters",JB_RC,"ADD")+SUMIFS(JB_27BV,JB_B,7,JB_V,"Unmanned Maritime Platforms",JB_RC,"ADD")</f>
        <v/>
      </c>
      <c r="C19" s="37">
        <f>IFERROR(B19/B$20,0)</f>
        <v/>
      </c>
    </row>
    <row r="20" ht="10" customHeight="1">
      <c r="A20" s="32" t="inlineStr">
        <is>
          <t>MRO TAM</t>
        </is>
      </c>
      <c r="B20" s="33">
        <f>SUM(B16:B19)</f>
        <v/>
      </c>
      <c r="C20" s="38" t="n">
        <v>1</v>
      </c>
    </row>
    <row r="21" ht="10" customHeight="1"/>
    <row r="22" ht="10" customHeight="1"/>
    <row r="23" ht="10" customHeight="1">
      <c r="A23" s="27" t="inlineStr">
        <is>
          <t>(C) MRO TAM by Vessel Type</t>
        </is>
      </c>
      <c r="B23" s="28" t="n"/>
      <c r="C23" s="28" t="n"/>
      <c r="D23" s="28" t="n"/>
    </row>
    <row r="24" ht="10" customHeight="1">
      <c r="A24" s="29" t="inlineStr">
        <is>
          <t>Vessel Type</t>
        </is>
      </c>
      <c r="B24" s="29" t="inlineStr">
        <is>
          <t>Service</t>
        </is>
      </c>
      <c r="C24" s="29" t="inlineStr">
        <is>
          <t>FY2027 ($K)</t>
        </is>
      </c>
      <c r="D24" s="29" t="inlineStr">
        <is>
          <t>% of TAM</t>
        </is>
      </c>
    </row>
    <row r="25" ht="10" customHeight="1">
      <c r="A25" s="30" t="inlineStr">
        <is>
          <t>Submarines</t>
        </is>
      </c>
      <c r="B25" s="30" t="inlineStr">
        <is>
          <t>USN</t>
        </is>
      </c>
      <c r="C25" s="31">
        <f>SUMIFS(JB_27BV,JB_B,2,JB_W,"Submarines",JB_RC,"ADD")+SUMIFS(JB_27BV,JB_B,3,JB_W,"Submarines",JB_RC,"ADD")+SUMIFS(JB_27BV,JB_B,4,JB_W,"Submarines",JB_RC,"ADD")+SUMIFS(JB_27BV,JB_B,5,JB_W,"Submarines",JB_RC,"ADD")+SUMIFS(JB_27BV,JB_B,6,JB_W,"Submarines",JB_RC,"ADD")+SUMIFS(JB_27BV,JB_B,7,JB_W,"Submarines",JB_RC,"ADD")</f>
        <v/>
      </c>
      <c r="D25" s="37">
        <f>IFERROR(C25/C$53,0)</f>
        <v/>
      </c>
    </row>
    <row r="26" ht="10" customHeight="1">
      <c r="A26" s="30" t="inlineStr">
        <is>
          <t>Surface Combatants</t>
        </is>
      </c>
      <c r="B26" s="30" t="inlineStr">
        <is>
          <t>USN</t>
        </is>
      </c>
      <c r="C26"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6" s="37">
        <f>IFERROR(C26/C$53,0)</f>
        <v/>
      </c>
    </row>
    <row r="27" ht="10" customHeight="1">
      <c r="A27" s="30" t="inlineStr">
        <is>
          <t>Aircraft Carriers</t>
        </is>
      </c>
      <c r="B27" s="30" t="inlineStr">
        <is>
          <t>USN</t>
        </is>
      </c>
      <c r="C2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7" s="37">
        <f>IFERROR(C27/C$53,0)</f>
        <v/>
      </c>
    </row>
    <row r="28" ht="10" customHeight="1">
      <c r="A28" s="30" t="inlineStr">
        <is>
          <t>Amphibious Warfare Ships</t>
        </is>
      </c>
      <c r="B28" s="30" t="inlineStr">
        <is>
          <t>USN</t>
        </is>
      </c>
      <c r="C28"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8" s="37">
        <f>IFERROR(C28/C$53,0)</f>
        <v/>
      </c>
    </row>
    <row r="29" ht="10" customHeight="1">
      <c r="A29" s="30" t="inlineStr">
        <is>
          <t>Surveillance Ships</t>
        </is>
      </c>
      <c r="B29" s="30" t="inlineStr">
        <is>
          <t>USN</t>
        </is>
      </c>
      <c r="C29"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9" s="37">
        <f>IFERROR(C29/C$53,0)</f>
        <v/>
      </c>
    </row>
    <row r="30" ht="10" customHeight="1">
      <c r="A30" s="30" t="inlineStr">
        <is>
          <t>Expeditionary &amp; Seabasing Ships</t>
        </is>
      </c>
      <c r="B30" s="30" t="inlineStr">
        <is>
          <t>USN</t>
        </is>
      </c>
      <c r="C30"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30" s="37">
        <f>IFERROR(C30/C$53,0)</f>
        <v/>
      </c>
    </row>
    <row r="31" ht="10" customHeight="1">
      <c r="A31" s="30" t="inlineStr">
        <is>
          <t>Command Ships</t>
        </is>
      </c>
      <c r="B31" s="30" t="inlineStr">
        <is>
          <t>USN</t>
        </is>
      </c>
      <c r="C31" s="31">
        <f>SUMIFS(JB_27BV,JB_B,2,JB_W,"Command Ships",JB_RC,"ADD")+SUMIFS(JB_27BV,JB_B,3,JB_W,"Command Ships",JB_RC,"ADD")+SUMIFS(JB_27BV,JB_B,4,JB_W,"Command Ships",JB_RC,"ADD")+SUMIFS(JB_27BV,JB_B,5,JB_W,"Command Ships",JB_RC,"ADD")+SUMIFS(JB_27BV,JB_B,6,JB_W,"Command Ships",JB_RC,"ADD")+SUMIFS(JB_27BV,JB_B,7,JB_W,"Command Ships",JB_RC,"ADD")</f>
        <v/>
      </c>
      <c r="D31" s="37">
        <f>IFERROR(C31/C$53,0)</f>
        <v/>
      </c>
    </row>
    <row r="32" ht="10" customHeight="1">
      <c r="A32" s="30" t="inlineStr">
        <is>
          <t>Unmanned Surface Vehicles</t>
        </is>
      </c>
      <c r="B32" s="30" t="inlineStr">
        <is>
          <t>USN</t>
        </is>
      </c>
      <c r="C32"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32" s="37">
        <f>IFERROR(C32/C$53,0)</f>
        <v/>
      </c>
    </row>
    <row r="33" ht="10" customHeight="1">
      <c r="A33" s="30" t="inlineStr">
        <is>
          <t>Aviation Logistics Support Ship</t>
        </is>
      </c>
      <c r="B33" s="30" t="inlineStr">
        <is>
          <t>USN</t>
        </is>
      </c>
      <c r="C33"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33" s="37">
        <f>IFERROR(C33/C$53,0)</f>
        <v/>
      </c>
    </row>
    <row r="34" ht="10" customHeight="1">
      <c r="A34" s="30" t="inlineStr">
        <is>
          <t>Cargo &amp; Vehicle Cargo Ships</t>
        </is>
      </c>
      <c r="B34" s="30" t="inlineStr">
        <is>
          <t>USN</t>
        </is>
      </c>
      <c r="C34"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34" s="37">
        <f>IFERROR(C34/C$53,0)</f>
        <v/>
      </c>
    </row>
    <row r="35" ht="10" customHeight="1">
      <c r="A35" s="30" t="inlineStr">
        <is>
          <t>Research, Survey &amp; Instrumentation Ships</t>
        </is>
      </c>
      <c r="B35" s="30" t="inlineStr">
        <is>
          <t>MSC</t>
        </is>
      </c>
      <c r="C35"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35" s="37">
        <f>IFERROR(C35/C$53,0)</f>
        <v/>
      </c>
    </row>
    <row r="36" ht="10" customHeight="1">
      <c r="A36" s="30" t="inlineStr">
        <is>
          <t>High Speed Transport</t>
        </is>
      </c>
      <c r="B36" s="30" t="inlineStr">
        <is>
          <t>USN</t>
        </is>
      </c>
      <c r="C36"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36" s="37">
        <f>IFERROR(C36/C$53,0)</f>
        <v/>
      </c>
    </row>
    <row r="37" ht="10" customHeight="1">
      <c r="A37" s="30" t="inlineStr">
        <is>
          <t>Crane Ship</t>
        </is>
      </c>
      <c r="B37" s="30" t="inlineStr">
        <is>
          <t>USN</t>
        </is>
      </c>
      <c r="C37" s="31">
        <f>SUMIFS(JB_27BV,JB_B,2,JB_W,"Crane Ship",JB_RC,"ADD")+SUMIFS(JB_27BV,JB_B,3,JB_W,"Crane Ship",JB_RC,"ADD")+SUMIFS(JB_27BV,JB_B,4,JB_W,"Crane Ship",JB_RC,"ADD")+SUMIFS(JB_27BV,JB_B,5,JB_W,"Crane Ship",JB_RC,"ADD")+SUMIFS(JB_27BV,JB_B,6,JB_W,"Crane Ship",JB_RC,"ADD")+SUMIFS(JB_27BV,JB_B,7,JB_W,"Crane Ship",JB_RC,"ADD")</f>
        <v/>
      </c>
      <c r="D37" s="37">
        <f>IFERROR(C37/C$53,0)</f>
        <v/>
      </c>
    </row>
    <row r="38" ht="10" customHeight="1">
      <c r="A38" s="30" t="inlineStr">
        <is>
          <t>Submarine Escort Ship</t>
        </is>
      </c>
      <c r="B38" s="30" t="inlineStr">
        <is>
          <t>USN</t>
        </is>
      </c>
      <c r="C38"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38" s="37">
        <f>IFERROR(C38/C$53,0)</f>
        <v/>
      </c>
    </row>
    <row r="39" ht="10" customHeight="1">
      <c r="A39" s="30" t="inlineStr">
        <is>
          <t>Material Support Ships</t>
        </is>
      </c>
      <c r="B39" s="30" t="inlineStr">
        <is>
          <t>USN</t>
        </is>
      </c>
      <c r="C39"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39" s="37">
        <f>IFERROR(C39/C$53,0)</f>
        <v/>
      </c>
    </row>
    <row r="40" ht="10" customHeight="1">
      <c r="A40" s="30" t="inlineStr">
        <is>
          <t>Combat Logistics Ships</t>
        </is>
      </c>
      <c r="B40" s="30" t="inlineStr">
        <is>
          <t>MSC</t>
        </is>
      </c>
      <c r="C40"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40" s="37">
        <f>IFERROR(C40/C$53,0)</f>
        <v/>
      </c>
    </row>
    <row r="41" ht="10" customHeight="1">
      <c r="A41" s="30" t="inlineStr">
        <is>
          <t>Unmanned Undersea Vehicles</t>
        </is>
      </c>
      <c r="B41" s="30" t="inlineStr">
        <is>
          <t>USN</t>
        </is>
      </c>
      <c r="C41"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41" s="37">
        <f>IFERROR(C41/C$53,0)</f>
        <v/>
      </c>
    </row>
    <row r="42" ht="10" customHeight="1">
      <c r="A42" s="30" t="inlineStr">
        <is>
          <t>Mine Warfare</t>
        </is>
      </c>
      <c r="B42" s="30" t="inlineStr">
        <is>
          <t>USN</t>
        </is>
      </c>
      <c r="C42" s="31">
        <f>SUMIFS(JB_27BV,JB_B,2,JB_W,"Mine Warfare",JB_RC,"ADD")+SUMIFS(JB_27BV,JB_B,3,JB_W,"Mine Warfare",JB_RC,"ADD")+SUMIFS(JB_27BV,JB_B,4,JB_W,"Mine Warfare",JB_RC,"ADD")+SUMIFS(JB_27BV,JB_B,5,JB_W,"Mine Warfare",JB_RC,"ADD")+SUMIFS(JB_27BV,JB_B,6,JB_W,"Mine Warfare",JB_RC,"ADD")+SUMIFS(JB_27BV,JB_B,7,JB_W,"Mine Warfare",JB_RC,"ADD")</f>
        <v/>
      </c>
      <c r="D42" s="37">
        <f>IFERROR(C42/C$53,0)</f>
        <v/>
      </c>
    </row>
    <row r="43" ht="10" customHeight="1">
      <c r="A43" s="30" t="inlineStr">
        <is>
          <t>Salvage Ships &amp; Fleet Ocean Tugs</t>
        </is>
      </c>
      <c r="B43" s="30" t="inlineStr">
        <is>
          <t>MSC</t>
        </is>
      </c>
      <c r="C43"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43" s="37">
        <f>IFERROR(C43/C$53,0)</f>
        <v/>
      </c>
    </row>
    <row r="44" ht="10" customHeight="1">
      <c r="A44" s="30" t="inlineStr">
        <is>
          <t>General Auxiliary</t>
        </is>
      </c>
      <c r="B44" s="30" t="inlineStr">
        <is>
          <t>USN</t>
        </is>
      </c>
      <c r="C44"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44" s="37">
        <f>IFERROR(C44/C$53,0)</f>
        <v/>
      </c>
    </row>
    <row r="45" ht="10" customHeight="1">
      <c r="A45" s="30" t="inlineStr">
        <is>
          <t>Hospital Ship</t>
        </is>
      </c>
      <c r="B45" s="30" t="inlineStr">
        <is>
          <t>MSC</t>
        </is>
      </c>
      <c r="C45" s="31">
        <f>SUMIFS(JB_27BV,JB_B,2,JB_W,"Hospital Ship",JB_RC,"ADD")+SUMIFS(JB_27BV,JB_B,3,JB_W,"Hospital Ship",JB_RC,"ADD")+SUMIFS(JB_27BV,JB_B,4,JB_W,"Hospital Ship",JB_RC,"ADD")+SUMIFS(JB_27BV,JB_B,5,JB_W,"Hospital Ship",JB_RC,"ADD")+SUMIFS(JB_27BV,JB_B,6,JB_W,"Hospital Ship",JB_RC,"ADD")+SUMIFS(JB_27BV,JB_B,7,JB_W,"Hospital Ship",JB_RC,"ADD")</f>
        <v/>
      </c>
      <c r="D45" s="37">
        <f>IFERROR(C45/C$53,0)</f>
        <v/>
      </c>
    </row>
    <row r="46" ht="10" customHeight="1">
      <c r="A46" s="30" t="inlineStr">
        <is>
          <t>Coastal Buoy Tenders</t>
        </is>
      </c>
      <c r="B46" s="30" t="inlineStr">
        <is>
          <t>USCG</t>
        </is>
      </c>
      <c r="C46"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46" s="37">
        <f>IFERROR(C46/C$53,0)</f>
        <v/>
      </c>
    </row>
    <row r="47" ht="10" customHeight="1">
      <c r="A47" s="30" t="inlineStr">
        <is>
          <t>Icebreakers, Oceangoing</t>
        </is>
      </c>
      <c r="B47" s="30" t="inlineStr">
        <is>
          <t>USCG</t>
        </is>
      </c>
      <c r="C47"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47" s="37">
        <f>IFERROR(C47/C$53,0)</f>
        <v/>
      </c>
    </row>
    <row r="48" ht="10" customHeight="1">
      <c r="A48" s="30" t="inlineStr">
        <is>
          <t>National Security Cutters</t>
        </is>
      </c>
      <c r="B48" s="30" t="inlineStr">
        <is>
          <t>USCG</t>
        </is>
      </c>
      <c r="C48"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48" s="37">
        <f>IFERROR(C48/C$53,0)</f>
        <v/>
      </c>
    </row>
    <row r="49" ht="10" customHeight="1">
      <c r="A49" s="30" t="inlineStr">
        <is>
          <t>Fast Response Cutters</t>
        </is>
      </c>
      <c r="B49" s="30" t="inlineStr">
        <is>
          <t>USCG</t>
        </is>
      </c>
      <c r="C49"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49" s="37">
        <f>IFERROR(C49/C$53,0)</f>
        <v/>
      </c>
    </row>
    <row r="50" ht="10" customHeight="1">
      <c r="A50" s="30" t="inlineStr">
        <is>
          <t>Offshore Patrol Cutter</t>
        </is>
      </c>
      <c r="B50" s="30" t="inlineStr">
        <is>
          <t>USCG</t>
        </is>
      </c>
      <c r="C50"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50" s="37">
        <f>IFERROR(C50/C$53,0)</f>
        <v/>
      </c>
    </row>
    <row r="51" ht="10" customHeight="1">
      <c r="A51" s="30" t="inlineStr">
        <is>
          <t>Waterways Commerce Cutters</t>
        </is>
      </c>
      <c r="B51" s="30" t="inlineStr">
        <is>
          <t>USCG</t>
        </is>
      </c>
      <c r="C51"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51" s="37">
        <f>IFERROR(C51/C$53,0)</f>
        <v/>
      </c>
    </row>
    <row r="52" ht="10" customHeight="1">
      <c r="A52" s="30" t="inlineStr">
        <is>
          <t>Icebreakers, Great Lakes</t>
        </is>
      </c>
      <c r="B52" s="30" t="inlineStr">
        <is>
          <t>USCG</t>
        </is>
      </c>
      <c r="C52"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52" s="37">
        <f>IFERROR(C52/C$53,0)</f>
        <v/>
      </c>
    </row>
    <row r="53" ht="10" customHeight="1">
      <c r="A53" s="32" t="inlineStr">
        <is>
          <t>MRO TAM</t>
        </is>
      </c>
      <c r="B53" s="32" t="inlineStr"/>
      <c r="C53" s="33">
        <f>SUM(C25:C52)</f>
        <v/>
      </c>
      <c r="D53" s="38" t="n">
        <v>1</v>
      </c>
    </row>
    <row r="54" ht="10" customHeight="1"/>
    <row r="55" ht="10" customHeight="1"/>
    <row r="56" ht="10" customHeight="1">
      <c r="A56" s="27" t="inlineStr">
        <is>
          <t>(D) MRO TAM — Work Type by Vessel Type (Mekko)</t>
        </is>
      </c>
      <c r="B56" s="28" t="n"/>
      <c r="C56" s="28" t="n"/>
      <c r="D56" s="28" t="n"/>
      <c r="E56" s="28" t="n"/>
      <c r="F56" s="28" t="n"/>
      <c r="G56" s="28" t="n"/>
      <c r="H56" s="28" t="n"/>
      <c r="I56" s="28" t="n"/>
    </row>
    <row r="57" ht="10" customHeight="1">
      <c r="A57" s="39" t="n"/>
      <c r="B57" s="40" t="inlineStr">
        <is>
          <t>USN</t>
        </is>
      </c>
      <c r="C57" s="39" t="n"/>
      <c r="D57" s="39" t="n"/>
      <c r="E57" s="39" t="n"/>
      <c r="F57" s="39" t="n"/>
      <c r="G57" s="39" t="n"/>
      <c r="H57" s="39" t="n"/>
      <c r="I57" s="41" t="n"/>
    </row>
    <row r="58" ht="10" customHeight="1">
      <c r="A58" s="29" t="inlineStr">
        <is>
          <t>Work Type</t>
        </is>
      </c>
      <c r="B58" s="42" t="inlineStr">
        <is>
          <t>Submarines</t>
        </is>
      </c>
      <c r="C58" s="29" t="inlineStr">
        <is>
          <t>Surface Combatants</t>
        </is>
      </c>
      <c r="D58" s="29" t="inlineStr">
        <is>
          <t>Aircraft Carriers</t>
        </is>
      </c>
      <c r="E58" s="29" t="inlineStr">
        <is>
          <t>Amphibious Warfare Ships</t>
        </is>
      </c>
      <c r="F58" s="29" t="inlineStr">
        <is>
          <t>Surveillance Ships</t>
        </is>
      </c>
      <c r="G58" s="29" t="inlineStr">
        <is>
          <t>Expeditionary &amp; Seabasing Ships</t>
        </is>
      </c>
      <c r="H58" s="29" t="inlineStr">
        <is>
          <t>Command Ships</t>
        </is>
      </c>
      <c r="I58" s="42" t="inlineStr">
        <is>
          <t>Total</t>
        </is>
      </c>
    </row>
    <row r="59" ht="10" customHeight="1">
      <c r="A59" s="30" t="inlineStr">
        <is>
          <t>Modernization</t>
        </is>
      </c>
      <c r="B59" s="43">
        <f>IFERROR((SUMIFS(JB_27BV,JB_B,4,JB_W,"Submarines",JB_RC,"ADD"))/B$63,0)</f>
        <v/>
      </c>
      <c r="C59" s="37">
        <f>IFERROR((SUMIFS(JB_27BV,JB_B,4,JB_W,"Surface Combatants",JB_RC,"ADD"))/C$63,0)</f>
        <v/>
      </c>
      <c r="D59" s="37">
        <f>IFERROR((SUMIFS(JB_27BV,JB_B,4,JB_W,"Aircraft Carriers",JB_RC,"ADD"))/D$63,0)</f>
        <v/>
      </c>
      <c r="E59" s="37">
        <f>IFERROR((SUMIFS(JB_27BV,JB_B,4,JB_W,"Amphibious Warfare Ships",JB_RC,"ADD"))/E$63,0)</f>
        <v/>
      </c>
      <c r="F59" s="37">
        <f>IFERROR((SUMIFS(JB_27BV,JB_B,4,JB_W,"Surveillance Ships",JB_RC,"ADD"))/F$63,0)</f>
        <v/>
      </c>
      <c r="G59" s="37">
        <f>IFERROR((SUMIFS(JB_27BV,JB_B,4,JB_W,"Expeditionary &amp; Seabasing Ships",JB_RC,"ADD"))/G$63,0)</f>
        <v/>
      </c>
      <c r="H59" s="37">
        <f>IFERROR((SUMIFS(JB_27BV,JB_B,4,JB_W,"Command Ships",JB_RC,"ADD"))/H$63,0)</f>
        <v/>
      </c>
      <c r="I59" s="43">
        <f>IFERROR((SUMIFS(JB_27BV,JB_B,4,JB_V,"Auxiliary Ships",JB_RC,"ADD")+SUMIFS(JB_27BV,JB_B,4,JB_V,"Combatant Ships",JB_RC,"ADD")+SUMIFS(JB_27BV,JB_B,4,JB_V,"Cutters",JB_RC,"ADD")+SUMIFS(JB_27BV,JB_B,4,JB_V,"Unmanned Maritime Platforms",JB_RC,"ADD"))/I$63,0)</f>
        <v/>
      </c>
    </row>
    <row r="60" ht="10" customHeight="1">
      <c r="A60" s="30" t="inlineStr">
        <is>
          <t>Major Life-Cycle Events / RCOH</t>
        </is>
      </c>
      <c r="B60" s="43">
        <f>IFERROR((SUMIFS(JB_27BV,JB_B,5,JB_W,"Submarines",JB_RC,"ADD"))/B$63,0)</f>
        <v/>
      </c>
      <c r="C60" s="37">
        <f>IFERROR((SUMIFS(JB_27BV,JB_B,5,JB_W,"Surface Combatants",JB_RC,"ADD"))/C$63,0)</f>
        <v/>
      </c>
      <c r="D60" s="37">
        <f>IFERROR((SUMIFS(JB_27BV,JB_B,5,JB_W,"Aircraft Carriers",JB_RC,"ADD"))/D$63,0)</f>
        <v/>
      </c>
      <c r="E60" s="37">
        <f>IFERROR((SUMIFS(JB_27BV,JB_B,5,JB_W,"Amphibious Warfare Ships",JB_RC,"ADD"))/E$63,0)</f>
        <v/>
      </c>
      <c r="F60" s="37">
        <f>IFERROR((SUMIFS(JB_27BV,JB_B,5,JB_W,"Surveillance Ships",JB_RC,"ADD"))/F$63,0)</f>
        <v/>
      </c>
      <c r="G60" s="37">
        <f>IFERROR((SUMIFS(JB_27BV,JB_B,5,JB_W,"Expeditionary &amp; Seabasing Ships",JB_RC,"ADD"))/G$63,0)</f>
        <v/>
      </c>
      <c r="H60" s="37">
        <f>IFERROR((SUMIFS(JB_27BV,JB_B,5,JB_W,"Command Ships",JB_RC,"ADD"))/H$63,0)</f>
        <v/>
      </c>
      <c r="I60" s="43">
        <f>IFERROR((SUMIFS(JB_27BV,JB_B,5,JB_V,"Auxiliary Ships",JB_RC,"ADD")+SUMIFS(JB_27BV,JB_B,5,JB_V,"Combatant Ships",JB_RC,"ADD")+SUMIFS(JB_27BV,JB_B,5,JB_V,"Cutters",JB_RC,"ADD")+SUMIFS(JB_27BV,JB_B,5,JB_V,"Unmanned Maritime Platforms",JB_RC,"ADD"))/I$63,0)</f>
        <v/>
      </c>
    </row>
    <row r="61" ht="10" customHeight="1">
      <c r="A61" s="30" t="inlineStr">
        <is>
          <t>Sustainment Engineering</t>
        </is>
      </c>
      <c r="B61" s="43">
        <f>IFERROR((SUMIFS(JB_27BV,JB_B,6,JB_W,"Submarines",JB_RC,"ADD"))/B$63,0)</f>
        <v/>
      </c>
      <c r="C61" s="37">
        <f>IFERROR((SUMIFS(JB_27BV,JB_B,6,JB_W,"Surface Combatants",JB_RC,"ADD"))/C$63,0)</f>
        <v/>
      </c>
      <c r="D61" s="37">
        <f>IFERROR((SUMIFS(JB_27BV,JB_B,6,JB_W,"Aircraft Carriers",JB_RC,"ADD"))/D$63,0)</f>
        <v/>
      </c>
      <c r="E61" s="37">
        <f>IFERROR((SUMIFS(JB_27BV,JB_B,6,JB_W,"Amphibious Warfare Ships",JB_RC,"ADD"))/E$63,0)</f>
        <v/>
      </c>
      <c r="F61" s="37">
        <f>IFERROR((SUMIFS(JB_27BV,JB_B,6,JB_W,"Surveillance Ships",JB_RC,"ADD"))/F$63,0)</f>
        <v/>
      </c>
      <c r="G61" s="37">
        <f>IFERROR((SUMIFS(JB_27BV,JB_B,6,JB_W,"Expeditionary &amp; Seabasing Ships",JB_RC,"ADD"))/G$63,0)</f>
        <v/>
      </c>
      <c r="H61" s="37">
        <f>IFERROR((SUMIFS(JB_27BV,JB_B,6,JB_W,"Command Ships",JB_RC,"ADD"))/H$63,0)</f>
        <v/>
      </c>
      <c r="I61" s="43">
        <f>IFERROR((SUMIFS(JB_27BV,JB_B,6,JB_V,"Auxiliary Ships",JB_RC,"ADD")+SUMIFS(JB_27BV,JB_B,6,JB_V,"Combatant Ships",JB_RC,"ADD")+SUMIFS(JB_27BV,JB_B,6,JB_V,"Cutters",JB_RC,"ADD")+SUMIFS(JB_27BV,JB_B,6,JB_V,"Unmanned Maritime Platforms",JB_RC,"ADD"))/I$63,0)</f>
        <v/>
      </c>
    </row>
    <row r="62" ht="10" customHeight="1">
      <c r="A62" s="30" t="inlineStr">
        <is>
          <t>Availability Support</t>
        </is>
      </c>
      <c r="B62" s="43">
        <f>IFERROR((SUMIFS(JB_27BV,JB_B,7,JB_W,"Submarines",JB_RC,"ADD"))/B$63,0)</f>
        <v/>
      </c>
      <c r="C62" s="37">
        <f>IFERROR((SUMIFS(JB_27BV,JB_B,7,JB_W,"Surface Combatants",JB_RC,"ADD"))/C$63,0)</f>
        <v/>
      </c>
      <c r="D62" s="37">
        <f>IFERROR((SUMIFS(JB_27BV,JB_B,7,JB_W,"Aircraft Carriers",JB_RC,"ADD"))/D$63,0)</f>
        <v/>
      </c>
      <c r="E62" s="37">
        <f>IFERROR((SUMIFS(JB_27BV,JB_B,7,JB_W,"Amphibious Warfare Ships",JB_RC,"ADD"))/E$63,0)</f>
        <v/>
      </c>
      <c r="F62" s="37">
        <f>IFERROR((SUMIFS(JB_27BV,JB_B,7,JB_W,"Surveillance Ships",JB_RC,"ADD"))/F$63,0)</f>
        <v/>
      </c>
      <c r="G62" s="37">
        <f>IFERROR((SUMIFS(JB_27BV,JB_B,7,JB_W,"Expeditionary &amp; Seabasing Ships",JB_RC,"ADD"))/G$63,0)</f>
        <v/>
      </c>
      <c r="H62" s="37">
        <f>IFERROR((SUMIFS(JB_27BV,JB_B,7,JB_W,"Command Ships",JB_RC,"ADD"))/H$63,0)</f>
        <v/>
      </c>
      <c r="I62" s="43">
        <f>IFERROR((SUMIFS(JB_27BV,JB_B,7,JB_V,"Auxiliary Ships",JB_RC,"ADD")+SUMIFS(JB_27BV,JB_B,7,JB_V,"Combatant Ships",JB_RC,"ADD")+SUMIFS(JB_27BV,JB_B,7,JB_V,"Cutters",JB_RC,"ADD")+SUMIFS(JB_27BV,JB_B,7,JB_V,"Unmanned Maritime Platforms",JB_RC,"ADD"))/I$63,0)</f>
        <v/>
      </c>
    </row>
    <row r="63" ht="10" customHeight="1">
      <c r="A63" s="32" t="inlineStr">
        <is>
          <t>Total ($K)</t>
        </is>
      </c>
      <c r="B63" s="44">
        <f>SUMIFS(JB_27BV,JB_B,2,JB_W,"Submarines",JB_RC,"ADD")+SUMIFS(JB_27BV,JB_B,3,JB_W,"Submarines",JB_RC,"ADD")+SUMIFS(JB_27BV,JB_B,4,JB_W,"Submarines",JB_RC,"ADD")+SUMIFS(JB_27BV,JB_B,5,JB_W,"Submarines",JB_RC,"ADD")+SUMIFS(JB_27BV,JB_B,6,JB_W,"Submarines",JB_RC,"ADD")+SUMIFS(JB_27BV,JB_B,7,JB_W,"Submarines",JB_RC,"ADD")</f>
        <v/>
      </c>
      <c r="C63"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3"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3"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3"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3"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3" s="33">
        <f>SUMIFS(JB_27BV,JB_B,2,JB_W,"Command Ships",JB_RC,"ADD")+SUMIFS(JB_27BV,JB_B,3,JB_W,"Command Ships",JB_RC,"ADD")+SUMIFS(JB_27BV,JB_B,4,JB_W,"Command Ships",JB_RC,"ADD")+SUMIFS(JB_27BV,JB_B,5,JB_W,"Command Ships",JB_RC,"ADD")+SUMIFS(JB_27BV,JB_B,6,JB_W,"Command Ships",JB_RC,"ADD")+SUMIFS(JB_27BV,JB_B,7,JB_W,"Command Ships",JB_RC,"ADD")</f>
        <v/>
      </c>
      <c r="I63" s="44">
        <f>SUM(B63:H63)</f>
        <v/>
      </c>
    </row>
  </sheetData>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A1:I7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ht="10" customHeight="1">
      <c r="A1" s="24" t="inlineStr">
        <is>
          <t>MRO SAM — FY2027 ($K)</t>
        </is>
      </c>
      <c r="B1" s="25" t="n"/>
      <c r="C1" s="25" t="n"/>
      <c r="D1" s="25" t="n"/>
      <c r="E1" s="25" t="n"/>
      <c r="F1" s="25" t="n"/>
      <c r="G1" s="25" t="n"/>
      <c r="H1" s="25" t="n"/>
      <c r="I1" s="25" t="n"/>
    </row>
    <row r="2" ht="10" customHeight="1">
      <c r="A2" s="26" t="inlineStr">
        <is>
          <t>Outsourceable MRO sized at hull-program level. Starts from MRO TAM, excludes single-yard/nuclear programs (Submarines, Aircraft Carriers, UUVs), then narrows work types to scheduled depot maintenance (Bucket 2) and modernization/alteration installation (Bucket 4) — the categories where a company could compete for repair or upgrade work.</t>
        </is>
      </c>
    </row>
    <row r="3" ht="10" customHeight="1"/>
    <row r="4" ht="10" customHeight="1">
      <c r="A4" s="27" t="inlineStr">
        <is>
          <t>(A) Bridge: MRO TAM → MRO SAM</t>
        </is>
      </c>
      <c r="B4" s="28" t="n"/>
    </row>
    <row r="5" ht="10" customHeight="1">
      <c r="A5" s="30" t="inlineStr">
        <is>
          <t>MRO TAM</t>
        </is>
      </c>
      <c r="B5" s="49">
        <f>'FY27 MRO TAM'!B20</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 (Buckets 3, 5, 6, 7)</t>
        </is>
      </c>
      <c r="B9" s="31">
        <f>-(B5+B6+B7+B8-B10)</f>
        <v/>
      </c>
    </row>
    <row r="10" ht="10" customHeight="1">
      <c r="A10" s="32" t="inlineStr">
        <is>
          <t>MRO SAM</t>
        </is>
      </c>
      <c r="B10" s="33">
        <f>SUMIFS(JB_27BV,JB_B,2,JB_V,"Auxiliary Ships",JB_RC,"ADD")+SUMIFS(JB_27BV,JB_B,2,JB_V,"Combatant Ships",JB_RC,"ADD")+SUMIFS(JB_27BV,JB_B,2,JB_V,"Cutters",JB_RC,"ADD")+SUMIFS(JB_27BV,JB_B,2,JB_V,"Unmanned Maritime Platforms",JB_RC,"ADD")+SUMIFS(JB_27BV,JB_B,4,JB_V,"Auxiliary Ships",JB_RC,"ADD")+SUMIFS(JB_27BV,JB_B,4,JB_V,"Combatant Ships",JB_RC,"ADD")+SUMIFS(JB_27BV,JB_B,4,JB_V,"Cutters",JB_RC,"ADD")+SUMIFS(JB_27BV,JB_B,4,JB_V,"Unmanned Maritime Platforms",JB_RC,"ADD")-(SUMIFS(JB_27BV,JB_B,2,JB_W,"Submarines",JB_RC,"ADD"))+-(SUMIFS(JB_27BV,JB_B,2,JB_W,"Aircraft Carriers",JB_RC,"ADD"))+-(SUMIFS(JB_27BV,JB_B,2,JB_W,"Unmanned Undersea Vehicles",JB_RC,"ADD"))+-(SUMIFS(JB_27BV,JB_B,4,JB_W,"Submarines",JB_RC,"ADD"))+-(SUMIFS(JB_27BV,JB_B,4,JB_W,"Aircraft Carriers",JB_RC,"ADD"))+-(SUMIFS(JB_27BV,JB_B,4,JB_W,"Unmanned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SUMIFS(JB_27BV,JB_B,2,JB_W,"Surface Combatants",JB_RC,"ADD")</f>
        <v/>
      </c>
      <c r="D15" s="31">
        <f>SUMIFS(JB_27BV,JB_B,4,JB_W,"Surface Combatants",JB_RC,"ADD")</f>
        <v/>
      </c>
      <c r="E15" s="31">
        <f>C15+D15</f>
        <v/>
      </c>
      <c r="F15" s="37">
        <f>IFERROR(E15/E$40,0)</f>
        <v/>
      </c>
    </row>
    <row r="16" ht="10" customHeight="1">
      <c r="A16" s="30" t="inlineStr">
        <is>
          <t>Amphibious Warfare Ships</t>
        </is>
      </c>
      <c r="B16" s="30" t="inlineStr">
        <is>
          <t>USN</t>
        </is>
      </c>
      <c r="C16" s="31">
        <f>SUMIFS(JB_27BV,JB_B,2,JB_W,"Amphibious Warfare Ships",JB_RC,"ADD")</f>
        <v/>
      </c>
      <c r="D16" s="31">
        <f>SUMIFS(JB_27BV,JB_B,4,JB_W,"Amphibious Warfare Ships",JB_RC,"ADD")</f>
        <v/>
      </c>
      <c r="E16" s="31">
        <f>C16+D16</f>
        <v/>
      </c>
      <c r="F16" s="37">
        <f>IFERROR(E16/E$40,0)</f>
        <v/>
      </c>
    </row>
    <row r="17" ht="10" customHeight="1">
      <c r="A17" s="30" t="inlineStr">
        <is>
          <t>Surveillance Ships</t>
        </is>
      </c>
      <c r="B17" s="30" t="inlineStr">
        <is>
          <t>USN</t>
        </is>
      </c>
      <c r="C17" s="31">
        <f>SUMIFS(JB_27BV,JB_B,2,JB_W,"Surveillance Ships",JB_RC,"ADD")</f>
        <v/>
      </c>
      <c r="D17" s="31">
        <f>SUMIFS(JB_27BV,JB_B,4,JB_W,"Surveillance Ships",JB_RC,"ADD")</f>
        <v/>
      </c>
      <c r="E17" s="31">
        <f>C17+D17</f>
        <v/>
      </c>
      <c r="F17" s="37">
        <f>IFERROR(E17/E$40,0)</f>
        <v/>
      </c>
    </row>
    <row r="18" ht="10" customHeight="1">
      <c r="A18" s="30" t="inlineStr">
        <is>
          <t>Unmanned Surface Vehicles</t>
        </is>
      </c>
      <c r="B18" s="30" t="inlineStr">
        <is>
          <t>USN</t>
        </is>
      </c>
      <c r="C18" s="31">
        <f>SUMIFS(JB_27BV,JB_B,2,JB_W,"Unmanned Surface Vehicles",JB_RC,"ADD")</f>
        <v/>
      </c>
      <c r="D18" s="31">
        <f>SUMIFS(JB_27BV,JB_B,4,JB_W,"Unmanned Surface Vehicles",JB_RC,"ADD")</f>
        <v/>
      </c>
      <c r="E18" s="31">
        <f>C18+D18</f>
        <v/>
      </c>
      <c r="F18" s="37">
        <f>IFERROR(E18/E$40,0)</f>
        <v/>
      </c>
    </row>
    <row r="19" ht="10" customHeight="1">
      <c r="A19" s="30" t="inlineStr">
        <is>
          <t>Aviation Logistics Support Ship</t>
        </is>
      </c>
      <c r="B19" s="30" t="inlineStr">
        <is>
          <t>USN</t>
        </is>
      </c>
      <c r="C19" s="31">
        <f>SUMIFS(JB_27BV,JB_B,2,JB_W,"Aviation Logistics Support Ship",JB_RC,"ADD")</f>
        <v/>
      </c>
      <c r="D19" s="31">
        <f>SUMIFS(JB_27BV,JB_B,4,JB_W,"Aviation Logistics Support Ship",JB_RC,"ADD")</f>
        <v/>
      </c>
      <c r="E19" s="31">
        <f>C19+D19</f>
        <v/>
      </c>
      <c r="F19" s="37">
        <f>IFERROR(E19/E$40,0)</f>
        <v/>
      </c>
    </row>
    <row r="20" ht="10" customHeight="1">
      <c r="A20" s="30" t="inlineStr">
        <is>
          <t>Cargo &amp; Vehicle Cargo Ships</t>
        </is>
      </c>
      <c r="B20" s="30" t="inlineStr">
        <is>
          <t>USN</t>
        </is>
      </c>
      <c r="C20" s="31">
        <f>SUMIFS(JB_27BV,JB_B,2,JB_W,"Cargo &amp; Vehicle Cargo Ships",JB_RC,"ADD")</f>
        <v/>
      </c>
      <c r="D20" s="31">
        <f>SUMIFS(JB_27BV,JB_B,4,JB_W,"Cargo &amp; Vehicle Cargo Ships",JB_RC,"ADD")</f>
        <v/>
      </c>
      <c r="E20" s="31">
        <f>C20+D20</f>
        <v/>
      </c>
      <c r="F20" s="37">
        <f>IFERROR(E20/E$40,0)</f>
        <v/>
      </c>
    </row>
    <row r="21" ht="10" customHeight="1">
      <c r="A21" s="30" t="inlineStr">
        <is>
          <t>Research, Survey &amp; Instrumentation Ships</t>
        </is>
      </c>
      <c r="B21" s="30" t="inlineStr">
        <is>
          <t>MSC</t>
        </is>
      </c>
      <c r="C21" s="31">
        <f>SUMIFS(JB_27BV,JB_B,2,JB_W,"Research, Survey &amp; Instrumentation Ships",JB_RC,"ADD")</f>
        <v/>
      </c>
      <c r="D21" s="31">
        <f>SUMIFS(JB_27BV,JB_B,4,JB_W,"Research, Survey &amp; Instrumentation Ships",JB_RC,"ADD")</f>
        <v/>
      </c>
      <c r="E21" s="31">
        <f>C21+D21</f>
        <v/>
      </c>
      <c r="F21" s="37">
        <f>IFERROR(E21/E$40,0)</f>
        <v/>
      </c>
    </row>
    <row r="22" ht="10" customHeight="1">
      <c r="A22" s="30" t="inlineStr">
        <is>
          <t>Command Ships</t>
        </is>
      </c>
      <c r="B22" s="30" t="inlineStr">
        <is>
          <t>USN</t>
        </is>
      </c>
      <c r="C22" s="31">
        <f>SUMIFS(JB_27BV,JB_B,2,JB_W,"Command Ships",JB_RC,"ADD")</f>
        <v/>
      </c>
      <c r="D22" s="31">
        <f>SUMIFS(JB_27BV,JB_B,4,JB_W,"Command Ships",JB_RC,"ADD")</f>
        <v/>
      </c>
      <c r="E22" s="31">
        <f>C22+D22</f>
        <v/>
      </c>
      <c r="F22" s="37">
        <f>IFERROR(E22/E$40,0)</f>
        <v/>
      </c>
    </row>
    <row r="23" ht="10" customHeight="1">
      <c r="A23" s="30" t="inlineStr">
        <is>
          <t>High Speed Transport</t>
        </is>
      </c>
      <c r="B23" s="30" t="inlineStr">
        <is>
          <t>USN</t>
        </is>
      </c>
      <c r="C23" s="31">
        <f>SUMIFS(JB_27BV,JB_B,2,JB_W,"High Speed Transport",JB_RC,"ADD")</f>
        <v/>
      </c>
      <c r="D23" s="31">
        <f>SUMIFS(JB_27BV,JB_B,4,JB_W,"High Speed Transport",JB_RC,"ADD")</f>
        <v/>
      </c>
      <c r="E23" s="31">
        <f>C23+D23</f>
        <v/>
      </c>
      <c r="F23" s="37">
        <f>IFERROR(E23/E$40,0)</f>
        <v/>
      </c>
    </row>
    <row r="24" ht="10" customHeight="1">
      <c r="A24" s="30" t="inlineStr">
        <is>
          <t>Mine Warfare</t>
        </is>
      </c>
      <c r="B24" s="30" t="inlineStr">
        <is>
          <t>USN</t>
        </is>
      </c>
      <c r="C24" s="31">
        <f>SUMIFS(JB_27BV,JB_B,2,JB_W,"Mine Warfare",JB_RC,"ADD")</f>
        <v/>
      </c>
      <c r="D24" s="31">
        <f>SUMIFS(JB_27BV,JB_B,4,JB_W,"Mine Warfare",JB_RC,"ADD")</f>
        <v/>
      </c>
      <c r="E24" s="31">
        <f>C24+D24</f>
        <v/>
      </c>
      <c r="F24" s="37">
        <f>IFERROR(E24/E$40,0)</f>
        <v/>
      </c>
    </row>
    <row r="25" ht="10" customHeight="1">
      <c r="A25" s="30" t="inlineStr">
        <is>
          <t>Salvage Ships &amp; Fleet Ocean Tugs</t>
        </is>
      </c>
      <c r="B25" s="30" t="inlineStr">
        <is>
          <t>MSC</t>
        </is>
      </c>
      <c r="C25" s="31">
        <f>SUMIFS(JB_27BV,JB_B,2,JB_W,"Salvage Ships &amp; Fleet Ocean Tugs",JB_RC,"ADD")</f>
        <v/>
      </c>
      <c r="D25" s="31">
        <f>SUMIFS(JB_27BV,JB_B,4,JB_W,"Salvage Ships &amp; Fleet Ocean Tugs",JB_RC,"ADD")</f>
        <v/>
      </c>
      <c r="E25" s="31">
        <f>C25+D25</f>
        <v/>
      </c>
      <c r="F25" s="37">
        <f>IFERROR(E25/E$40,0)</f>
        <v/>
      </c>
    </row>
    <row r="26" ht="10" customHeight="1">
      <c r="A26" s="30" t="inlineStr">
        <is>
          <t>Crane Ship</t>
        </is>
      </c>
      <c r="B26" s="30" t="inlineStr">
        <is>
          <t>USN</t>
        </is>
      </c>
      <c r="C26" s="31">
        <f>SUMIFS(JB_27BV,JB_B,2,JB_W,"Crane Ship",JB_RC,"ADD")</f>
        <v/>
      </c>
      <c r="D26" s="31">
        <f>SUMIFS(JB_27BV,JB_B,4,JB_W,"Crane Ship",JB_RC,"ADD")</f>
        <v/>
      </c>
      <c r="E26" s="31">
        <f>C26+D26</f>
        <v/>
      </c>
      <c r="F26" s="37">
        <f>IFERROR(E26/E$40,0)</f>
        <v/>
      </c>
    </row>
    <row r="27" ht="10" customHeight="1">
      <c r="A27" s="30" t="inlineStr">
        <is>
          <t>Submarine Escort Ship</t>
        </is>
      </c>
      <c r="B27" s="30" t="inlineStr">
        <is>
          <t>USN</t>
        </is>
      </c>
      <c r="C27" s="31">
        <f>SUMIFS(JB_27BV,JB_B,2,JB_W,"Submarine Escort Ship",JB_RC,"ADD")</f>
        <v/>
      </c>
      <c r="D27" s="31">
        <f>SUMIFS(JB_27BV,JB_B,4,JB_W,"Submarine Escort Ship",JB_RC,"ADD")</f>
        <v/>
      </c>
      <c r="E27" s="31">
        <f>C27+D27</f>
        <v/>
      </c>
      <c r="F27" s="37">
        <f>IFERROR(E27/E$40,0)</f>
        <v/>
      </c>
    </row>
    <row r="28" ht="10" customHeight="1">
      <c r="A28" s="30" t="inlineStr">
        <is>
          <t>Material Support Ships</t>
        </is>
      </c>
      <c r="B28" s="30" t="inlineStr">
        <is>
          <t>USN</t>
        </is>
      </c>
      <c r="C28" s="31">
        <f>SUMIFS(JB_27BV,JB_B,2,JB_W,"Material Support Ships",JB_RC,"ADD")</f>
        <v/>
      </c>
      <c r="D28" s="31">
        <f>SUMIFS(JB_27BV,JB_B,4,JB_W,"Material Support Ships",JB_RC,"ADD")</f>
        <v/>
      </c>
      <c r="E28" s="31">
        <f>C28+D28</f>
        <v/>
      </c>
      <c r="F28" s="37">
        <f>IFERROR(E28/E$40,0)</f>
        <v/>
      </c>
    </row>
    <row r="29" ht="10" customHeight="1">
      <c r="A29" s="30" t="inlineStr">
        <is>
          <t>General Auxiliary</t>
        </is>
      </c>
      <c r="B29" s="30" t="inlineStr">
        <is>
          <t>USN</t>
        </is>
      </c>
      <c r="C29" s="31">
        <f>SUMIFS(JB_27BV,JB_B,2,JB_W,"General Auxiliary",JB_RC,"ADD")</f>
        <v/>
      </c>
      <c r="D29" s="31">
        <f>SUMIFS(JB_27BV,JB_B,4,JB_W,"General Auxiliary",JB_RC,"ADD")</f>
        <v/>
      </c>
      <c r="E29" s="31">
        <f>C29+D29</f>
        <v/>
      </c>
      <c r="F29" s="37">
        <f>IFERROR(E29/E$40,0)</f>
        <v/>
      </c>
    </row>
    <row r="30" ht="10" customHeight="1">
      <c r="A30" s="30" t="inlineStr">
        <is>
          <t>Hospital Ship</t>
        </is>
      </c>
      <c r="B30" s="30" t="inlineStr">
        <is>
          <t>MSC</t>
        </is>
      </c>
      <c r="C30" s="31">
        <f>SUMIFS(JB_27BV,JB_B,2,JB_W,"Hospital Ship",JB_RC,"ADD")</f>
        <v/>
      </c>
      <c r="D30" s="31">
        <f>SUMIFS(JB_27BV,JB_B,4,JB_W,"Hospital Ship",JB_RC,"ADD")</f>
        <v/>
      </c>
      <c r="E30" s="31">
        <f>C30+D30</f>
        <v/>
      </c>
      <c r="F30" s="37">
        <f>IFERROR(E30/E$40,0)</f>
        <v/>
      </c>
    </row>
    <row r="31" ht="10" customHeight="1">
      <c r="A31" s="30" t="inlineStr">
        <is>
          <t>Expeditionary &amp; Seabasing Ships</t>
        </is>
      </c>
      <c r="B31" s="30" t="inlineStr">
        <is>
          <t>USN</t>
        </is>
      </c>
      <c r="C31" s="31">
        <f>SUMIFS(JB_27BV,JB_B,2,JB_W,"Expeditionary &amp; Seabasing Ships",JB_RC,"ADD")</f>
        <v/>
      </c>
      <c r="D31" s="31">
        <f>SUMIFS(JB_27BV,JB_B,4,JB_W,"Expeditionary &amp; Seabasing Ships",JB_RC,"ADD")</f>
        <v/>
      </c>
      <c r="E31" s="31">
        <f>C31+D31</f>
        <v/>
      </c>
      <c r="F31" s="37">
        <f>IFERROR(E31/E$40,0)</f>
        <v/>
      </c>
    </row>
    <row r="32" ht="10" customHeight="1">
      <c r="A32" s="30" t="inlineStr">
        <is>
          <t>Combat Logistics Ships</t>
        </is>
      </c>
      <c r="B32" s="30" t="inlineStr">
        <is>
          <t>MSC</t>
        </is>
      </c>
      <c r="C32" s="31">
        <f>SUMIFS(JB_27BV,JB_B,2,JB_W,"Combat Logistics Ships",JB_RC,"ADD")</f>
        <v/>
      </c>
      <c r="D32" s="31">
        <f>SUMIFS(JB_27BV,JB_B,4,JB_W,"Combat Logistics Ships",JB_RC,"ADD")</f>
        <v/>
      </c>
      <c r="E32" s="31">
        <f>C32+D32</f>
        <v/>
      </c>
      <c r="F32" s="37">
        <f>IFERROR(E32/E$40,0)</f>
        <v/>
      </c>
    </row>
    <row r="33" ht="10" customHeight="1">
      <c r="A33" s="30" t="inlineStr">
        <is>
          <t>Fast Response Cutters</t>
        </is>
      </c>
      <c r="B33" s="30" t="inlineStr">
        <is>
          <t>USCG</t>
        </is>
      </c>
      <c r="C33" s="31">
        <f>SUMIFS(JB_27BV,JB_B,2,JB_W,"Fast Response Cutters",JB_RC,"ADD")</f>
        <v/>
      </c>
      <c r="D33" s="31">
        <f>SUMIFS(JB_27BV,JB_B,4,JB_W,"Fast Response Cutters",JB_RC,"ADD")</f>
        <v/>
      </c>
      <c r="E33" s="31">
        <f>C33+D33</f>
        <v/>
      </c>
      <c r="F33" s="37">
        <f>IFERROR(E33/E$40,0)</f>
        <v/>
      </c>
    </row>
    <row r="34" ht="10" customHeight="1">
      <c r="A34" s="30" t="inlineStr">
        <is>
          <t>National Security Cutters</t>
        </is>
      </c>
      <c r="B34" s="30" t="inlineStr">
        <is>
          <t>USCG</t>
        </is>
      </c>
      <c r="C34" s="31">
        <f>SUMIFS(JB_27BV,JB_B,2,JB_W,"National Security Cutters",JB_RC,"ADD")</f>
        <v/>
      </c>
      <c r="D34" s="31">
        <f>SUMIFS(JB_27BV,JB_B,4,JB_W,"National Security Cutters",JB_RC,"ADD")</f>
        <v/>
      </c>
      <c r="E34" s="31">
        <f>C34+D34</f>
        <v/>
      </c>
      <c r="F34" s="37">
        <f>IFERROR(E34/E$40,0)</f>
        <v/>
      </c>
    </row>
    <row r="35" ht="10" customHeight="1">
      <c r="A35" s="30" t="inlineStr">
        <is>
          <t>Offshore Patrol Cutter</t>
        </is>
      </c>
      <c r="B35" s="30" t="inlineStr">
        <is>
          <t>USCG</t>
        </is>
      </c>
      <c r="C35" s="31">
        <f>SUMIFS(JB_27BV,JB_B,2,JB_W,"Offshore Patrol Cutter",JB_RC,"ADD")</f>
        <v/>
      </c>
      <c r="D35" s="31">
        <f>SUMIFS(JB_27BV,JB_B,4,JB_W,"Offshore Patrol Cutter",JB_RC,"ADD")</f>
        <v/>
      </c>
      <c r="E35" s="31">
        <f>C35+D35</f>
        <v/>
      </c>
      <c r="F35" s="37">
        <f>IFERROR(E35/E$40,0)</f>
        <v/>
      </c>
    </row>
    <row r="36" ht="10" customHeight="1">
      <c r="A36" s="30" t="inlineStr">
        <is>
          <t>Coastal Buoy Tenders</t>
        </is>
      </c>
      <c r="B36" s="30" t="inlineStr">
        <is>
          <t>USCG</t>
        </is>
      </c>
      <c r="C36" s="31">
        <f>SUMIFS(JB_27BV,JB_B,2,JB_W,"Coastal Buoy Tenders",JB_RC,"ADD")</f>
        <v/>
      </c>
      <c r="D36" s="31">
        <f>SUMIFS(JB_27BV,JB_B,4,JB_W,"Coastal Buoy Tenders",JB_RC,"ADD")</f>
        <v/>
      </c>
      <c r="E36" s="31">
        <f>C36+D36</f>
        <v/>
      </c>
      <c r="F36" s="37">
        <f>IFERROR(E36/E$40,0)</f>
        <v/>
      </c>
    </row>
    <row r="37" ht="10" customHeight="1">
      <c r="A37" s="30" t="inlineStr">
        <is>
          <t>Icebreakers, Oceangoing</t>
        </is>
      </c>
      <c r="B37" s="30" t="inlineStr">
        <is>
          <t>USCG</t>
        </is>
      </c>
      <c r="C37" s="31">
        <f>SUMIFS(JB_27BV,JB_B,2,JB_W,"Icebreakers, Oceangoing",JB_RC,"ADD")</f>
        <v/>
      </c>
      <c r="D37" s="31">
        <f>SUMIFS(JB_27BV,JB_B,4,JB_W,"Icebreakers, Oceangoing",JB_RC,"ADD")</f>
        <v/>
      </c>
      <c r="E37" s="31">
        <f>C37+D37</f>
        <v/>
      </c>
      <c r="F37" s="37">
        <f>IFERROR(E37/E$40,0)</f>
        <v/>
      </c>
    </row>
    <row r="38" ht="10" customHeight="1">
      <c r="A38" s="30" t="inlineStr">
        <is>
          <t>Waterways Commerce Cutters</t>
        </is>
      </c>
      <c r="B38" s="30" t="inlineStr">
        <is>
          <t>USCG</t>
        </is>
      </c>
      <c r="C38" s="31">
        <f>SUMIFS(JB_27BV,JB_B,2,JB_W,"Waterways Commerce Cutters",JB_RC,"ADD")</f>
        <v/>
      </c>
      <c r="D38" s="31">
        <f>SUMIFS(JB_27BV,JB_B,4,JB_W,"Waterways Commerce Cutters",JB_RC,"ADD")</f>
        <v/>
      </c>
      <c r="E38" s="31">
        <f>C38+D38</f>
        <v/>
      </c>
      <c r="F38" s="37">
        <f>IFERROR(E38/E$40,0)</f>
        <v/>
      </c>
    </row>
    <row r="39" ht="10" customHeight="1">
      <c r="A39" s="30" t="inlineStr">
        <is>
          <t>Icebreakers, Great Lakes</t>
        </is>
      </c>
      <c r="B39" s="30" t="inlineStr">
        <is>
          <t>USCG</t>
        </is>
      </c>
      <c r="C39" s="31">
        <f>SUMIFS(JB_27BV,JB_B,2,JB_W,"Icebreakers, Great Lakes",JB_RC,"ADD")</f>
        <v/>
      </c>
      <c r="D39" s="31">
        <f>SUMIFS(JB_27BV,JB_B,4,JB_W,"Icebreakers, Great Lakes",JB_RC,"ADD")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by Hull Program — FY2027 ($K)</t>
        </is>
      </c>
      <c r="B43" s="28" t="n"/>
      <c r="C43" s="28" t="n"/>
      <c r="D43" s="28" t="n"/>
      <c r="E43" s="28" t="n"/>
      <c r="F43" s="28" t="n"/>
      <c r="G43" s="28" t="n"/>
    </row>
    <row r="44" ht="10" customHeight="1">
      <c r="A44" s="26" t="inlineStr">
        <is>
          <t>Same funding as (B) broken down to individual hull programs — the level at which depot maintenance and modernization line items are traceable.</t>
        </is>
      </c>
    </row>
    <row r="45" ht="10" customHeight="1">
      <c r="A45" s="29" t="inlineStr">
        <is>
          <t>Hull Program</t>
        </is>
      </c>
      <c r="B45" s="29" t="inlineStr">
        <is>
          <t>Vessel Type</t>
        </is>
      </c>
      <c r="C45" s="29" t="inlineStr">
        <is>
          <t>Service</t>
        </is>
      </c>
      <c r="D45" s="29" t="inlineStr">
        <is>
          <t>SDM ($K)</t>
        </is>
      </c>
      <c r="E45" s="29" t="inlineStr">
        <is>
          <t>Mod ($K)</t>
        </is>
      </c>
      <c r="F45" s="29" t="inlineStr">
        <is>
          <t>Total ($K)</t>
        </is>
      </c>
      <c r="G45" s="29" t="inlineStr">
        <is>
          <t>% of Total</t>
        </is>
      </c>
    </row>
    <row r="46" ht="10" customHeight="1">
      <c r="A46" s="30" t="inlineStr">
        <is>
          <t>DDG</t>
        </is>
      </c>
      <c r="B46" s="30" t="inlineStr">
        <is>
          <t>Surface Combatants</t>
        </is>
      </c>
      <c r="C46" s="30" t="inlineStr">
        <is>
          <t>USN</t>
        </is>
      </c>
      <c r="D46" s="31">
        <f>SUMIFS(JB_27BV,JB_B,2,JB_H,"DDG",JB_RC,"ADD")</f>
        <v/>
      </c>
      <c r="E46" s="31">
        <f>SUMIFS(JB_27BV,JB_B,4,JB_H,"DDG",JB_RC,"ADD")</f>
        <v/>
      </c>
      <c r="F46" s="31">
        <f>D46+E46</f>
        <v/>
      </c>
      <c r="G46" s="37">
        <f>IFERROR(F46/F$52,0)</f>
        <v/>
      </c>
    </row>
    <row r="47" ht="10" customHeight="1">
      <c r="A47" s="30" t="inlineStr">
        <is>
          <t>LCS</t>
        </is>
      </c>
      <c r="B47" s="30" t="inlineStr">
        <is>
          <t>Surface Combatants</t>
        </is>
      </c>
      <c r="C47" s="30" t="inlineStr">
        <is>
          <t>USN</t>
        </is>
      </c>
      <c r="D47" s="31">
        <f>SUMIFS(JB_27BV,JB_B,2,JB_H,"LCS",JB_RC,"ADD")</f>
        <v/>
      </c>
      <c r="E47" s="31">
        <f>SUMIFS(JB_27BV,JB_B,4,JB_H,"LCS",JB_RC,"ADD")</f>
        <v/>
      </c>
      <c r="F47" s="31">
        <f>D47+E47</f>
        <v/>
      </c>
      <c r="G47" s="37">
        <f>IFERROR(F47/F$52,0)</f>
        <v/>
      </c>
    </row>
    <row r="48" ht="10" customHeight="1">
      <c r="A48" s="30" t="inlineStr">
        <is>
          <t>LPD</t>
        </is>
      </c>
      <c r="B48" s="30" t="inlineStr">
        <is>
          <t>Amphibious Warfare Ships</t>
        </is>
      </c>
      <c r="C48" s="30" t="inlineStr">
        <is>
          <t>USN</t>
        </is>
      </c>
      <c r="D48" s="31">
        <f>SUMIFS(JB_27BV,JB_B,2,JB_H,"LPD",JB_RC,"ADD")</f>
        <v/>
      </c>
      <c r="E48" s="31">
        <f>SUMIFS(JB_27BV,JB_B,4,JB_H,"LPD",JB_RC,"ADD")</f>
        <v/>
      </c>
      <c r="F48" s="31">
        <f>D48+E48</f>
        <v/>
      </c>
      <c r="G48" s="37">
        <f>IFERROR(F48/F$52,0)</f>
        <v/>
      </c>
    </row>
    <row r="49" ht="10" customHeight="1">
      <c r="A49" s="30" t="inlineStr">
        <is>
          <t>LHD</t>
        </is>
      </c>
      <c r="B49" s="30" t="inlineStr">
        <is>
          <t>Amphibious Warfare Ships</t>
        </is>
      </c>
      <c r="C49" s="30" t="inlineStr">
        <is>
          <t>USN</t>
        </is>
      </c>
      <c r="D49" s="31">
        <f>SUMIFS(JB_27BV,JB_B,2,JB_H,"LHD",JB_RC,"ADD")</f>
        <v/>
      </c>
      <c r="E49" s="31">
        <f>SUMIFS(JB_27BV,JB_B,4,JB_H,"LHD",JB_RC,"ADD")</f>
        <v/>
      </c>
      <c r="F49" s="31">
        <f>D49+E49</f>
        <v/>
      </c>
      <c r="G49" s="37">
        <f>IFERROR(F49/F$52,0)</f>
        <v/>
      </c>
    </row>
    <row r="50" ht="10" customHeight="1">
      <c r="A50" s="30" t="inlineStr">
        <is>
          <t>T-AGOS</t>
        </is>
      </c>
      <c r="B50" s="30" t="inlineStr">
        <is>
          <t>Surveillance Ships</t>
        </is>
      </c>
      <c r="C50" s="30" t="inlineStr">
        <is>
          <t>MSC</t>
        </is>
      </c>
      <c r="D50" s="31">
        <f>SUMIFS(JB_27BV,JB_B,2,JB_H,"T-AGOS",JB_RC,"ADD")</f>
        <v/>
      </c>
      <c r="E50" s="31">
        <f>SUMIFS(JB_27BV,JB_B,4,JB_H,"T-AGOS",JB_RC,"ADD")</f>
        <v/>
      </c>
      <c r="F50" s="31">
        <f>D50+E50</f>
        <v/>
      </c>
      <c r="G50" s="37">
        <f>IFERROR(F50/F$52,0)</f>
        <v/>
      </c>
    </row>
    <row r="51" ht="10" customHeight="1">
      <c r="A51" s="30" t="inlineStr">
        <is>
          <t>LSD</t>
        </is>
      </c>
      <c r="B51" s="30" t="inlineStr">
        <is>
          <t>Amphibious Warfare Ships</t>
        </is>
      </c>
      <c r="C51" s="30" t="inlineStr">
        <is>
          <t>USN</t>
        </is>
      </c>
      <c r="D51" s="31">
        <f>SUMIFS(JB_27BV,JB_B,2,JB_H,"LSD",JB_RC,"ADD")</f>
        <v/>
      </c>
      <c r="E51" s="31">
        <f>SUMIFS(JB_27BV,JB_B,4,JB_H,"LSD",JB_RC,"ADD")</f>
        <v/>
      </c>
      <c r="F51" s="31">
        <f>D51+E51</f>
        <v/>
      </c>
      <c r="G51" s="37">
        <f>IFERROR(F51/F$52,0)</f>
        <v/>
      </c>
    </row>
    <row r="52" ht="10" customHeight="1">
      <c r="A52" s="32" t="inlineStr">
        <is>
          <t>MRO SAM (all programs)</t>
        </is>
      </c>
      <c r="B52" s="32" t="inlineStr"/>
      <c r="C52" s="32" t="inlineStr"/>
      <c r="D52" s="33">
        <f>SUM(D46:D51)</f>
        <v/>
      </c>
      <c r="E52" s="33">
        <f>SUM(E46:E51)</f>
        <v/>
      </c>
      <c r="F52" s="33">
        <f>SUM(F46:F51)</f>
        <v/>
      </c>
      <c r="G52" s="38" t="n">
        <v>1</v>
      </c>
    </row>
    <row r="53" ht="10" customHeight="1"/>
    <row r="54" ht="10" customHeight="1"/>
    <row r="55" ht="10" customHeight="1">
      <c r="A55" s="27" t="inlineStr">
        <is>
          <t>(C→D) Bridge: All Programs → Cost-Element Coverage</t>
        </is>
      </c>
      <c r="B55" s="28" t="n"/>
    </row>
    <row r="56" ht="10" customHeight="1">
      <c r="A56" s="30" t="inlineStr">
        <is>
          <t>MRO SAM (all programs)</t>
        </is>
      </c>
      <c r="B56" s="31">
        <f>F52</f>
        <v/>
      </c>
    </row>
    <row r="57" ht="10" customHeight="1">
      <c r="A57" s="30" t="inlineStr">
        <is>
          <t xml:space="preserve">  Less: DDG (Surface Combatants — no P-5c)</t>
        </is>
      </c>
      <c r="B57" s="31">
        <f>-(SUMIFS(JB_27BV,JB_B,2,JB_H,"DDG",JB_RC,"ADD")+SUMIFS(JB_27BV,JB_B,4,JB_H,"DDG",JB_RC,"ADD"))</f>
        <v/>
      </c>
    </row>
    <row r="58" ht="10" customHeight="1">
      <c r="A58" s="30" t="inlineStr">
        <is>
          <t xml:space="preserve">  Less: LCS (Surface Combatants — no P-5c)</t>
        </is>
      </c>
      <c r="B58" s="31">
        <f>-(SUMIFS(JB_27BV,JB_B,2,JB_H,"LCS",JB_RC,"ADD")+SUMIFS(JB_27BV,JB_B,4,JB_H,"LCS",JB_RC,"ADD"))</f>
        <v/>
      </c>
    </row>
    <row r="59" ht="10" customHeight="1">
      <c r="A59" s="30" t="inlineStr">
        <is>
          <t xml:space="preserve">  Less: LPD (Amphibious Warfare Ships — no P-5c)</t>
        </is>
      </c>
      <c r="B59" s="31">
        <f>-(SUMIFS(JB_27BV,JB_B,2,JB_H,"LPD",JB_RC,"ADD")+SUMIFS(JB_27BV,JB_B,4,JB_H,"LPD",JB_RC,"ADD"))</f>
        <v/>
      </c>
    </row>
    <row r="60" ht="10" customHeight="1">
      <c r="A60" s="30" t="inlineStr">
        <is>
          <t xml:space="preserve">  Less: LHD (Amphibious Warfare Ships — no P-5c)</t>
        </is>
      </c>
      <c r="B60" s="31">
        <f>-(SUMIFS(JB_27BV,JB_B,2,JB_H,"LHD",JB_RC,"ADD")+SUMIFS(JB_27BV,JB_B,4,JB_H,"LHD",JB_RC,"ADD"))</f>
        <v/>
      </c>
    </row>
    <row r="61" ht="10" customHeight="1">
      <c r="A61" s="30" t="inlineStr">
        <is>
          <t xml:space="preserve">  Less: T-AGOS (Surveillance Ships — no P-5c)</t>
        </is>
      </c>
      <c r="B61" s="31">
        <f>-(SUMIFS(JB_27BV,JB_B,2,JB_H,"T-AGOS",JB_RC,"ADD")+SUMIFS(JB_27BV,JB_B,4,JB_H,"T-AGOS",JB_RC,"ADD"))</f>
        <v/>
      </c>
    </row>
    <row r="62" ht="10" customHeight="1">
      <c r="A62" s="30" t="inlineStr">
        <is>
          <t xml:space="preserve">  Less: LSD (Amphibious Warfare Ships — no P-5c)</t>
        </is>
      </c>
      <c r="B62" s="31">
        <f>-(SUMIFS(JB_27BV,JB_B,2,JB_H,"LSD",JB_RC,"ADD")+SUMIFS(JB_27BV,JB_B,4,JB_H,"LSD",JB_RC,"ADD"))</f>
        <v/>
      </c>
    </row>
    <row r="63" ht="10" customHeight="1">
      <c r="A63" s="32" t="inlineStr">
        <is>
          <t>MRO SAM (cost-element coverage)</t>
        </is>
      </c>
      <c r="B63" s="33">
        <f>SUM(B56:B62)</f>
        <v/>
      </c>
    </row>
    <row r="64" ht="10" customHeight="1"/>
    <row r="65" ht="10" customHeight="1"/>
    <row r="66" ht="10" customHeight="1">
      <c r="A66" s="27" t="inlineStr">
        <is>
          <t>(D) MRO SAM — SDM vs Modernization by Hull (Mekko)</t>
        </is>
      </c>
      <c r="B66" s="28" t="n"/>
      <c r="C66" s="28" t="n"/>
      <c r="D66" s="28" t="n"/>
      <c r="E66" s="28" t="n"/>
      <c r="F66" s="28" t="n"/>
      <c r="G66" s="28" t="n"/>
      <c r="H66" s="28" t="n"/>
    </row>
    <row r="67" ht="10" customHeight="1">
      <c r="A67" s="39" t="n"/>
      <c r="B67" s="40" t="inlineStr">
        <is>
          <t>USN</t>
        </is>
      </c>
      <c r="C67" s="39" t="n"/>
      <c r="D67" s="39" t="n"/>
      <c r="E67" s="39" t="n"/>
      <c r="F67" s="39" t="n"/>
      <c r="G67" s="39" t="n"/>
      <c r="H67" s="41" t="n"/>
    </row>
    <row r="68" ht="10" customHeight="1">
      <c r="A68" s="29" t="inlineStr">
        <is>
          <t>Work Type</t>
        </is>
      </c>
      <c r="B68" s="42" t="inlineStr">
        <is>
          <t>DDG</t>
        </is>
      </c>
      <c r="C68" s="29" t="inlineStr">
        <is>
          <t>LCS</t>
        </is>
      </c>
      <c r="D68" s="29" t="inlineStr">
        <is>
          <t>LPD</t>
        </is>
      </c>
      <c r="E68" s="29" t="inlineStr">
        <is>
          <t>LHD</t>
        </is>
      </c>
      <c r="F68" s="29" t="inlineStr">
        <is>
          <t>T-AGOS</t>
        </is>
      </c>
      <c r="G68" s="29" t="inlineStr">
        <is>
          <t>LSD</t>
        </is>
      </c>
      <c r="H68" s="42" t="inlineStr">
        <is>
          <t>Total</t>
        </is>
      </c>
    </row>
    <row r="69" ht="10" customHeight="1">
      <c r="A69" s="30" t="inlineStr">
        <is>
          <t>Scheduled Depot Maintenance</t>
        </is>
      </c>
      <c r="B69" s="43">
        <f>IFERROR((SUMIFS(JB_27BV,JB_B,2,JB_H,"DDG",JB_RC,"ADD"))/B$71,0)</f>
        <v/>
      </c>
      <c r="C69" s="37">
        <f>IFERROR((SUMIFS(JB_27BV,JB_B,2,JB_H,"LCS",JB_RC,"ADD"))/C$71,0)</f>
        <v/>
      </c>
      <c r="D69" s="37">
        <f>IFERROR((SUMIFS(JB_27BV,JB_B,2,JB_H,"LPD",JB_RC,"ADD"))/D$71,0)</f>
        <v/>
      </c>
      <c r="E69" s="37">
        <f>IFERROR((SUMIFS(JB_27BV,JB_B,2,JB_H,"LHD",JB_RC,"ADD"))/E$71,0)</f>
        <v/>
      </c>
      <c r="F69" s="37">
        <f>IFERROR((SUMIFS(JB_27BV,JB_B,2,JB_H,"T-AGOS",JB_RC,"ADD"))/F$71,0)</f>
        <v/>
      </c>
      <c r="G69" s="37">
        <f>IFERROR((SUMIFS(JB_27BV,JB_B,2,JB_H,"LSD",JB_RC,"ADD"))/G$71,0)</f>
        <v/>
      </c>
      <c r="H69" s="43">
        <f>IFERROR(1-H70,0)</f>
        <v/>
      </c>
    </row>
    <row r="70" ht="10" customHeight="1">
      <c r="A70" s="30" t="inlineStr">
        <is>
          <t>Modernization</t>
        </is>
      </c>
      <c r="B70" s="43">
        <f>IFERROR((SUMIFS(JB_27BV,JB_B,4,JB_H,"DDG",JB_RC,"ADD"))/B$71,0)</f>
        <v/>
      </c>
      <c r="C70" s="37">
        <f>IFERROR((SUMIFS(JB_27BV,JB_B,4,JB_H,"LCS",JB_RC,"ADD"))/C$71,0)</f>
        <v/>
      </c>
      <c r="D70" s="37">
        <f>IFERROR((SUMIFS(JB_27BV,JB_B,4,JB_H,"LPD",JB_RC,"ADD"))/D$71,0)</f>
        <v/>
      </c>
      <c r="E70" s="37">
        <f>IFERROR((SUMIFS(JB_27BV,JB_B,4,JB_H,"LHD",JB_RC,"ADD"))/E$71,0)</f>
        <v/>
      </c>
      <c r="F70" s="37">
        <f>IFERROR((SUMIFS(JB_27BV,JB_B,4,JB_H,"T-AGOS",JB_RC,"ADD"))/F$71,0)</f>
        <v/>
      </c>
      <c r="G70" s="37">
        <f>IFERROR((SUMIFS(JB_27BV,JB_B,4,JB_H,"LSD",JB_RC,"ADD"))/G$71,0)</f>
        <v/>
      </c>
      <c r="H70" s="43">
        <f>IFERROR((SUMIFS(JB_27BV,JB_B,4,JB_H,"DDG",JB_RC,"ADD")+SUMIFS(JB_27BV,JB_B,4,JB_H,"LCS",JB_RC,"ADD")+SUMIFS(JB_27BV,JB_B,4,JB_H,"LPD",JB_RC,"ADD")+SUMIFS(JB_27BV,JB_B,4,JB_H,"LHD",JB_RC,"ADD")+SUMIFS(JB_27BV,JB_B,4,JB_H,"T-AGOS",JB_RC,"ADD")+SUMIFS(JB_27BV,JB_B,4,JB_H,"LSD",JB_RC,"ADD"))/H$71,0)</f>
        <v/>
      </c>
    </row>
    <row r="71" ht="10" customHeight="1">
      <c r="A71" s="32" t="inlineStr">
        <is>
          <t>Total ($K)</t>
        </is>
      </c>
      <c r="B71" s="44">
        <f>SUMIFS(JB_27BV,JB_B,2,JB_H,"DDG",JB_RC,"ADD")+SUMIFS(JB_27BV,JB_B,4,JB_H,"DDG",JB_RC,"ADD")</f>
        <v/>
      </c>
      <c r="C71" s="33">
        <f>SUMIFS(JB_27BV,JB_B,2,JB_H,"LCS",JB_RC,"ADD")+SUMIFS(JB_27BV,JB_B,4,JB_H,"LCS",JB_RC,"ADD")</f>
        <v/>
      </c>
      <c r="D71" s="33">
        <f>SUMIFS(JB_27BV,JB_B,2,JB_H,"LPD",JB_RC,"ADD")+SUMIFS(JB_27BV,JB_B,4,JB_H,"LPD",JB_RC,"ADD")</f>
        <v/>
      </c>
      <c r="E71" s="33">
        <f>SUMIFS(JB_27BV,JB_B,2,JB_H,"LHD",JB_RC,"ADD")+SUMIFS(JB_27BV,JB_B,4,JB_H,"LHD",JB_RC,"ADD")</f>
        <v/>
      </c>
      <c r="F71" s="33">
        <f>SUMIFS(JB_27BV,JB_B,2,JB_H,"T-AGOS",JB_RC,"ADD")+SUMIFS(JB_27BV,JB_B,4,JB_H,"T-AGOS",JB_RC,"ADD")</f>
        <v/>
      </c>
      <c r="G71" s="33">
        <f>SUMIFS(JB_27BV,JB_B,2,JB_H,"LSD",JB_RC,"ADD")+SUMIFS(JB_27BV,JB_B,4,JB_H,"LSD",JB_RC,"ADD")</f>
        <v/>
      </c>
      <c r="H71" s="44">
        <f>SUM(B71:G71)</f>
        <v/>
      </c>
    </row>
  </sheetData>
  <pageMargins left="0.75" right="0.75" top="1" bottom="1" header="0.5" footer="0.5"/>
</worksheet>
</file>

<file path=xl/worksheets/sheet15.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0" t="n">
        <v>22000000</v>
      </c>
      <c r="D6" s="26" t="inlineStr">
        <is>
          <t>DDG-51 $11.4B, LPD $4.7B, LHA $4.5B, DDG-1000 $0.3B, depot</t>
        </is>
      </c>
    </row>
    <row r="7" ht="10" customHeight="1">
      <c r="A7" s="30" t="inlineStr">
        <is>
          <t>Raytheon / RTX</t>
        </is>
      </c>
      <c r="B7" s="26" t="inlineStr">
        <is>
          <t>RTX Corp</t>
        </is>
      </c>
      <c r="C7" s="50" t="n">
        <v>13700000</v>
      </c>
      <c r="D7" s="26" t="inlineStr">
        <is>
          <t>Standard Missile $5.7B, SPY-6 $3.5B, CIWS/RAM $2.0B, DDG-1000 $0.9B, CEC $0.6B</t>
        </is>
      </c>
    </row>
    <row r="8" ht="10" customHeight="1">
      <c r="A8" s="30" t="inlineStr">
        <is>
          <t>Bath Iron Works</t>
        </is>
      </c>
      <c r="B8" s="26" t="inlineStr">
        <is>
          <t>General Dynamics</t>
        </is>
      </c>
      <c r="C8" s="50" t="n">
        <v>8800000</v>
      </c>
      <c r="D8" s="26" t="inlineStr">
        <is>
          <t>DDG-51 FY23-27 $5.0B, FY18-22 $3.3B, FY13-17 $0.5B, DDG-1000 $0.2B</t>
        </is>
      </c>
    </row>
    <row r="9" ht="10" customHeight="1">
      <c r="A9" s="30" t="inlineStr">
        <is>
          <t>BAE Systems</t>
        </is>
      </c>
      <c r="B9" s="26" t="inlineStr">
        <is>
          <t>BAE Systems plc</t>
        </is>
      </c>
      <c r="C9" s="50" t="n">
        <v>5000000</v>
      </c>
      <c r="D9" s="26" t="inlineStr">
        <is>
          <t>DDG/LHD/LPD/LSD/CG depot maintenance — Norfolk, San Diego, Jacksonville, Hawaii</t>
        </is>
      </c>
    </row>
    <row r="10" ht="10" customHeight="1">
      <c r="A10" s="30" t="inlineStr">
        <is>
          <t>Lockheed Martin</t>
        </is>
      </c>
      <c r="B10" s="26" t="inlineStr">
        <is>
          <t>LM</t>
        </is>
      </c>
      <c r="C10" s="50" t="n">
        <v>1500000</v>
      </c>
      <c r="D10" s="26" t="inlineStr">
        <is>
          <t>SLQ-32(V)6 $0.8B, SSDS $0.4B, HELIOS $0.1B, LCS Freedom $0.3B</t>
        </is>
      </c>
    </row>
    <row r="11" ht="10" customHeight="1">
      <c r="A11" s="30" t="inlineStr">
        <is>
          <t>Metro Machine Corp</t>
        </is>
      </c>
      <c r="B11" s="26" t="inlineStr">
        <is>
          <t>--</t>
        </is>
      </c>
      <c r="C11" s="50" t="n">
        <v>700000</v>
      </c>
      <c r="D11" s="26" t="inlineStr">
        <is>
          <t>LHD/DDG/LSD depot maintenance — Norfolk</t>
        </is>
      </c>
    </row>
    <row r="12" ht="10" customHeight="1">
      <c r="A12" s="30" t="inlineStr">
        <is>
          <t>NASSCO</t>
        </is>
      </c>
      <c r="B12" s="26" t="inlineStr">
        <is>
          <t>General Dynamics</t>
        </is>
      </c>
      <c r="C12" s="50" t="n">
        <v>600000</v>
      </c>
      <c r="D12" s="26" t="inlineStr">
        <is>
          <t>LHA/LHD/LSD/DDG/CG depot maintenance — San Diego</t>
        </is>
      </c>
    </row>
    <row r="13" ht="10" customHeight="1">
      <c r="A13" s="30" t="inlineStr">
        <is>
          <t>Vigor Marine LLC</t>
        </is>
      </c>
      <c r="B13" s="26" t="inlineStr">
        <is>
          <t>--</t>
        </is>
      </c>
      <c r="C13" s="50" t="n">
        <v>500000</v>
      </c>
      <c r="D13" s="26" t="inlineStr">
        <is>
          <t>DDG/CG depot maintenance — Portland, OR</t>
        </is>
      </c>
    </row>
    <row r="14" ht="10" customHeight="1">
      <c r="A14" s="30" t="inlineStr">
        <is>
          <t>Northrop Grumman Systems</t>
        </is>
      </c>
      <c r="B14" s="26" t="inlineStr">
        <is>
          <t>NG</t>
        </is>
      </c>
      <c r="C14" s="50" t="n">
        <v>487000</v>
      </c>
      <c r="D14" s="26" t="inlineStr">
        <is>
          <t>Knifefish/LCS $0.35B, SEWIP Block 3 $0.14B, ALMDS $0.07B</t>
        </is>
      </c>
    </row>
    <row r="15" ht="10" customHeight="1">
      <c r="A15" s="30" t="inlineStr">
        <is>
          <t>QED Systems</t>
        </is>
      </c>
      <c r="B15" s="26" t="inlineStr">
        <is>
          <t>--</t>
        </is>
      </c>
      <c r="C15" s="50" t="n">
        <v>300000</v>
      </c>
      <c r="D15" s="26" t="inlineStr">
        <is>
          <t>Third-party planning DDG/CG/LPD/LHD</t>
        </is>
      </c>
    </row>
    <row r="16" ht="10" customHeight="1">
      <c r="A16" s="30" t="inlineStr">
        <is>
          <t>Continental Maritime</t>
        </is>
      </c>
      <c r="B16" s="26" t="inlineStr">
        <is>
          <t>--</t>
        </is>
      </c>
      <c r="C16" s="50" t="n">
        <v>300000</v>
      </c>
      <c r="D16" s="26" t="inlineStr">
        <is>
          <t>DDG depot — San Diego</t>
        </is>
      </c>
    </row>
    <row r="17" ht="10" customHeight="1">
      <c r="A17" s="30" t="inlineStr">
        <is>
          <t>Textron Systems</t>
        </is>
      </c>
      <c r="B17" s="26" t="inlineStr">
        <is>
          <t>Textron</t>
        </is>
      </c>
      <c r="C17" s="50" t="n">
        <v>242000</v>
      </c>
      <c r="D17" s="26" t="inlineStr">
        <is>
          <t>UISS $0.24B</t>
        </is>
      </c>
    </row>
    <row r="18" ht="10" customHeight="1">
      <c r="A18" s="30" t="inlineStr">
        <is>
          <t>Advanced Technology International</t>
        </is>
      </c>
      <c r="B18" s="26" t="inlineStr">
        <is>
          <t>--</t>
        </is>
      </c>
      <c r="C18" s="50" t="n">
        <v>235000</v>
      </c>
      <c r="D18" s="26" t="inlineStr">
        <is>
          <t>OTA consortium: MK-54 MOD 2, SPY-6 prototype, HEL, LHD midlife</t>
        </is>
      </c>
    </row>
    <row r="19" ht="10" customHeight="1">
      <c r="A19" s="30" t="inlineStr">
        <is>
          <t>General Dynamics Mission Systems</t>
        </is>
      </c>
      <c r="B19" s="26" t="inlineStr">
        <is>
          <t>General Dynamics</t>
        </is>
      </c>
      <c r="C19" s="50" t="n">
        <v>210000</v>
      </c>
      <c r="D19" s="26" t="inlineStr">
        <is>
          <t>MK-54 MOD 1 $0.12B, Knifefish Block 1 $0.08B</t>
        </is>
      </c>
    </row>
    <row r="20" ht="10" customHeight="1">
      <c r="A20" s="30" t="inlineStr">
        <is>
          <t>SAIC</t>
        </is>
      </c>
      <c r="B20" s="26" t="inlineStr">
        <is>
          <t>SAIC</t>
        </is>
      </c>
      <c r="C20" s="50" t="n">
        <v>200000</v>
      </c>
      <c r="D20" s="26" t="inlineStr">
        <is>
          <t>DDG-1000 engineering, SSTD Nixie, torpedo defense</t>
        </is>
      </c>
    </row>
    <row r="21" ht="10" customHeight="1">
      <c r="A21" s="30" t="inlineStr">
        <is>
          <t>Marine Hydraulics International</t>
        </is>
      </c>
      <c r="B21" s="26" t="inlineStr">
        <is>
          <t>--</t>
        </is>
      </c>
      <c r="C21" s="50" t="n">
        <v>200000</v>
      </c>
      <c r="D21" s="26" t="inlineStr">
        <is>
          <t>DDG/LSD depot + sub-prime on LHD primes</t>
        </is>
      </c>
    </row>
    <row r="22" ht="10" customHeight="1">
      <c r="A22" s="30" t="inlineStr">
        <is>
          <t>Bollinger Shipyards</t>
        </is>
      </c>
      <c r="B22" s="26" t="inlineStr">
        <is>
          <t>Bollinger</t>
        </is>
      </c>
      <c r="C22" s="50" t="n">
        <v>116000</v>
      </c>
      <c r="D22" s="26" t="inlineStr">
        <is>
          <t>MCM USV production</t>
        </is>
      </c>
    </row>
    <row r="23" ht="10" customHeight="1">
      <c r="A23" s="30" t="inlineStr">
        <is>
          <t>Ultra Electronics Ocean Systems</t>
        </is>
      </c>
      <c r="B23" s="26" t="inlineStr">
        <is>
          <t>Ultra</t>
        </is>
      </c>
      <c r="C23" s="50" t="n">
        <v>68000</v>
      </c>
      <c r="D23" s="26" t="inlineStr">
        <is>
          <t>MK 54 MOD 0 array kits + Nixie production</t>
        </is>
      </c>
    </row>
    <row r="24" ht="10" customHeight="1">
      <c r="A24" s="30" t="inlineStr">
        <is>
          <t>Penn State Applied Research Lab</t>
        </is>
      </c>
      <c r="B24" s="26" t="inlineStr">
        <is>
          <t>Penn State</t>
        </is>
      </c>
      <c r="C24" s="50"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0" t="n">
        <v>2487000</v>
      </c>
      <c r="C30" s="50" t="n">
        <v>2</v>
      </c>
      <c r="D30" s="50" t="n">
        <v>1</v>
      </c>
      <c r="E30" s="26" t="inlineStr">
        <is>
          <t>LCS Freedom hull builder — actual constructor under LM prime</t>
        </is>
      </c>
    </row>
    <row r="31" ht="10" customHeight="1">
      <c r="A31" s="30" t="inlineStr">
        <is>
          <t>Timken Gears &amp; Services</t>
        </is>
      </c>
      <c r="B31" s="50" t="n">
        <v>516000</v>
      </c>
      <c r="C31" s="50" t="n">
        <v>22</v>
      </c>
      <c r="D31" s="50" t="n">
        <v>20</v>
      </c>
      <c r="E31" s="26" t="inlineStr">
        <is>
          <t>DDG/LHD/CG propulsion gearing</t>
        </is>
      </c>
    </row>
    <row r="32" ht="10" customHeight="1">
      <c r="A32" s="30" t="inlineStr">
        <is>
          <t>General Dynamics (rolled up)</t>
        </is>
      </c>
      <c r="B32" s="50" t="n">
        <v>432000</v>
      </c>
      <c r="C32" s="50" t="n">
        <v>23</v>
      </c>
      <c r="D32" s="50" t="n">
        <v>14</v>
      </c>
      <c r="E32" s="26" t="inlineStr">
        <is>
          <t>GD Mission Systems $359M on SPY-6, GD-OTS, GDIT</t>
        </is>
      </c>
    </row>
    <row r="33" ht="10" customHeight="1">
      <c r="A33" s="30" t="inlineStr">
        <is>
          <t>L3Harris (Aerojet Rocketdyne)</t>
        </is>
      </c>
      <c r="B33" s="50" t="n">
        <v>378000</v>
      </c>
      <c r="C33" s="50" t="n">
        <v>4</v>
      </c>
      <c r="D33" s="50" t="n">
        <v>4</v>
      </c>
      <c r="E33" s="26" t="inlineStr">
        <is>
          <t>Solid rocket motors for Standard Missile family</t>
        </is>
      </c>
    </row>
    <row r="34" ht="10" customHeight="1">
      <c r="A34" s="30" t="inlineStr">
        <is>
          <t>Rolls-Royce</t>
        </is>
      </c>
      <c r="B34" s="50" t="n">
        <v>313000</v>
      </c>
      <c r="C34" s="50" t="n">
        <v>25</v>
      </c>
      <c r="D34" s="50" t="n">
        <v>25</v>
      </c>
      <c r="E34" s="26" t="inlineStr">
        <is>
          <t>Gas turbines, waterjets, gearing — DDG/LCS/LPD/LHA + depot</t>
        </is>
      </c>
    </row>
    <row r="35" ht="10" customHeight="1">
      <c r="A35" s="30" t="inlineStr">
        <is>
          <t>CAES (Cobham)</t>
        </is>
      </c>
      <c r="B35" s="50" t="n">
        <v>217000</v>
      </c>
      <c r="C35" s="50" t="n">
        <v>10</v>
      </c>
      <c r="D35" s="50" t="n">
        <v>8</v>
      </c>
      <c r="E35" s="26" t="inlineStr">
        <is>
          <t>RF assemblies on SPY-6 $170M, SEWIP $110M, SLQ-32 $95M</t>
        </is>
      </c>
    </row>
    <row r="36" ht="10" customHeight="1">
      <c r="A36" s="30" t="inlineStr">
        <is>
          <t>Northrop Grumman (as sub)</t>
        </is>
      </c>
      <c r="B36" s="50" t="n">
        <v>215000</v>
      </c>
      <c r="C36" s="50" t="n">
        <v>10</v>
      </c>
      <c r="D36" s="50" t="n">
        <v>9</v>
      </c>
      <c r="E36" s="26" t="inlineStr">
        <is>
          <t>SPY-6 RF $114M, CIWS, LPD/LHA construction</t>
        </is>
      </c>
    </row>
    <row r="37" ht="10" customHeight="1">
      <c r="A37" s="30" t="inlineStr">
        <is>
          <t>IMIA</t>
        </is>
      </c>
      <c r="B37" s="50" t="n">
        <v>204000</v>
      </c>
      <c r="C37" s="50" t="n">
        <v>28</v>
      </c>
      <c r="D37" s="50" t="n">
        <v>28</v>
      </c>
      <c r="E37" s="26" t="inlineStr">
        <is>
          <t>Hull coatings / paint across 28 depot availabilities</t>
        </is>
      </c>
    </row>
    <row r="38" ht="10" customHeight="1">
      <c r="A38" s="30" t="inlineStr">
        <is>
          <t>L3Harris (excl. Aerojet)</t>
        </is>
      </c>
      <c r="B38" s="50" t="n">
        <v>203000</v>
      </c>
      <c r="C38" s="50" t="n">
        <v>53</v>
      </c>
      <c r="D38" s="50" t="n">
        <v>45</v>
      </c>
      <c r="E38" s="26" t="inlineStr">
        <is>
          <t>Maritime Power, Cincinnati Electronics, Fuzing — broadest footprint</t>
        </is>
      </c>
    </row>
    <row r="39" ht="10" customHeight="1">
      <c r="A39" s="30" t="inlineStr">
        <is>
          <t>Johnson Controls (incl. York)</t>
        </is>
      </c>
      <c r="B39" s="50" t="n">
        <v>172000</v>
      </c>
      <c r="C39" s="50" t="n">
        <v>31</v>
      </c>
      <c r="D39" s="50" t="n">
        <v>24</v>
      </c>
      <c r="E39" s="26" t="inlineStr">
        <is>
          <t>HVAC / chilled water on DDG/LPD/LHA + depot</t>
        </is>
      </c>
    </row>
    <row r="40" ht="10" customHeight="1">
      <c r="A40" s="30" t="inlineStr">
        <is>
          <t>GE Aerospace</t>
        </is>
      </c>
      <c r="B40" s="50" t="n">
        <v>166000</v>
      </c>
      <c r="C40" s="50" t="n">
        <v>16</v>
      </c>
      <c r="D40" s="50" t="n">
        <v>14</v>
      </c>
      <c r="E40" s="26" t="inlineStr">
        <is>
          <t>LM2500 gas turbines on DDG-51 + GE Power Conversion LHA 9</t>
        </is>
      </c>
    </row>
    <row r="41" ht="10" customHeight="1">
      <c r="A41" s="30" t="inlineStr">
        <is>
          <t>Fairbanks Morse Defense</t>
        </is>
      </c>
      <c r="B41" s="50" t="n">
        <v>161000</v>
      </c>
      <c r="C41" s="50" t="n">
        <v>25</v>
      </c>
      <c r="D41" s="50" t="n">
        <v>18</v>
      </c>
      <c r="E41" s="26" t="inlineStr">
        <is>
          <t>Diesel generators / propulsion on LPD/LHA + depot rebuilds</t>
        </is>
      </c>
    </row>
    <row r="42" ht="10" customHeight="1">
      <c r="A42" s="30" t="inlineStr">
        <is>
          <t>Leonardo DRS</t>
        </is>
      </c>
      <c r="B42" s="50" t="n">
        <v>134000</v>
      </c>
      <c r="C42" s="50" t="n">
        <v>18</v>
      </c>
      <c r="D42" s="50" t="n">
        <v>15</v>
      </c>
      <c r="E42" s="26" t="inlineStr">
        <is>
          <t>Naval Power Systems, Network &amp; Imaging, Laurel Technologies</t>
        </is>
      </c>
    </row>
    <row r="43" ht="10" customHeight="1">
      <c r="A43" s="30" t="inlineStr">
        <is>
          <t>Sparton DeLeon Springs</t>
        </is>
      </c>
      <c r="B43" s="50" t="n">
        <v>108000</v>
      </c>
      <c r="C43" s="50" t="n">
        <v>2</v>
      </c>
      <c r="D43" s="50" t="n">
        <v>2</v>
      </c>
      <c r="E43" s="26" t="inlineStr">
        <is>
          <t>ASW sensors / payload on Raytheon Barracuda</t>
        </is>
      </c>
    </row>
    <row r="44" ht="10" customHeight="1">
      <c r="A44" s="30" t="inlineStr">
        <is>
          <t>RAM-System GmbH</t>
        </is>
      </c>
      <c r="B44" s="50" t="n">
        <v>98000</v>
      </c>
      <c r="C44" s="50" t="n">
        <v>1</v>
      </c>
      <c r="D44" s="50" t="n">
        <v>1</v>
      </c>
      <c r="E44" s="26" t="inlineStr">
        <is>
          <t>RAM missile co-development with Raytheon (Germany)</t>
        </is>
      </c>
    </row>
    <row r="45" ht="10" customHeight="1">
      <c r="A45" s="30" t="inlineStr">
        <is>
          <t>Bay Metals &amp; Fabrication</t>
        </is>
      </c>
      <c r="B45" s="50" t="n">
        <v>93000</v>
      </c>
      <c r="C45" s="50" t="n">
        <v>9</v>
      </c>
      <c r="D45" s="50" t="n">
        <v>9</v>
      </c>
      <c r="E45" s="26" t="inlineStr">
        <is>
          <t>Norfolk metal fab serving 9 depot availabilities</t>
        </is>
      </c>
    </row>
    <row r="46" ht="10" customHeight="1">
      <c r="A46" s="30" t="inlineStr">
        <is>
          <t>US Joiner LLC</t>
        </is>
      </c>
      <c r="B46" s="50" t="n">
        <v>88000</v>
      </c>
      <c r="C46" s="50" t="n">
        <v>12</v>
      </c>
      <c r="D46" s="50" t="n">
        <v>12</v>
      </c>
      <c r="E46" s="26" t="inlineStr">
        <is>
          <t>Interior outfitting — LPD construction + depot</t>
        </is>
      </c>
    </row>
    <row r="47" ht="10" customHeight="1">
      <c r="A47" s="30" t="inlineStr">
        <is>
          <t>United Rentals</t>
        </is>
      </c>
      <c r="B47" s="50" t="n">
        <v>77000</v>
      </c>
      <c r="C47" s="50" t="n">
        <v>29</v>
      </c>
      <c r="D47" s="50" t="n">
        <v>29</v>
      </c>
      <c r="E47" s="26" t="inlineStr">
        <is>
          <t>Equipment rental across 29 depot availabilities</t>
        </is>
      </c>
    </row>
    <row r="48" ht="10" customHeight="1">
      <c r="A48" s="30" t="inlineStr">
        <is>
          <t>Honeywell</t>
        </is>
      </c>
      <c r="B48" s="50" t="n">
        <v>71000</v>
      </c>
      <c r="C48" s="50" t="n">
        <v>12</v>
      </c>
      <c r="D48" s="50" t="n">
        <v>12</v>
      </c>
      <c r="E48" s="26" t="inlineStr">
        <is>
          <t>IMUs / IRUs on Standard Missile + CIWS</t>
        </is>
      </c>
    </row>
    <row r="49" ht="10" customHeight="1">
      <c r="A49" s="30" t="inlineStr">
        <is>
          <t>Anaren</t>
        </is>
      </c>
      <c r="B49" s="50" t="n">
        <v>64000</v>
      </c>
      <c r="C49" s="50" t="n">
        <v>7</v>
      </c>
      <c r="D49" s="50"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0" t="n">
        <v>530000</v>
      </c>
      <c r="C55" s="26" t="inlineStr">
        <is>
          <t>GE Aerospace $88M</t>
        </is>
      </c>
      <c r="D55" s="26" t="inlineStr">
        <is>
          <t>Johnson Controls $76M</t>
        </is>
      </c>
      <c r="E55" s="26" t="inlineStr">
        <is>
          <t>Timken Gears $41M</t>
        </is>
      </c>
    </row>
    <row r="56" ht="10" customHeight="1">
      <c r="A56" s="30" t="inlineStr">
        <is>
          <t>DDG Mod — SPY-6</t>
        </is>
      </c>
      <c r="B56" s="50" t="n">
        <v>1220000</v>
      </c>
      <c r="C56" s="26" t="inlineStr">
        <is>
          <t>GD Mission Systems $359M</t>
        </is>
      </c>
      <c r="D56" s="26" t="inlineStr">
        <is>
          <t>CAES $170M</t>
        </is>
      </c>
      <c r="E56" s="26" t="inlineStr">
        <is>
          <t>Northrop Grumman $114M</t>
        </is>
      </c>
    </row>
    <row r="57" ht="10" customHeight="1">
      <c r="A57" s="30" t="inlineStr">
        <is>
          <t>DDG Mod — CIWS/RAM/SeaRAM</t>
        </is>
      </c>
      <c r="B57" s="50" t="n">
        <v>560000</v>
      </c>
      <c r="C57" s="26" t="inlineStr">
        <is>
          <t>RAM-System GmbH $98M</t>
        </is>
      </c>
      <c r="D57" s="26" t="inlineStr">
        <is>
          <t>L3Harris $39M</t>
        </is>
      </c>
      <c r="E57" s="26" t="inlineStr">
        <is>
          <t>GD $35M</t>
        </is>
      </c>
    </row>
    <row r="58" ht="10" customHeight="1">
      <c r="A58" s="30" t="inlineStr">
        <is>
          <t>LCS Freedom Construction</t>
        </is>
      </c>
      <c r="B58" s="50" t="n">
        <v>2910000</v>
      </c>
      <c r="C58" s="26" t="inlineStr">
        <is>
          <t>Marinette Marine $2,487M</t>
        </is>
      </c>
      <c r="D58" s="26" t="inlineStr">
        <is>
          <t>Rolls-Royce $196M</t>
        </is>
      </c>
      <c r="E58" s="26" t="inlineStr">
        <is>
          <t>Airbus US $56M</t>
        </is>
      </c>
    </row>
    <row r="59" ht="10" customHeight="1">
      <c r="A59" s="30" t="inlineStr">
        <is>
          <t>LCS MCM Mission Modules</t>
        </is>
      </c>
      <c r="B59" s="50" t="n">
        <v>1230000</v>
      </c>
      <c r="C59" s="26" t="inlineStr">
        <is>
          <t>Trident Sensors $215M</t>
        </is>
      </c>
      <c r="D59" s="26" t="inlineStr">
        <is>
          <t>Teledyne $55M</t>
        </is>
      </c>
      <c r="E59" s="26" t="inlineStr">
        <is>
          <t>GD $13M</t>
        </is>
      </c>
    </row>
    <row r="60" ht="10" customHeight="1">
      <c r="A60" s="30" t="inlineStr">
        <is>
          <t>LHA New Construction</t>
        </is>
      </c>
      <c r="B60" s="50" t="n">
        <v>340000</v>
      </c>
      <c r="C60" s="26" t="inlineStr">
        <is>
          <t>Fairbanks Morse $40M</t>
        </is>
      </c>
      <c r="D60" s="26" t="inlineStr">
        <is>
          <t>L3Harris $39M</t>
        </is>
      </c>
      <c r="E60" s="26" t="inlineStr">
        <is>
          <t>Leonardo DRS $34M</t>
        </is>
      </c>
    </row>
    <row r="61" ht="10" customHeight="1">
      <c r="A61" s="30" t="inlineStr">
        <is>
          <t>LPD Flight II New Construction</t>
        </is>
      </c>
      <c r="B61" s="50" t="n">
        <v>340000</v>
      </c>
      <c r="C61" s="26" t="inlineStr">
        <is>
          <t>Fairbanks Morse $65M</t>
        </is>
      </c>
      <c r="D61" s="26" t="inlineStr">
        <is>
          <t>US Joiner $36M</t>
        </is>
      </c>
      <c r="E61" s="26" t="inlineStr">
        <is>
          <t>Caterpillar $20M</t>
        </is>
      </c>
    </row>
    <row r="62" ht="10" customHeight="1">
      <c r="A62" s="30" t="inlineStr">
        <is>
          <t>Standard Missile Family</t>
        </is>
      </c>
      <c r="B62" s="50" t="n">
        <v>930000</v>
      </c>
      <c r="C62" s="26" t="inlineStr">
        <is>
          <t>L3Harris (Aerojet) $390M</t>
        </is>
      </c>
      <c r="D62" s="26" t="inlineStr">
        <is>
          <t>Honeywell $43M</t>
        </is>
      </c>
      <c r="E62" s="26" t="inlineStr">
        <is>
          <t>Goodrich $32M</t>
        </is>
      </c>
    </row>
    <row r="63" ht="10" customHeight="1">
      <c r="A63" s="30" t="inlineStr">
        <is>
          <t>DDG-1000</t>
        </is>
      </c>
      <c r="B63" s="50" t="n">
        <v>130000</v>
      </c>
      <c r="C63" s="26" t="inlineStr">
        <is>
          <t>Red River Technology $61M</t>
        </is>
      </c>
      <c r="D63" s="26" t="inlineStr">
        <is>
          <t>Air Masters $6M</t>
        </is>
      </c>
      <c r="E63" s="26" t="inlineStr">
        <is>
          <t>--</t>
        </is>
      </c>
    </row>
    <row r="64" ht="10" customHeight="1">
      <c r="A64" s="30" t="inlineStr">
        <is>
          <t>DDG Mod — CEC</t>
        </is>
      </c>
      <c r="B64" s="50" t="n">
        <v>30000</v>
      </c>
      <c r="C64" s="26" t="inlineStr">
        <is>
          <t>Sechan Electronics $7M</t>
        </is>
      </c>
      <c r="D64" s="26" t="inlineStr">
        <is>
          <t>Action Electronics $5M</t>
        </is>
      </c>
      <c r="E64" s="26" t="inlineStr">
        <is>
          <t>--</t>
        </is>
      </c>
    </row>
    <row r="65" ht="10" customHeight="1">
      <c r="A65" s="30" t="inlineStr">
        <is>
          <t>DDG Mod — SSDS</t>
        </is>
      </c>
      <c r="B65" s="50" t="n">
        <v>40000</v>
      </c>
      <c r="C65" s="26" t="inlineStr">
        <is>
          <t>Mission Solutions $14M</t>
        </is>
      </c>
      <c r="D65" s="26" t="inlineStr">
        <is>
          <t>PMAT $6M</t>
        </is>
      </c>
      <c r="E65" s="26" t="inlineStr">
        <is>
          <t>--</t>
        </is>
      </c>
    </row>
    <row r="66" ht="10" customHeight="1">
      <c r="A66" s="30" t="inlineStr">
        <is>
          <t>DDG Mod — HELIOS</t>
        </is>
      </c>
      <c r="B66" s="50" t="n">
        <v>60000</v>
      </c>
      <c r="C66" s="26" t="inlineStr">
        <is>
          <t>MZA Associates $25M</t>
        </is>
      </c>
      <c r="D66" s="26" t="inlineStr">
        <is>
          <t>L3 Technologies $22M</t>
        </is>
      </c>
      <c r="E66" s="26" t="inlineStr">
        <is>
          <t>--</t>
        </is>
      </c>
    </row>
    <row r="67" ht="10" customHeight="1">
      <c r="A67" s="30" t="inlineStr">
        <is>
          <t>Airborne MCM</t>
        </is>
      </c>
      <c r="B67" s="50" t="n">
        <v>150000</v>
      </c>
      <c r="C67" s="26" t="inlineStr">
        <is>
          <t>Sparton $108M</t>
        </is>
      </c>
      <c r="D67" s="26" t="inlineStr">
        <is>
          <t>Teledyne $17M</t>
        </is>
      </c>
      <c r="E67" s="26" t="inlineStr">
        <is>
          <t>--</t>
        </is>
      </c>
    </row>
    <row r="68" ht="10" customHeight="1">
      <c r="A68" s="30" t="inlineStr">
        <is>
          <t>MK-54 Torpedo</t>
        </is>
      </c>
      <c r="B68" s="50" t="n">
        <v>30000</v>
      </c>
      <c r="C68" s="26" t="inlineStr">
        <is>
          <t>L3Harris (Aerojet) $25M</t>
        </is>
      </c>
      <c r="D68" s="26" t="inlineStr">
        <is>
          <t>J&amp;E Precision Tool $3M</t>
        </is>
      </c>
      <c r="E68" s="26" t="inlineStr">
        <is>
          <t>--</t>
        </is>
      </c>
    </row>
    <row r="69" ht="10" customHeight="1">
      <c r="A69" s="30" t="inlineStr">
        <is>
          <t>Depot Maintenance</t>
        </is>
      </c>
      <c r="B69" s="50"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6"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0" t="n">
        <v>346443</v>
      </c>
      <c r="C77" s="26" t="inlineStr">
        <is>
          <t>BAE Norfolk/SD, Metro Machine, NASSCO</t>
        </is>
      </c>
    </row>
    <row r="78" ht="10" customHeight="1">
      <c r="A78" s="30" t="inlineStr">
        <is>
          <t>OMN_Vol2 LHD/AMPHIBS modernization</t>
        </is>
      </c>
      <c r="B78" s="50" t="n">
        <v>631859</v>
      </c>
      <c r="C78" s="26" t="inlineStr">
        <is>
          <t>BAE Norfolk/SD, Metro Machine</t>
        </is>
      </c>
    </row>
    <row r="79" ht="10" customHeight="1">
      <c r="A79" s="30" t="inlineStr">
        <is>
          <t>OPN BA1 Line 8 LHA/LHD Midlife</t>
        </is>
      </c>
      <c r="B79" s="50" t="n">
        <v>123384</v>
      </c>
      <c r="C79" s="26" t="inlineStr">
        <is>
          <t>BAE / Metro / Gibbs &amp; Cox</t>
        </is>
      </c>
    </row>
    <row r="80" ht="10" customHeight="1">
      <c r="A80" s="32" t="inlineStr">
        <is>
          <t>LHD Total</t>
        </is>
      </c>
      <c r="B80" s="33">
        <f>SUM(B77:B79)</f>
        <v/>
      </c>
      <c r="C80" s="34" t="n"/>
    </row>
    <row r="81" ht="10" customHeight="1"/>
    <row r="82" ht="10" customHeight="1">
      <c r="A82" s="46"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0" t="n">
        <v>835037</v>
      </c>
      <c r="C84" s="26" t="inlineStr">
        <is>
          <t>HII — N0002424C2473 ($5.80B ceiling)</t>
        </is>
      </c>
    </row>
    <row r="85" ht="10" customHeight="1">
      <c r="A85" s="30" t="inlineStr">
        <is>
          <t>SCN 3010 LPD Flight II AP</t>
        </is>
      </c>
      <c r="B85" s="50" t="n">
        <v>275000</v>
      </c>
      <c r="C85" s="26" t="inlineStr">
        <is>
          <t>HII — N0002424C2473 AP scope</t>
        </is>
      </c>
    </row>
    <row r="86" ht="10" customHeight="1">
      <c r="A86" s="30" t="inlineStr">
        <is>
          <t>OMN_Vol2 LPD depot</t>
        </is>
      </c>
      <c r="B86" s="50" t="n">
        <v>149595</v>
      </c>
      <c r="C86" s="26" t="inlineStr">
        <is>
          <t>BAE Norfolk/SD</t>
        </is>
      </c>
    </row>
    <row r="87" ht="10" customHeight="1">
      <c r="A87" s="30" t="inlineStr">
        <is>
          <t>OPN BA1 Line 15 LPD Class Support</t>
        </is>
      </c>
      <c r="B87" s="50" t="n">
        <v>125542</v>
      </c>
      <c r="C87" s="26" t="inlineStr">
        <is>
          <t>HII Class Eng ($225M) + Raytheon LCE&amp;S ($485M)</t>
        </is>
      </c>
    </row>
    <row r="88" ht="10" customHeight="1">
      <c r="A88" s="32" t="inlineStr">
        <is>
          <t>LPD Total</t>
        </is>
      </c>
      <c r="B88" s="33">
        <f>SUM(B84:B87)</f>
        <v/>
      </c>
      <c r="C88" s="34" t="n"/>
    </row>
    <row r="89" ht="10" customHeight="1"/>
    <row r="90" ht="10" customHeight="1">
      <c r="A90" s="46"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0" t="n">
        <v>94421</v>
      </c>
      <c r="C92" s="26" t="inlineStr">
        <is>
          <t>NASSCO, BAE, Metro Machine</t>
        </is>
      </c>
    </row>
    <row r="93" ht="10" customHeight="1">
      <c r="A93" s="30" t="inlineStr">
        <is>
          <t>OMN_Vol2 LSD modernization</t>
        </is>
      </c>
      <c r="B93" s="50" t="n">
        <v>25931</v>
      </c>
      <c r="C93" s="26" t="inlineStr">
        <is>
          <t>Alteration installation (small)</t>
        </is>
      </c>
    </row>
    <row r="94" ht="10" customHeight="1">
      <c r="A94" s="32" t="inlineStr">
        <is>
          <t>LSD Total</t>
        </is>
      </c>
      <c r="B94" s="33">
        <f>SUM(B92:B93)</f>
        <v/>
      </c>
      <c r="C94" s="34" t="n"/>
    </row>
    <row r="95" ht="10" customHeight="1"/>
    <row r="96" ht="10" customHeight="1">
      <c r="A96" s="46"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0" t="n">
        <v>634963</v>
      </c>
      <c r="C98" s="26" t="inlineStr">
        <is>
          <t>HII — N0002420C2437 LHA 9 ($3.14B ceiling)</t>
        </is>
      </c>
    </row>
    <row r="99" ht="10" customHeight="1">
      <c r="A99" s="30" t="inlineStr">
        <is>
          <t>OMN_Vol2 LHA depot</t>
        </is>
      </c>
      <c r="B99" s="50" t="n">
        <v>45012</v>
      </c>
      <c r="C99" s="26" t="inlineStr">
        <is>
          <t>NASSCO — LHA 6 DSRA ($198M ceiling)</t>
        </is>
      </c>
    </row>
    <row r="100" ht="10" customHeight="1">
      <c r="A100" s="32" t="inlineStr">
        <is>
          <t>LHA Total</t>
        </is>
      </c>
      <c r="B100" s="33">
        <f>SUM(B98:B99)</f>
        <v/>
      </c>
      <c r="C100" s="34" t="n"/>
    </row>
    <row r="101" ht="10" customHeight="1"/>
    <row r="102" ht="10" customHeight="1">
      <c r="A102" s="46"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0" t="n">
        <v>5410773</v>
      </c>
      <c r="C104" s="26" t="inlineStr">
        <is>
          <t>HII FY23-27 MYP + BIW FY23-27 MYP</t>
        </is>
      </c>
    </row>
    <row r="105" ht="10" customHeight="1">
      <c r="A105" s="30" t="inlineStr">
        <is>
          <t>SCN 2122 DDG-51 AP</t>
        </is>
      </c>
      <c r="B105" s="50" t="n">
        <v>1750000</v>
      </c>
      <c r="C105" s="26" t="inlineStr">
        <is>
          <t>HII + BIW — AP against FY23-27 MYPs</t>
        </is>
      </c>
    </row>
    <row r="106" ht="10" customHeight="1">
      <c r="A106" s="30" t="inlineStr">
        <is>
          <t>SCN 2119 DDG-1000</t>
        </is>
      </c>
      <c r="B106" s="50" t="n">
        <v>52358</v>
      </c>
      <c r="C106" s="26" t="inlineStr">
        <is>
          <t>HII Mod Planning + BIW Planning Yard</t>
        </is>
      </c>
    </row>
    <row r="107" ht="10" customHeight="1">
      <c r="A107" s="30" t="inlineStr">
        <is>
          <t>OMN_Vol2 DDG depot</t>
        </is>
      </c>
      <c r="B107" s="50" t="n">
        <v>952000</v>
      </c>
      <c r="C107" s="26" t="inlineStr">
        <is>
          <t>BAE / NASSCO / Continental / Vigor / MHI / Metro</t>
        </is>
      </c>
    </row>
    <row r="108" ht="10" customHeight="1">
      <c r="A108" s="30" t="inlineStr">
        <is>
          <t>OMN_Vol2 DDG modernization</t>
        </is>
      </c>
      <c r="B108" s="50" t="n">
        <v>1282612</v>
      </c>
      <c r="C108" s="26" t="inlineStr">
        <is>
          <t>Cross-vehicle alteration installation</t>
        </is>
      </c>
    </row>
    <row r="109" ht="10" customHeight="1">
      <c r="A109" s="30" t="inlineStr">
        <is>
          <t>WPN 2234 Standard Missile</t>
        </is>
      </c>
      <c r="B109" s="50" t="n">
        <v>1008875</v>
      </c>
      <c r="C109" s="26" t="inlineStr">
        <is>
          <t>Raytheon SM production vehicles</t>
        </is>
      </c>
    </row>
    <row r="110" ht="10" customHeight="1">
      <c r="A110" s="30" t="inlineStr">
        <is>
          <t>OPN BA1 Line 5 DDG Mod</t>
        </is>
      </c>
      <c r="B110" s="50" t="n">
        <v>878787</v>
      </c>
      <c r="C110" s="26" t="inlineStr">
        <is>
          <t>SPY-6, SEWIP, SSDS, CEC, CIWS, HELIOS, Aegis kits</t>
        </is>
      </c>
    </row>
    <row r="111" ht="10" customHeight="1">
      <c r="A111" s="30" t="inlineStr">
        <is>
          <t>WPN 3215 MK-54 Torpedo Mods</t>
        </is>
      </c>
      <c r="B111" s="50" t="n">
        <v>128513</v>
      </c>
      <c r="C111" s="26" t="inlineStr">
        <is>
          <t>GDMS MK 54 MOD 1 + Ultra MK 54 MOD 0 + ATI OTAs</t>
        </is>
      </c>
    </row>
    <row r="112" ht="10" customHeight="1">
      <c r="A112" s="30" t="inlineStr">
        <is>
          <t>OPN BA1 Line 16 DDG-1000 Support</t>
        </is>
      </c>
      <c r="B112" s="50"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6"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0" t="n">
        <v>576389</v>
      </c>
      <c r="C117" s="26" t="inlineStr">
        <is>
          <t>LM Freedom ISEA + GDMS Independence ISEA + avails</t>
        </is>
      </c>
    </row>
    <row r="118" ht="10" customHeight="1">
      <c r="A118" s="30" t="inlineStr">
        <is>
          <t>OMN_Vol2 LCS modernization</t>
        </is>
      </c>
      <c r="B118" s="50" t="n">
        <v>383361</v>
      </c>
      <c r="C118" s="26" t="inlineStr">
        <is>
          <t>LM + GDMS combat system ISEA + ITT-2A</t>
        </is>
      </c>
    </row>
    <row r="119" ht="10" customHeight="1">
      <c r="A119" s="30" t="inlineStr">
        <is>
          <t>OPN BA1 Line 37 LCS In-Service Mod</t>
        </is>
      </c>
      <c r="B119" s="50" t="n">
        <v>189458</v>
      </c>
      <c r="C119" s="26" t="inlineStr">
        <is>
          <t>LM, GDMS, Textron, BAH PEO LCS support</t>
        </is>
      </c>
    </row>
    <row r="120" ht="10" customHeight="1">
      <c r="A120" s="30" t="inlineStr">
        <is>
          <t>OPN BA1 Line 34 LCS MCM Modules</t>
        </is>
      </c>
      <c r="B120" s="50" t="n">
        <v>91372</v>
      </c>
      <c r="C120" s="26" t="inlineStr">
        <is>
          <t>UISS (Textron), Knifefish (GDMS/NG), MCM USV (Bollinger)</t>
        </is>
      </c>
    </row>
    <row r="121" ht="10" customHeight="1">
      <c r="A121" s="30" t="inlineStr">
        <is>
          <t>WPN 2292 Naval Strike Missile</t>
        </is>
      </c>
      <c r="B121" s="50"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6"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0" t="n">
        <v>115501</v>
      </c>
      <c r="C126" s="26" t="inlineStr">
        <is>
          <t>Vigor, BAE Norfolk, NASSCO, HII CG planning</t>
        </is>
      </c>
    </row>
    <row r="127" ht="10" customHeight="1">
      <c r="A127" s="30" t="inlineStr">
        <is>
          <t>OMN_Vol2 CG modernization</t>
        </is>
      </c>
      <c r="B127" s="50"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69"/>
  <sheetViews>
    <sheetView showGridLines="0" workbookViewId="0">
      <selection activeCell="A1" sqref="A1"/>
    </sheetView>
  </sheetViews>
  <sheetFormatPr baseColWidth="8" defaultRowHeight="15"/>
  <cols>
    <col width="35" customWidth="1" min="1" max="1"/>
    <col width="70" customWidth="1" min="2" max="2"/>
    <col width="50" customWidth="1" min="3" max="3"/>
  </cols>
  <sheetData>
    <row r="1" ht="10" customHeight="1">
      <c r="A1" s="24" t="inlineStr">
        <is>
          <t>Validation &amp; Data Dictionary</t>
        </is>
      </c>
      <c r="B1" s="25" t="n"/>
      <c r="C1" s="25" t="n"/>
    </row>
    <row r="2" ht="10" customHeight="1">
      <c r="A2" s="26" t="inlineStr">
        <is>
          <t>Data dictionary, validation rules, and taxonomy reference for the consolidated line-item dataset</t>
        </is>
      </c>
    </row>
    <row r="3" ht="10" customHeight="1"/>
    <row r="4" ht="10" customHeight="1">
      <c r="A4" s="27" t="inlineStr">
        <is>
          <t>Row Types</t>
        </is>
      </c>
      <c r="B4" s="28" t="n"/>
      <c r="C4" s="28" t="n"/>
    </row>
    <row r="5" ht="10" customHeight="1">
      <c r="A5" s="26" t="inlineStr">
        <is>
          <t>Tags in the Row Type column (col E) classify how each line item participates in aggregation. Determines which rows are summed for TAM totals.</t>
        </is>
      </c>
    </row>
    <row r="6" ht="10" customHeight="1">
      <c r="A6" s="29" t="inlineStr">
        <is>
          <t>Tag</t>
        </is>
      </c>
      <c r="B6" s="29" t="inlineStr">
        <is>
          <t>Description</t>
        </is>
      </c>
      <c r="C6" s="29" t="inlineStr">
        <is>
          <t>Aggregation Rule</t>
        </is>
      </c>
    </row>
    <row r="7" ht="10" customHeight="1">
      <c r="A7" s="30" t="inlineStr">
        <is>
          <t>(no tag)</t>
        </is>
      </c>
      <c r="B7" s="30" t="inlineStr">
        <is>
          <t>Additive — standalone budget line item whose funding is not double-counted elsewhere.</t>
        </is>
      </c>
      <c r="C7" s="26" t="inlineStr">
        <is>
          <t>TAM = sum of all (no tag) + [PARENT] rows</t>
        </is>
      </c>
    </row>
    <row r="8" ht="10" customHeight="1">
      <c r="A8" s="30" t="inlineStr">
        <is>
          <t>[PARENT]</t>
        </is>
      </c>
      <c r="B8" s="30" t="inlineStr">
        <is>
          <t>Parent row — holds aggregate total; [SUB] children break it into components.</t>
        </is>
      </c>
      <c r="C8" s="26" t="inlineStr">
        <is>
          <t>Include in TAM sum alongside (no tag). Do NOT also sum [SUB] children.</t>
        </is>
      </c>
    </row>
    <row r="9" ht="10" customHeight="1">
      <c r="A9" s="30" t="inlineStr">
        <is>
          <t>[SUB]</t>
        </is>
      </c>
      <c r="B9" s="30" t="inlineStr">
        <is>
          <t>Sub-item breakdown of a parent. Provides granular detail but double-counts if summed with parent.</t>
        </is>
      </c>
      <c r="C9" s="26" t="inlineStr">
        <is>
          <t>Exclude from TAM if summing [PARENT]. Parent Item column points to parent row.</t>
        </is>
      </c>
    </row>
    <row r="10" ht="10" customHeight="1">
      <c r="A10" s="30" t="inlineStr">
        <is>
          <t>[ALT_VIEW]</t>
        </is>
      </c>
      <c r="B10" s="30" t="inlineStr">
        <is>
          <t>Alternative cut of the same money — e.g., P-5c cost breakdowns vs. P-40 line items.</t>
        </is>
      </c>
      <c r="C10" s="26" t="inlineStr">
        <is>
          <t>Always exclude from TAM sums. Parent Item indicates the alternative-view source.</t>
        </is>
      </c>
    </row>
    <row r="11" ht="10" customHeight="1">
      <c r="A11" s="30" t="inlineStr">
        <is>
          <t>[UNFUNDED]</t>
        </is>
      </c>
      <c r="B11" s="30" t="inlineStr">
        <is>
          <t>Deferred maintenance or unfunded requirements — real need but NOT in enacted/requested funding.</t>
        </is>
      </c>
      <c r="C11" s="26" t="inlineStr">
        <is>
          <t>Exclude from TAM. Useful for gap analysis (funded vs. required).</t>
        </is>
      </c>
    </row>
    <row r="12" ht="10" customHeight="1">
      <c r="A12" s="30" t="inlineStr">
        <is>
          <t>[REFERENCE]</t>
        </is>
      </c>
      <c r="B12" s="30" t="inlineStr">
        <is>
          <t>Context data that is not additive — unit costs, O&amp;S program changes, revolving fund notes.</t>
        </is>
      </c>
      <c r="C12" s="26" t="inlineStr">
        <is>
          <t>Exclude from TAM. Included for analytical context only.</t>
        </is>
      </c>
    </row>
    <row r="13" ht="10" customHeight="1"/>
    <row r="14" ht="10" customHeight="1">
      <c r="A14" s="27" t="inlineStr">
        <is>
          <t>Market Scope: Total Funding → TAM → SAM</t>
        </is>
      </c>
      <c r="B14" s="28" t="n"/>
      <c r="C14" s="28" t="n"/>
    </row>
    <row r="15" ht="10" customHeight="1">
      <c r="A15" s="26" t="inlineStr">
        <is>
          <t>How the workbook narrows from total budget authority to the addressable market. Each analysis sheet's row 2 carries the canonical scope definition.</t>
        </is>
      </c>
    </row>
    <row r="16" ht="10" customHeight="1"/>
    <row r="17" ht="10" customHeight="1">
      <c r="A17" s="46" t="inlineStr">
        <is>
          <t>Total Funding</t>
        </is>
      </c>
      <c r="B17" s="39" t="n"/>
      <c r="C17" s="39" t="n"/>
    </row>
    <row r="18" ht="10" customHeight="1">
      <c r="A18" s="30" t="inlineStr">
        <is>
          <t>All USN, MSC &amp; USCG budget authority for any type of work on any type of vessel — from new construction through depot maintenance, modernization, sustainment, and end-of-life. Includes line items that lack vessel type or work type attribution.</t>
        </is>
      </c>
    </row>
    <row r="19" ht="10" customHeight="1"/>
    <row r="20" ht="10" customHeight="1">
      <c r="A20" s="46" t="inlineStr">
        <is>
          <t>Newbuild TAM</t>
        </is>
      </c>
      <c r="B20" s="39" t="n"/>
      <c r="C20" s="39" t="n"/>
    </row>
    <row r="21" ht="10" customHeight="1">
      <c r="A21" s="30" t="inlineStr">
        <is>
          <t>Total Funding narrowed to new construction only and only oceangoing vessels — excludes small craft (Combatant Crafts, Support Crafts) and USCG Boats. Limited to line items with clear vessel type designation; unattributed fleet-wide items are excluded.</t>
        </is>
      </c>
    </row>
    <row r="22" ht="10" customHeight="1"/>
    <row r="23" ht="10" customHeight="1">
      <c r="A23" s="46" t="inlineStr">
        <is>
          <t>Newbuild SAM</t>
        </is>
      </c>
      <c r="B23" s="39" t="n"/>
      <c r="C23" s="39" t="n"/>
    </row>
    <row r="24" ht="10" customHeight="1">
      <c r="A24" s="30" t="inlineStr">
        <is>
          <t>Outsourceable new construction sized at cost-element level. Starts from Newbuild TAM, excludes single-yard/nuclear programs (Submarines, Aircraft Carriers, UUVs), then narrows to hull programs with P-5c exhibit data. The SAM (cost-element coverage) is the P-5c percentage mix applied to net budget authority — the market a company could compete in, broken by component. SAM (all programs) retains the broader vessel-type scope.</t>
        </is>
      </c>
    </row>
    <row r="25" ht="10" customHeight="1"/>
    <row r="26" ht="10" customHeight="1">
      <c r="A26" s="46" t="inlineStr">
        <is>
          <t>MRO TAM</t>
        </is>
      </c>
      <c r="B26" s="39" t="n"/>
      <c r="C26" s="39" t="n"/>
    </row>
    <row r="27" ht="10" customHeight="1">
      <c r="A27" s="30"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28" ht="10" customHeight="1"/>
    <row r="29" ht="10" customHeight="1">
      <c r="A29" s="46" t="inlineStr">
        <is>
          <t>MRO SAM</t>
        </is>
      </c>
      <c r="B29" s="39" t="n"/>
      <c r="C29" s="39" t="n"/>
    </row>
    <row r="30" ht="10" customHeight="1">
      <c r="A30" s="30" t="inlineStr">
        <is>
          <t>MRO TAM narrowed to outsourceable work types (scheduled depot maintenance and modernization/alteration installation) and outsourceable vessel types (excludes Submarines, Aircraft Carriers &amp; UUVs). Sized at hull-program level. Cost-element coverage (P-5c/P-8a) is not available for MRO work — justification books do not break maintenance spending by Electronics / HM&amp;E / Ordnance the way they do for new construction.</t>
        </is>
      </c>
    </row>
    <row r="31" ht="10" customHeight="1"/>
    <row r="32" ht="10" customHeight="1">
      <c r="A32" s="46" t="inlineStr">
        <is>
          <t>TAM Formula &amp; Aggregation</t>
        </is>
      </c>
      <c r="B32" s="39" t="n"/>
      <c r="C32" s="39" t="n"/>
    </row>
    <row r="33" ht="10" customHeight="1">
      <c r="A33" s="29" t="inlineStr">
        <is>
          <t>Rule</t>
        </is>
      </c>
      <c r="B33" s="29" t="inlineStr">
        <is>
          <t>Description</t>
        </is>
      </c>
      <c r="C33" s="29" t="inlineStr">
        <is>
          <t>Notes</t>
        </is>
      </c>
    </row>
    <row r="34" ht="10" customHeight="1">
      <c r="A34" s="30" t="inlineStr">
        <is>
          <t>TAM formula</t>
        </is>
      </c>
      <c r="B34" s="30" t="inlineStr">
        <is>
          <t>TAM = SUM(FY_Best) WHERE Row_Class = "ADD". Pre-computed in helper columns: Row Class (col AC), FY26 Best (col AD), FY27 Best (col AE).</t>
        </is>
      </c>
      <c r="C34" s="26" t="inlineStr">
        <is>
          <t>FY26 cascade: DAA Enacted (Y) &gt; Total (U) &gt; Request (S). FY27: Total (AB) &gt; Request (Z).</t>
        </is>
      </c>
    </row>
    <row r="35" ht="10" customHeight="1">
      <c r="A35" s="30" t="inlineStr">
        <is>
          <t>Double-counting guard</t>
        </is>
      </c>
      <c r="B35" s="30" t="inlineStr">
        <is>
          <t>Never sum [PARENT] and its [SUB] children together. Never sum [ALT_VIEW] with either [PARENT] or (no tag) rows.</t>
        </is>
      </c>
    </row>
    <row r="36" ht="10" customHeight="1">
      <c r="A36" s="30" t="inlineStr">
        <is>
          <t>OPN_BA4 convention</t>
        </is>
      </c>
      <c r="B36" s="30" t="inlineStr">
        <is>
          <t>OPN_BA4 has zero (no tag) rows — all items are [PARENT] or [SUB]. TAM for BA4 = sum of [PARENT] rows only.</t>
        </is>
      </c>
    </row>
    <row r="37" ht="10" customHeight="1">
      <c r="A37" s="30" t="inlineStr">
        <is>
          <t>Cross-book overlap</t>
        </is>
      </c>
      <c r="B37" s="30" t="inlineStr">
        <is>
          <t>NWCF and OMN fund some of the same activities (NWCF is a revolving fund reimbursed by OMN). Use Source_Book to isolate.</t>
        </is>
      </c>
    </row>
    <row r="38" ht="10" customHeight="1"/>
    <row r="39" ht="10" customHeight="1">
      <c r="A39" s="46" t="inlineStr">
        <is>
          <t>Outsourceable Work Types (SAM-eligible)</t>
        </is>
      </c>
      <c r="B39" s="39" t="n"/>
      <c r="C39" s="39" t="n"/>
    </row>
    <row r="40" ht="10" customHeight="1">
      <c r="A40" s="26" t="inlineStr">
        <is>
          <t>Three work types a non-incumbent shipyard could compete for — these define SAM MRO scope</t>
        </is>
      </c>
    </row>
    <row r="41" ht="10" customHeight="1">
      <c r="A41" s="29" t="inlineStr">
        <is>
          <t>Work Type</t>
        </is>
      </c>
      <c r="B41" s="29" t="inlineStr">
        <is>
          <t>Description</t>
        </is>
      </c>
      <c r="C41" s="29" t="inlineStr">
        <is>
          <t>Bucket</t>
        </is>
      </c>
    </row>
    <row r="42" ht="10" customHeight="1">
      <c r="A42" s="30" t="inlineStr">
        <is>
          <t>New Construction</t>
        </is>
      </c>
      <c r="B42" s="30" t="inlineStr">
        <is>
          <t>Detail design, construction, and delivery of new vessels</t>
        </is>
      </c>
      <c r="C42" s="26" t="inlineStr">
        <is>
          <t>Bucket 1</t>
        </is>
      </c>
    </row>
    <row r="43" ht="10" customHeight="1">
      <c r="A43" s="30" t="inlineStr">
        <is>
          <t>Scheduled Depot Maintenance</t>
        </is>
      </c>
      <c r="B43" s="30" t="inlineStr">
        <is>
          <t>CNO-scheduled depot-level maintenance availabilities</t>
        </is>
      </c>
      <c r="C43" s="26" t="inlineStr">
        <is>
          <t>Bucket 2</t>
        </is>
      </c>
    </row>
    <row r="44" ht="10" customHeight="1">
      <c r="A44" s="30" t="inlineStr">
        <is>
          <t>Modernization &amp; Alteration</t>
        </is>
      </c>
      <c r="B44" s="30" t="inlineStr">
        <is>
          <t>Combat system upgrades, hull/mech/elec modernization</t>
        </is>
      </c>
      <c r="C44" s="26" t="inlineStr">
        <is>
          <t>Bucket 4</t>
        </is>
      </c>
    </row>
    <row r="45" ht="10" customHeight="1">
      <c r="A45" s="26" t="inlineStr">
        <is>
          <t>Excluded: Continuous/Emergent (3), Major Life-Cycle/RCOH (5), Sustainment Engineering (6), Availability Support (7)</t>
        </is>
      </c>
    </row>
    <row r="46" ht="10" customHeight="1"/>
    <row r="47" ht="10" customHeight="1">
      <c r="A47" s="46" t="inlineStr">
        <is>
          <t>TAM Vessel Category Scope</t>
        </is>
      </c>
      <c r="B47" s="39" t="n"/>
      <c r="C47" s="39" t="n"/>
    </row>
    <row r="48" ht="10" customHeight="1">
      <c r="A48" s="29" t="inlineStr">
        <is>
          <t>Category</t>
        </is>
      </c>
      <c r="B48" s="29" t="inlineStr">
        <is>
          <t>TAM Scope</t>
        </is>
      </c>
      <c r="C48" s="29" t="inlineStr">
        <is>
          <t>Notes</t>
        </is>
      </c>
    </row>
    <row r="49" ht="10" customHeight="1">
      <c r="A49" s="30" t="inlineStr">
        <is>
          <t>Combatant Ships</t>
        </is>
      </c>
      <c r="B49" s="30" t="inlineStr">
        <is>
          <t>YES → TAM</t>
        </is>
      </c>
    </row>
    <row r="50" ht="10" customHeight="1">
      <c r="A50" s="30" t="inlineStr">
        <is>
          <t>Auxiliary Ships</t>
        </is>
      </c>
      <c r="B50" s="30" t="inlineStr">
        <is>
          <t>YES → TAM</t>
        </is>
      </c>
    </row>
    <row r="51" ht="10" customHeight="1">
      <c r="A51" s="30" t="inlineStr">
        <is>
          <t>Cutters</t>
        </is>
      </c>
      <c r="B51" s="30" t="inlineStr">
        <is>
          <t>YES → TAM</t>
        </is>
      </c>
      <c r="C51" s="26" t="inlineStr">
        <is>
          <t>USCG</t>
        </is>
      </c>
    </row>
    <row r="52" ht="10" customHeight="1">
      <c r="A52" s="30" t="inlineStr">
        <is>
          <t>Unmanned Maritime Platforms</t>
        </is>
      </c>
      <c r="B52" s="30" t="inlineStr">
        <is>
          <t>YES → TAM</t>
        </is>
      </c>
    </row>
    <row r="53" ht="10" customHeight="1">
      <c r="A53" s="30" t="inlineStr">
        <is>
          <t>Combatant Crafts</t>
        </is>
      </c>
      <c r="B53" s="30" t="inlineStr">
        <is>
          <t>No — small craft</t>
        </is>
      </c>
      <c r="C53" s="26" t="inlineStr">
        <is>
          <t>Excluded</t>
        </is>
      </c>
    </row>
    <row r="54" ht="10" customHeight="1">
      <c r="A54" s="30" t="inlineStr">
        <is>
          <t>Support Crafts</t>
        </is>
      </c>
      <c r="B54" s="30" t="inlineStr">
        <is>
          <t>No — non-oceangoing</t>
        </is>
      </c>
      <c r="C54" s="26" t="inlineStr">
        <is>
          <t>Excluded</t>
        </is>
      </c>
    </row>
    <row r="55" ht="10" customHeight="1">
      <c r="A55" s="30" t="inlineStr">
        <is>
          <t>Boats</t>
        </is>
      </c>
      <c r="B55" s="30" t="inlineStr">
        <is>
          <t>No — under 65 ft</t>
        </is>
      </c>
      <c r="C55" s="26" t="inlineStr">
        <is>
          <t>USCG — excluded</t>
        </is>
      </c>
    </row>
    <row r="56" ht="10" customHeight="1"/>
    <row r="57" ht="10" customHeight="1">
      <c r="A57" s="46" t="inlineStr">
        <is>
          <t>SAM Vessel Type Exclusions</t>
        </is>
      </c>
      <c r="B57" s="39" t="n"/>
      <c r="C57" s="39" t="n"/>
    </row>
    <row r="58" ht="10" customHeight="1">
      <c r="A58" s="29" t="inlineStr">
        <is>
          <t>Vessel Type</t>
        </is>
      </c>
      <c r="B58" s="29" t="inlineStr">
        <is>
          <t>Reason</t>
        </is>
      </c>
      <c r="C58" s="29" t="inlineStr">
        <is>
          <t>Notes</t>
        </is>
      </c>
    </row>
    <row r="59" ht="10" customHeight="1">
      <c r="A59" s="30" t="inlineStr">
        <is>
          <t>Submarines</t>
        </is>
      </c>
      <c r="B59" s="30" t="inlineStr">
        <is>
          <t>Nuclear-only yards — only two US facilities can build nuclear submarines</t>
        </is>
      </c>
      <c r="C59" s="26" t="inlineStr">
        <is>
          <t>Electric Boat (CT) and Newport News (VA)</t>
        </is>
      </c>
    </row>
    <row r="60" ht="10" customHeight="1">
      <c r="A60" s="30" t="inlineStr">
        <is>
          <t>Aircraft Carriers</t>
        </is>
      </c>
      <c r="B60" s="30" t="inlineStr">
        <is>
          <t>Newport News monopoly — single-source production</t>
        </is>
      </c>
      <c r="C60" s="26" t="inlineStr">
        <is>
          <t>Huntington Ingalls Industries</t>
        </is>
      </c>
    </row>
    <row r="61" ht="10" customHeight="1">
      <c r="A61" s="30" t="inlineStr">
        <is>
          <t>Unmanned Undersea Vehicles</t>
        </is>
      </c>
      <c r="B61" s="30" t="inlineStr">
        <is>
          <t>Specialized programs with limited competition</t>
        </is>
      </c>
    </row>
    <row r="62" ht="10" customHeight="1"/>
    <row r="63" ht="10" customHeight="1">
      <c r="A63" s="27" t="inlineStr">
        <is>
          <t>Work Type Buckets (1–7)</t>
        </is>
      </c>
      <c r="B63" s="28" t="n"/>
      <c r="C63" s="28" t="n"/>
    </row>
    <row r="64" ht="10" customHeight="1">
      <c r="A64" s="26" t="inlineStr">
        <is>
          <t>Seven-bucket taxonomy classifying all types of work performed on vessels, from new construction through end-of-life support</t>
        </is>
      </c>
    </row>
    <row r="65" ht="10" customHeight="1">
      <c r="A65" s="29" t="inlineStr">
        <is>
          <t>Bucket</t>
        </is>
      </c>
      <c r="B65" s="29" t="inlineStr">
        <is>
          <t>Description</t>
        </is>
      </c>
      <c r="C65" s="29" t="inlineStr">
        <is>
          <t>Budget Anchors / Keywords</t>
        </is>
      </c>
    </row>
    <row r="66" ht="10" customHeight="1">
      <c r="A66" s="30" t="inlineStr">
        <is>
          <t>1 — New Construction</t>
        </is>
      </c>
      <c r="B66" s="30" t="inlineStr">
        <is>
          <t>Design, construction, and delivery of new vessels from detail design through sea trials.</t>
        </is>
      </c>
      <c r="C66" s="26" t="inlineStr">
        <is>
          <t>SCN (Navy), PC&amp;I (USCG). Keywords: DD&amp;C, LLTM, advance procurement.</t>
        </is>
      </c>
    </row>
    <row r="67" ht="10" customHeight="1">
      <c r="A67" s="30" t="inlineStr">
        <is>
          <t>2 — Scheduled Depot Maintenance &amp; Repair</t>
        </is>
      </c>
      <c r="B67" s="30" t="inlineStr">
        <is>
          <t>Planned depot-level work to restore/sustain material condition during CNO-scheduled availabilities.</t>
        </is>
      </c>
      <c r="C67" s="26" t="inlineStr">
        <is>
          <t>O&amp;M,N SAG 1B4B Ship Depot Maintenance. Keywords: DSRA, SRA, DPMA, PMA, PIA, ROH, drydock.</t>
        </is>
      </c>
    </row>
    <row r="68" ht="10" customHeight="1">
      <c r="A68" s="30" t="inlineStr">
        <is>
          <t>3 — Continuous / Intermediate / Emergent Maintenance</t>
        </is>
      </c>
      <c r="B68" s="30" t="inlineStr">
        <is>
          <t>Shorter-duration, intermediate-level, continuous, and emergent/casualty work outside the depot event.</t>
        </is>
      </c>
      <c r="C68" s="26" t="inlineStr">
        <is>
          <t>Keywords: CMAV, WOO, EM, emergent, casualty repair, voyage repair, dockside.</t>
        </is>
      </c>
    </row>
    <row r="69" ht="10" customHeight="1">
      <c r="A69" s="30" t="inlineStr">
        <is>
          <t>4 — Modernization &amp; Alteration Installation</t>
        </is>
      </c>
      <c r="B69" s="30" t="inlineStr">
        <is>
          <t>Work that changes configuration or adds capability beyond restore-only repair. Funded primarily through procurement.</t>
        </is>
      </c>
      <c r="C69" s="26" t="inlineStr">
        <is>
          <t>OPN P-40 line items (DDG Mod, CG Mod, LCS Mod). Keywords: SHIPALT, ORDALT, tech refresh, backfit.</t>
        </is>
      </c>
    </row>
    <row r="70" ht="10" customHeight="1">
      <c r="A70" s="30" t="inlineStr">
        <is>
          <t>5 — Major Life-Cycle Events / SLEP / MMA / RCOH</t>
        </is>
      </c>
      <c r="B70" s="30" t="inlineStr">
        <is>
          <t>Multi-year platform- or class-scale recapitalization that gets its own budget line.</t>
        </is>
      </c>
      <c r="C70" s="26" t="inlineStr">
        <is>
          <t>Keywords: RCOH, EOH, SLEP, MMA, midlife. Separate from routine depot maintenance (Bucket 2).</t>
        </is>
      </c>
    </row>
    <row r="71" ht="10" customHeight="1">
      <c r="A71" s="30" t="inlineStr">
        <is>
          <t>6 — Sustainment Engineering / Planning / Obsolescence</t>
        </is>
      </c>
      <c r="B71" s="30" t="inlineStr">
        <is>
          <t>Engineering, planning, DMSMS/obsolescence, and program support for in-service vessels.</t>
        </is>
      </c>
      <c r="C71" s="26" t="inlineStr">
        <is>
          <t>O&amp;M,N SAG 1B5B Ship Depot Ops Support; OPN spares (BA08). Keywords: SETA, DMSMS, survey &amp; design.</t>
        </is>
      </c>
    </row>
    <row r="72" ht="10" customHeight="1">
      <c r="A72" s="30" t="inlineStr">
        <is>
          <t>7 — Availability Support / Husbanding / Port Services</t>
        </is>
      </c>
      <c r="B72" s="30" t="inlineStr">
        <is>
          <t>Services that enable repair/modernization but are not themselves repair or upgrade work.</t>
        </is>
      </c>
      <c r="C72" s="26" t="inlineStr">
        <is>
          <t>Keywords: husbanding, pilot, tug, berthing, crane, shore power, scaffolding, environmental.</t>
        </is>
      </c>
    </row>
    <row r="73" ht="10" customHeight="1"/>
    <row r="74" ht="10" customHeight="1">
      <c r="A74" s="46" t="inlineStr">
        <is>
          <t>Bucket 1 Sub-Categories</t>
        </is>
      </c>
      <c r="B74" s="39" t="n"/>
      <c r="C74" s="39" t="n"/>
    </row>
    <row r="75" ht="10" customHeight="1">
      <c r="A75" s="29" t="inlineStr">
        <is>
          <t>Sub-Category</t>
        </is>
      </c>
      <c r="B75" s="29" t="inlineStr">
        <is>
          <t>Description</t>
        </is>
      </c>
      <c r="C75" s="29" t="inlineStr">
        <is>
          <t>Examples</t>
        </is>
      </c>
    </row>
    <row r="76" ht="10" customHeight="1">
      <c r="A76" s="30" t="inlineStr">
        <is>
          <t>Full ship DD&amp;C</t>
        </is>
      </c>
      <c r="B76" s="30" t="inlineStr">
        <is>
          <t>Detail design and construction of a complete vessel.</t>
        </is>
      </c>
      <c r="C76" s="26" t="inlineStr">
        <is>
          <t>DDG-51, FFG-62, CVN-79, LPD, LHA, T-AO, OPC, FRC, PSC</t>
        </is>
      </c>
    </row>
    <row r="77" ht="10" customHeight="1">
      <c r="A77" s="30" t="inlineStr">
        <is>
          <t>Advance procurement / LLTM</t>
        </is>
      </c>
      <c r="B77" s="30" t="inlineStr">
        <is>
          <t>Long-lead time material and advance procurement funded 1–2 years ahead of DD&amp;C.</t>
        </is>
      </c>
      <c r="C77" s="26" t="inlineStr">
        <is>
          <t>Reactor components, propulsion equipment, combat system long-lead items</t>
        </is>
      </c>
    </row>
    <row r="78" ht="10" customHeight="1">
      <c r="A78" s="30" t="inlineStr">
        <is>
          <t>Construction engineering / planning yard</t>
        </is>
      </c>
      <c r="B78" s="30" t="inlineStr">
        <is>
          <t>Lead yard support, planning yard services, and design completion work.</t>
        </is>
      </c>
      <c r="C78" s="26" t="inlineStr">
        <is>
          <t>EB submarine planning yard, Columbia design completion</t>
        </is>
      </c>
    </row>
    <row r="79" ht="10" customHeight="1">
      <c r="A79" s="30" t="inlineStr">
        <is>
          <t>GFE / combat systems for newbuild</t>
        </is>
      </c>
      <c r="B79" s="30" t="inlineStr">
        <is>
          <t>Government-furnished equipment / combat systems procured separately from hull construction (via OPN or RDT&amp;E).</t>
        </is>
      </c>
      <c r="C79" s="26" t="inlineStr">
        <is>
          <t>Funded through OPN, not SCN — but supports new construction</t>
        </is>
      </c>
    </row>
    <row r="80" ht="10" customHeight="1"/>
    <row r="81" ht="10" customHeight="1">
      <c r="A81" s="46" t="inlineStr">
        <is>
          <t>Bucket 2–7 Sub-Categories</t>
        </is>
      </c>
      <c r="B81" s="39" t="n"/>
      <c r="C81" s="39" t="n"/>
    </row>
    <row r="82" ht="10" customHeight="1">
      <c r="A82" s="29" t="inlineStr">
        <is>
          <t>Sub-Category</t>
        </is>
      </c>
      <c r="B82" s="29" t="inlineStr">
        <is>
          <t>Description</t>
        </is>
      </c>
      <c r="C82" s="29" t="inlineStr">
        <is>
          <t>Coverage</t>
        </is>
      </c>
    </row>
    <row r="83" ht="10" customHeight="1">
      <c r="A83" s="30" t="inlineStr">
        <is>
          <t>Bkt 2: Scheduled Depot Maintenance</t>
        </is>
      </c>
      <c r="B83" s="30" t="inlineStr">
        <is>
          <t>CNO-scheduled depot-level maintenance availabilities.</t>
        </is>
      </c>
      <c r="C83" s="26" t="inlineStr">
        <is>
          <t>113 rows</t>
        </is>
      </c>
    </row>
    <row r="84" ht="10" customHeight="1">
      <c r="A84" s="30" t="inlineStr">
        <is>
          <t>Bkt 2: Ship Availability</t>
        </is>
      </c>
      <c r="B84" s="30" t="inlineStr">
        <is>
          <t>Ship availability periods for maintenance and repair work.</t>
        </is>
      </c>
      <c r="C84" s="26" t="inlineStr">
        <is>
          <t>105 rows</t>
        </is>
      </c>
    </row>
    <row r="85" ht="10" customHeight="1">
      <c r="A85" s="30" t="inlineStr">
        <is>
          <t>Bkt 4: GFE / combat systems</t>
        </is>
      </c>
      <c r="B85" s="30" t="inlineStr">
        <is>
          <t>Government-furnished equipment and combat system modernization.</t>
        </is>
      </c>
      <c r="C85" s="26" t="inlineStr">
        <is>
          <t>Shared with Bucket 1</t>
        </is>
      </c>
    </row>
    <row r="86" ht="10" customHeight="1">
      <c r="A86" s="30" t="inlineStr">
        <is>
          <t>Bkt 5: RCOH</t>
        </is>
      </c>
      <c r="B86" s="30" t="inlineStr">
        <is>
          <t>Refueling Complex Overhaul — multi-year nuclear carrier recapitalization.</t>
        </is>
      </c>
      <c r="C86" s="26" t="inlineStr">
        <is>
          <t>187 rows</t>
        </is>
      </c>
    </row>
    <row r="87" ht="10" customHeight="1">
      <c r="A87" s="30" t="inlineStr">
        <is>
          <t>Bkt 5: SLEP</t>
        </is>
      </c>
      <c r="B87" s="30" t="inlineStr">
        <is>
          <t>Service Life Extension Program — extends platform beyond original design life.</t>
        </is>
      </c>
      <c r="C87" s="26" t="inlineStr">
        <is>
          <t>6 rows</t>
        </is>
      </c>
    </row>
    <row r="88" ht="10" customHeight="1">
      <c r="A88" s="30" t="inlineStr">
        <is>
          <t>Bkt 6: Sustainment Eng. — spares</t>
        </is>
      </c>
      <c r="B88" s="30" t="inlineStr">
        <is>
          <t>Spare parts procurement for sustainment engineering and obsolescence (OPN BA08).</t>
        </is>
      </c>
      <c r="C88" s="26" t="inlineStr">
        <is>
          <t>14 rows</t>
        </is>
      </c>
    </row>
    <row r="89" ht="10" customHeight="1">
      <c r="A89" s="30" t="inlineStr">
        <is>
          <t>Bkt 7: Availability Support</t>
        </is>
      </c>
      <c r="B89" s="30" t="inlineStr">
        <is>
          <t>Services enabling repair/mod — husbanding, port services, crane, scaffolding.</t>
        </is>
      </c>
      <c r="C89" s="26" t="inlineStr">
        <is>
          <t>76 rows</t>
        </is>
      </c>
    </row>
    <row r="90" ht="10" customHeight="1">
      <c r="A90" s="30" t="inlineStr">
        <is>
          <t>Other: Full vessel procurement</t>
        </is>
      </c>
      <c r="B90" s="30" t="inlineStr">
        <is>
          <t>USCG full vessel procurement — equivalent to Full ship DD&amp;C for Coast Guard.</t>
        </is>
      </c>
      <c r="C90" s="26" t="inlineStr">
        <is>
          <t>6 rows</t>
        </is>
      </c>
    </row>
    <row r="91" ht="10" customHeight="1">
      <c r="A91" s="30" t="inlineStr">
        <is>
          <t>Other: Full ship DD&amp;C / LLTM</t>
        </is>
      </c>
      <c r="B91" s="30" t="inlineStr">
        <is>
          <t>Combined full ship construction and long-lead time material in a single line item.</t>
        </is>
      </c>
      <c r="C91" s="26" t="inlineStr">
        <is>
          <t>3 rows</t>
        </is>
      </c>
    </row>
    <row r="92" ht="10" customHeight="1"/>
    <row r="93" ht="10" customHeight="1">
      <c r="A93" s="46" t="inlineStr">
        <is>
          <t>Composite Bucket Values</t>
        </is>
      </c>
      <c r="B93" s="39" t="n"/>
      <c r="C93" s="39" t="n"/>
    </row>
    <row r="94" ht="10" customHeight="1">
      <c r="A94" s="30" t="inlineStr">
        <is>
          <t>Multi-bucket line items</t>
        </is>
      </c>
      <c r="B94" s="30" t="inlineStr">
        <is>
          <t>Some line items span multiple work types. Bucket value uses a delimiter (pipe, comma, or slash): 2|3, 2,3, 2/4, 4/6, 1,4,5.</t>
        </is>
      </c>
      <c r="C94" s="26" t="inlineStr">
        <is>
          <t>Correctly excluded from per-bucket TAM sums (SUMPRODUCT checks fail on composite strings).</t>
        </is>
      </c>
    </row>
    <row r="95" ht="10" customHeight="1">
      <c r="A95" s="30" t="inlineStr">
        <is>
          <t>TAM impact</t>
        </is>
      </c>
      <c r="B95" s="30" t="inlineStr">
        <is>
          <t>Composite-bucket rows excluded from TAM-by-work-type pivot because SUMPRODUCT checks D=1, D=2, etc. — a string like "2|3" fails all single-integer tests.</t>
        </is>
      </c>
      <c r="C95" s="26" t="inlineStr">
        <is>
          <t>To capture, filter Bucket for non-integer values.</t>
        </is>
      </c>
    </row>
    <row r="96" ht="10" customHeight="1"/>
    <row r="97" ht="10" customHeight="1">
      <c r="A97" s="27" t="inlineStr">
        <is>
          <t>Vessel Taxonomy</t>
        </is>
      </c>
      <c r="B97" s="28" t="n"/>
      <c r="C97" s="28" t="n"/>
    </row>
    <row r="98" ht="10" customHeight="1">
      <c r="A98" s="26" t="inlineStr">
        <is>
          <t>Four-column hierarchy: Vessel Service → Category → Type → Hull. Each column progressively more specific. All 4 may be populated or only broader levels.</t>
        </is>
      </c>
    </row>
    <row r="99" ht="10" customHeight="1"/>
    <row r="100" ht="10" customHeight="1">
      <c r="A100" s="46" t="inlineStr">
        <is>
          <t>USN — United States Navy</t>
        </is>
      </c>
      <c r="B100" s="39" t="n"/>
      <c r="C100" s="39" t="n"/>
    </row>
    <row r="101" ht="10" customHeight="1">
      <c r="A101" s="26" t="inlineStr">
        <is>
          <t>Commissioned warships and support craft with Navy crews.</t>
        </is>
      </c>
    </row>
    <row r="102" ht="10" customHeight="1"/>
    <row r="103" ht="10" customHeight="1">
      <c r="A103" s="46" t="inlineStr">
        <is>
          <t>Combatant Ships (TAM scope)</t>
        </is>
      </c>
      <c r="B103" s="39" t="n"/>
      <c r="C103" s="39" t="n"/>
    </row>
    <row r="104" ht="10" customHeight="1">
      <c r="A104" s="26" t="inlineStr">
        <is>
          <t>Warships and other combatant vessels — the core fighting and logistics fleet.</t>
        </is>
      </c>
    </row>
    <row r="105" ht="10" customHeight="1">
      <c r="A105" s="29" t="inlineStr">
        <is>
          <t>Type</t>
        </is>
      </c>
      <c r="B105" s="29" t="inlineStr">
        <is>
          <t>Description</t>
        </is>
      </c>
      <c r="C105" s="29" t="inlineStr">
        <is>
          <t>Hull Designators</t>
        </is>
      </c>
    </row>
    <row r="106" ht="10" customHeight="1">
      <c r="A106" s="30" t="inlineStr">
        <is>
          <t>Aircraft Carriers</t>
        </is>
      </c>
      <c r="B106" s="30" t="inlineStr">
        <is>
          <t>Nuclear-powered aircraft carriers</t>
        </is>
      </c>
      <c r="C106" s="26" t="inlineStr">
        <is>
          <t>CVN</t>
        </is>
      </c>
    </row>
    <row r="107" ht="10" customHeight="1">
      <c r="A107" s="30" t="inlineStr">
        <is>
          <t>Surface Combatants</t>
        </is>
      </c>
      <c r="B107" s="30" t="inlineStr">
        <is>
          <t>Guided-missile cruisers, destroyers, frigates, littoral combat ships</t>
        </is>
      </c>
      <c r="C107" s="26" t="inlineStr">
        <is>
          <t>CG, DDG, FFG, LCS</t>
        </is>
      </c>
    </row>
    <row r="108" ht="10" customHeight="1">
      <c r="A108" s="30" t="inlineStr">
        <is>
          <t>Submarines</t>
        </is>
      </c>
      <c r="B108" s="30" t="inlineStr">
        <is>
          <t>Attack submarines, ballistic missile submarines, guided-missile submarines</t>
        </is>
      </c>
      <c r="C108" s="26" t="inlineStr">
        <is>
          <t>SSN, SSBN, SSGN</t>
        </is>
      </c>
    </row>
    <row r="109" ht="10" customHeight="1">
      <c r="A109" s="30" t="inlineStr">
        <is>
          <t>Amphibious Warfare Ships</t>
        </is>
      </c>
      <c r="B109" s="30" t="inlineStr">
        <is>
          <t>Amphibious assault ships and transport docks</t>
        </is>
      </c>
      <c r="C109" s="26" t="inlineStr">
        <is>
          <t>LHA, LHD, LPD, LSD</t>
        </is>
      </c>
    </row>
    <row r="110" ht="10" customHeight="1">
      <c r="A110" s="30" t="inlineStr">
        <is>
          <t>Mine Warfare</t>
        </is>
      </c>
      <c r="B110" s="30" t="inlineStr">
        <is>
          <t>Mine countermeasure ships</t>
        </is>
      </c>
      <c r="C110" s="26" t="inlineStr">
        <is>
          <t>MCM</t>
        </is>
      </c>
    </row>
    <row r="111" ht="10" customHeight="1">
      <c r="A111" s="30" t="inlineStr">
        <is>
          <t>Combat Logistics Ships</t>
        </is>
      </c>
      <c r="B111" s="30" t="inlineStr">
        <is>
          <t>Oilers, ammunition ships, dry cargo/ammunition ships</t>
        </is>
      </c>
      <c r="C111" s="26" t="inlineStr">
        <is>
          <t>AO, AOE, AOL, AKE</t>
        </is>
      </c>
    </row>
    <row r="112" ht="10" customHeight="1">
      <c r="A112" s="30" t="inlineStr">
        <is>
          <t>Command Ships</t>
        </is>
      </c>
      <c r="B112" s="30" t="inlineStr">
        <is>
          <t>Afloat command and control platforms</t>
        </is>
      </c>
      <c r="C112" s="26" t="inlineStr">
        <is>
          <t>LCC</t>
        </is>
      </c>
    </row>
    <row r="113" ht="10" customHeight="1">
      <c r="A113" s="30" t="inlineStr">
        <is>
          <t>Material Support Ships</t>
        </is>
      </c>
      <c r="B113" s="30" t="inlineStr">
        <is>
          <t>Submarine tenders</t>
        </is>
      </c>
      <c r="C113" s="26" t="inlineStr">
        <is>
          <t>AS</t>
        </is>
      </c>
    </row>
    <row r="114" ht="10" customHeight="1">
      <c r="A114" s="30" t="inlineStr">
        <is>
          <t>Surveillance Ships</t>
        </is>
      </c>
      <c r="B114" s="30" t="inlineStr">
        <is>
          <t>Ocean surveillance ships</t>
        </is>
      </c>
      <c r="C114" s="26" t="inlineStr">
        <is>
          <t>AGOS</t>
        </is>
      </c>
    </row>
    <row r="115" ht="10" customHeight="1">
      <c r="A115" s="30" t="inlineStr">
        <is>
          <t>Salvage Ships &amp; Fleet Ocean Tugs</t>
        </is>
      </c>
      <c r="B115" s="30" t="inlineStr">
        <is>
          <t>Rescue/salvage ships and fleet tugs</t>
        </is>
      </c>
      <c r="C115" s="26" t="inlineStr">
        <is>
          <t>ARS, ATF, ATS</t>
        </is>
      </c>
    </row>
    <row r="116" ht="10" customHeight="1">
      <c r="A116" s="30" t="inlineStr">
        <is>
          <t>Expeditionary &amp; Seabasing Ships</t>
        </is>
      </c>
      <c r="B116" s="30" t="inlineStr">
        <is>
          <t>Expeditionary fast transports, sea bases, medium landing ships</t>
        </is>
      </c>
      <c r="C116" s="26" t="inlineStr">
        <is>
          <t>EPF, ESB, ESD, LSM</t>
        </is>
      </c>
    </row>
    <row r="117" ht="10" customHeight="1"/>
    <row r="118" ht="10" customHeight="1">
      <c r="A118" s="46" t="inlineStr">
        <is>
          <t>Auxiliary Ships (TAM scope)</t>
        </is>
      </c>
      <c r="B118" s="39" t="n"/>
      <c r="C118" s="39" t="n"/>
    </row>
    <row r="119" ht="10" customHeight="1">
      <c r="A119" s="26" t="inlineStr">
        <is>
          <t>Non-combatant support vessels — research, cargo, hospital, special-purpose.</t>
        </is>
      </c>
    </row>
    <row r="120" ht="10" customHeight="1">
      <c r="A120" s="29" t="inlineStr">
        <is>
          <t>Type</t>
        </is>
      </c>
      <c r="B120" s="29" t="inlineStr">
        <is>
          <t>Description</t>
        </is>
      </c>
      <c r="C120" s="29" t="inlineStr">
        <is>
          <t>Hull Designators</t>
        </is>
      </c>
    </row>
    <row r="121" ht="10" customHeight="1">
      <c r="A121" s="30" t="inlineStr">
        <is>
          <t>Crane Ship</t>
        </is>
      </c>
      <c r="B121" s="30" t="inlineStr">
        <is>
          <t>Floating crane ship</t>
        </is>
      </c>
      <c r="C121" s="26" t="inlineStr">
        <is>
          <t>ACS</t>
        </is>
      </c>
    </row>
    <row r="122" ht="10" customHeight="1">
      <c r="A122" s="30" t="inlineStr">
        <is>
          <t>General Auxiliary</t>
        </is>
      </c>
      <c r="B122" s="30" t="inlineStr">
        <is>
          <t>Multi-purpose auxiliary vessels</t>
        </is>
      </c>
      <c r="C122" s="26" t="inlineStr">
        <is>
          <t>AG</t>
        </is>
      </c>
    </row>
    <row r="123" ht="10" customHeight="1">
      <c r="A123" s="30" t="inlineStr">
        <is>
          <t>Research, Survey &amp; Instrumentation Ships</t>
        </is>
      </c>
      <c r="B123" s="30" t="inlineStr">
        <is>
          <t>Oceanographic and survey ships</t>
        </is>
      </c>
      <c r="C123" s="26" t="inlineStr">
        <is>
          <t>AGM, AGOR, AGS</t>
        </is>
      </c>
    </row>
    <row r="124" ht="10" customHeight="1">
      <c r="A124" s="30" t="inlineStr">
        <is>
          <t>Hospital Ship</t>
        </is>
      </c>
      <c r="B124" s="30" t="inlineStr">
        <is>
          <t>Hospital ships</t>
        </is>
      </c>
      <c r="C124" s="26" t="inlineStr">
        <is>
          <t>AH</t>
        </is>
      </c>
    </row>
    <row r="125" ht="10" customHeight="1">
      <c r="A125" s="30" t="inlineStr">
        <is>
          <t>Cargo &amp; Vehicle Cargo Ships</t>
        </is>
      </c>
      <c r="B125" s="30" t="inlineStr">
        <is>
          <t>Cargo and vehicle transport ships</t>
        </is>
      </c>
      <c r="C125" s="26" t="inlineStr">
        <is>
          <t>AK, AKR</t>
        </is>
      </c>
    </row>
    <row r="126" ht="10" customHeight="1">
      <c r="A126" s="30" t="inlineStr">
        <is>
          <t>Transport Oiler</t>
        </is>
      </c>
      <c r="B126" s="30" t="inlineStr">
        <is>
          <t>Transport oilers</t>
        </is>
      </c>
      <c r="C126" s="26" t="inlineStr">
        <is>
          <t>AOT</t>
        </is>
      </c>
    </row>
    <row r="127" ht="10" customHeight="1">
      <c r="A127" s="30" t="inlineStr">
        <is>
          <t>Cable Repairing Ship</t>
        </is>
      </c>
      <c r="B127" s="30" t="inlineStr">
        <is>
          <t>Submarine cable repair ships</t>
        </is>
      </c>
      <c r="C127" s="26" t="inlineStr">
        <is>
          <t>ARC</t>
        </is>
      </c>
    </row>
    <row r="128" ht="10" customHeight="1">
      <c r="A128" s="30" t="inlineStr">
        <is>
          <t>Aviation Logistics Support Ship</t>
        </is>
      </c>
      <c r="B128" s="30" t="inlineStr">
        <is>
          <t>Aviation support ships</t>
        </is>
      </c>
      <c r="C128" s="26" t="inlineStr">
        <is>
          <t>AVB</t>
        </is>
      </c>
    </row>
    <row r="129" ht="10" customHeight="1">
      <c r="A129" s="30" t="inlineStr">
        <is>
          <t>High Speed Transport</t>
        </is>
      </c>
      <c r="B129" s="30" t="inlineStr">
        <is>
          <t>High speed transports</t>
        </is>
      </c>
      <c r="C129" s="26" t="inlineStr">
        <is>
          <t>HST</t>
        </is>
      </c>
    </row>
    <row r="130" ht="10" customHeight="1">
      <c r="A130" s="30" t="inlineStr">
        <is>
          <t>Submarine Escort Ship</t>
        </is>
      </c>
      <c r="B130" s="30" t="inlineStr">
        <is>
          <t>Submarine escort/support vessels</t>
        </is>
      </c>
      <c r="C130" s="26" t="inlineStr">
        <is>
          <t>AGSE</t>
        </is>
      </c>
    </row>
    <row r="131" ht="10" customHeight="1">
      <c r="A131" s="30" t="inlineStr">
        <is>
          <t>USS Constitution</t>
        </is>
      </c>
      <c r="B131" s="30" t="inlineStr">
        <is>
          <t>Historic warship — not operationally classified</t>
        </is>
      </c>
      <c r="C131" s="26" t="inlineStr">
        <is>
          <t>—</t>
        </is>
      </c>
    </row>
    <row r="132" ht="10" customHeight="1"/>
    <row r="133" ht="10" customHeight="1">
      <c r="A133" s="46" t="inlineStr">
        <is>
          <t>Combatant Crafts (excluded from TAM)</t>
        </is>
      </c>
      <c r="B133" s="39" t="n"/>
      <c r="C133" s="39" t="n"/>
    </row>
    <row r="134" ht="10" customHeight="1">
      <c r="A134" s="26" t="inlineStr">
        <is>
          <t>Smaller combatant craft — patrol, landing, and special warfare.</t>
        </is>
      </c>
    </row>
    <row r="135" ht="10" customHeight="1">
      <c r="A135" s="29" t="inlineStr">
        <is>
          <t>Type</t>
        </is>
      </c>
      <c r="B135" s="29" t="inlineStr">
        <is>
          <t>Description</t>
        </is>
      </c>
      <c r="C135" s="29" t="inlineStr">
        <is>
          <t>Hull Designators</t>
        </is>
      </c>
    </row>
    <row r="136" ht="10" customHeight="1">
      <c r="A136" s="30" t="inlineStr">
        <is>
          <t>Patrol Combatant</t>
        </is>
      </c>
      <c r="B136" s="30" t="inlineStr">
        <is>
          <t>Coastal patrol craft</t>
        </is>
      </c>
      <c r="C136" s="26" t="inlineStr">
        <is>
          <t>PC</t>
        </is>
      </c>
    </row>
    <row r="137" ht="10" customHeight="1">
      <c r="A137" s="30" t="inlineStr">
        <is>
          <t>Amphibious Warfare Craft</t>
        </is>
      </c>
      <c r="B137" s="30" t="inlineStr">
        <is>
          <t>Landing craft — air cushion and utility</t>
        </is>
      </c>
      <c r="C137" s="26" t="inlineStr">
        <is>
          <t>LCAC, LCU</t>
        </is>
      </c>
    </row>
    <row r="138" ht="10" customHeight="1">
      <c r="A138" s="30" t="inlineStr">
        <is>
          <t>Patrol Boats</t>
        </is>
      </c>
      <c r="B138" s="30" t="inlineStr">
        <is>
          <t>Various patrol boats by length</t>
        </is>
      </c>
      <c r="C138" s="26" t="inlineStr">
        <is>
          <t>36PB, 64PB, 87PB</t>
        </is>
      </c>
    </row>
    <row r="139" ht="10" customHeight="1">
      <c r="A139" s="30" t="inlineStr">
        <is>
          <t>Special Warfare Craft</t>
        </is>
      </c>
      <c r="B139" s="30" t="inlineStr">
        <is>
          <t>Naval Special Warfare craft and swimmer delivery vehicles</t>
        </is>
      </c>
      <c r="C139" s="26" t="inlineStr">
        <is>
          <t>DSB, CCA, CCM, CCH, NSW RHIB, SDV, SWCS, SSC</t>
        </is>
      </c>
    </row>
    <row r="140" ht="10" customHeight="1"/>
    <row r="141" ht="10" customHeight="1">
      <c r="A141" s="46" t="inlineStr">
        <is>
          <t>Unmanned Maritime Platforms (TAM scope)</t>
        </is>
      </c>
      <c r="B141" s="39" t="n"/>
      <c r="C141" s="39" t="n"/>
    </row>
    <row r="142" ht="10" customHeight="1">
      <c r="A142" s="26" t="inlineStr">
        <is>
          <t>Unmanned surface and undersea vehicles.</t>
        </is>
      </c>
    </row>
    <row r="143" ht="10" customHeight="1">
      <c r="A143" s="29" t="inlineStr">
        <is>
          <t>Type</t>
        </is>
      </c>
      <c r="B143" s="29" t="inlineStr">
        <is>
          <t>Description</t>
        </is>
      </c>
      <c r="C143" s="29" t="inlineStr">
        <is>
          <t>Hull Designators</t>
        </is>
      </c>
    </row>
    <row r="144" ht="10" customHeight="1">
      <c r="A144" s="30" t="inlineStr">
        <is>
          <t>Unmanned Surface Vehicles</t>
        </is>
      </c>
      <c r="B144" s="30" t="inlineStr">
        <is>
          <t>Large, medium, small, and very small USVs</t>
        </is>
      </c>
      <c r="C144" s="26" t="inlineStr">
        <is>
          <t>LUSV, MUSV, SUSV, VSUSV</t>
        </is>
      </c>
    </row>
    <row r="145" ht="10" customHeight="1">
      <c r="A145" s="30" t="inlineStr">
        <is>
          <t>Unmanned Undersea Vehicles</t>
        </is>
      </c>
      <c r="B145" s="30" t="inlineStr">
        <is>
          <t>Extra-large, large, medium, and small UUVs</t>
        </is>
      </c>
      <c r="C145" s="26" t="inlineStr">
        <is>
          <t>XLUUV, LUUV, MUUV, SUUV</t>
        </is>
      </c>
    </row>
    <row r="146" ht="10" customHeight="1"/>
    <row r="147" ht="10" customHeight="1">
      <c r="A147" s="46" t="inlineStr">
        <is>
          <t>Support Crafts (excluded from TAM)</t>
        </is>
      </c>
      <c r="B147" s="39" t="n"/>
      <c r="C147" s="39" t="n"/>
    </row>
    <row r="148" ht="10" customHeight="1">
      <c r="A148" s="26" t="inlineStr">
        <is>
          <t>Yard craft, barges, tugs, and harbor support vessels.</t>
        </is>
      </c>
    </row>
    <row r="149" ht="10" customHeight="1">
      <c r="A149" s="29" t="inlineStr">
        <is>
          <t>Type</t>
        </is>
      </c>
      <c r="B149" s="29" t="inlineStr">
        <is>
          <t>Description</t>
        </is>
      </c>
      <c r="C149" s="29" t="inlineStr">
        <is>
          <t>Hull Designators</t>
        </is>
      </c>
    </row>
    <row r="150" ht="10" customHeight="1">
      <c r="A150" s="30" t="inlineStr">
        <is>
          <t>Dry Docks</t>
        </is>
      </c>
      <c r="B150" s="30" t="inlineStr">
        <is>
          <t>Floating dry docks</t>
        </is>
      </c>
      <c r="C150" s="26" t="inlineStr">
        <is>
          <t>AFDL, ARDM, AFDM</t>
        </is>
      </c>
    </row>
    <row r="151" ht="10" customHeight="1">
      <c r="A151" s="30" t="inlineStr">
        <is>
          <t>Harbor Tugs</t>
        </is>
      </c>
      <c r="B151" s="30" t="inlineStr">
        <is>
          <t>Yard and harbor tugboats</t>
        </is>
      </c>
      <c r="C151" s="26" t="inlineStr">
        <is>
          <t>YT, YTB, YTL</t>
        </is>
      </c>
    </row>
    <row r="152" ht="10" customHeight="1">
      <c r="A152" s="30" t="inlineStr">
        <is>
          <t>Lighters &amp; Barges</t>
        </is>
      </c>
      <c r="B152" s="30" t="inlineStr">
        <is>
          <t>Non-self-propelled barges and lighters</t>
        </is>
      </c>
      <c r="C152" s="26" t="inlineStr">
        <is>
          <t>YC, YCV, YFN, YFNX, YFNB, YON, YOS, YWN, YWO</t>
        </is>
      </c>
    </row>
    <row r="153" ht="10" customHeight="1">
      <c r="A153" s="30" t="inlineStr">
        <is>
          <t>Other Craft, Self-Propelled</t>
        </is>
      </c>
      <c r="B153" s="30" t="inlineStr">
        <is>
          <t>Misc. self-propelled yard and special craft</t>
        </is>
      </c>
      <c r="C153" s="26" t="inlineStr">
        <is>
          <t>FSF, SBX, YFB, YP, YSD, YDT, YTT</t>
        </is>
      </c>
    </row>
    <row r="154" ht="10" customHeight="1">
      <c r="A154" s="30" t="inlineStr">
        <is>
          <t>Other Craft, Non-Self-Propelled</t>
        </is>
      </c>
      <c r="B154" s="30" t="inlineStr">
        <is>
          <t>Berthing barges, floating workshops, misc. non-propelled</t>
        </is>
      </c>
      <c r="C154" s="26" t="inlineStr">
        <is>
          <t>APL, YD, YFND, YFP, YR, YRB, YRBM, YRDH, YRDM, IX</t>
        </is>
      </c>
    </row>
    <row r="155" ht="10" customHeight="1">
      <c r="A155" s="30" t="inlineStr">
        <is>
          <t>Sealift Support Craft</t>
        </is>
      </c>
      <c r="B155" s="30" t="inlineStr">
        <is>
          <t>Sealift and marine pre-positioning support craft</t>
        </is>
      </c>
      <c r="C155" s="26" t="inlineStr">
        <is>
          <t>INLS, LCM 8, LARC V, MPF UB, OPDS UB</t>
        </is>
      </c>
    </row>
    <row r="156" ht="10" customHeight="1">
      <c r="A156" s="30" t="inlineStr">
        <is>
          <t>Ships Boats</t>
        </is>
      </c>
      <c r="B156" s="30" t="inlineStr">
        <is>
          <t>Motor rescue boats carried aboard ships</t>
        </is>
      </c>
      <c r="C156" s="26" t="inlineStr">
        <is>
          <t>5MRB, 7MRB, 11MRB</t>
        </is>
      </c>
    </row>
    <row r="157" ht="10" customHeight="1">
      <c r="A157" s="30" t="inlineStr">
        <is>
          <t>Shore-Based Harbor Security Boats</t>
        </is>
      </c>
      <c r="B157" s="30" t="inlineStr">
        <is>
          <t>Harbor security patrol boats</t>
        </is>
      </c>
      <c r="C157" s="26" t="inlineStr">
        <is>
          <t>27HS, 28HS, 32HS, 33HS, 11MHS, 35HS, 36HS</t>
        </is>
      </c>
    </row>
    <row r="158" ht="10" customHeight="1"/>
    <row r="159" ht="10" customHeight="1">
      <c r="A159" s="46" t="inlineStr">
        <is>
          <t>MSC — Military Sealift Command</t>
        </is>
      </c>
      <c r="B159" s="39" t="n"/>
      <c r="C159" s="39" t="n"/>
    </row>
    <row r="160" ht="10" customHeight="1">
      <c r="A160" s="26" t="inlineStr">
        <is>
          <t>Civilian-crewed ships using T- prefix (e.g., T-AO, T-AKE, T-EPF). Shares USN categories and types. Service column = MSC when hull starts with T-.</t>
        </is>
      </c>
    </row>
    <row r="161" ht="10" customHeight="1">
      <c r="A161" s="26" t="inlineStr">
        <is>
          <t>Examples: T-AO (Combat Logistics), T-AGOS (Surveillance), T-EPF (Expeditionary &amp; Seabasing)</t>
        </is>
      </c>
    </row>
    <row r="162" ht="10" customHeight="1"/>
    <row r="163" ht="10" customHeight="1">
      <c r="A163" s="46" t="inlineStr">
        <is>
          <t>USCG — United States Coast Guard</t>
        </is>
      </c>
      <c r="B163" s="39" t="n"/>
      <c r="C163" s="39" t="n"/>
    </row>
    <row r="164" ht="10" customHeight="1">
      <c r="A164" s="26" t="inlineStr">
        <is>
          <t>Cutters and boats. Part of DHS, not DoD.</t>
        </is>
      </c>
    </row>
    <row r="165" ht="10" customHeight="1"/>
    <row r="166" ht="10" customHeight="1">
      <c r="A166" s="46" t="inlineStr">
        <is>
          <t>Cutters (TAM scope)</t>
        </is>
      </c>
      <c r="B166" s="39" t="n"/>
      <c r="C166" s="39" t="n"/>
    </row>
    <row r="167" ht="10" customHeight="1">
      <c r="A167" s="26" t="inlineStr">
        <is>
          <t>Coast Guard cutters — 65 feet and larger.</t>
        </is>
      </c>
    </row>
    <row r="168" ht="10" customHeight="1">
      <c r="A168" s="29" t="inlineStr">
        <is>
          <t>Type</t>
        </is>
      </c>
      <c r="B168" s="29" t="inlineStr">
        <is>
          <t>Description</t>
        </is>
      </c>
      <c r="C168" s="29" t="inlineStr">
        <is>
          <t>Hull Designators</t>
        </is>
      </c>
    </row>
    <row r="169" ht="10" customHeight="1">
      <c r="A169" s="30" t="inlineStr">
        <is>
          <t>Icebreakers, Oceangoing</t>
        </is>
      </c>
      <c r="B169" s="30" t="inlineStr">
        <is>
          <t>Heavy polar icebreakers</t>
        </is>
      </c>
      <c r="C169" s="26" t="inlineStr">
        <is>
          <t>WAGB</t>
        </is>
      </c>
    </row>
    <row r="170" ht="10" customHeight="1">
      <c r="A170" s="30" t="inlineStr">
        <is>
          <t>Icebreakers, Great Lakes</t>
        </is>
      </c>
      <c r="B170" s="30" t="inlineStr">
        <is>
          <t>Great Lakes icebreaking cutters</t>
        </is>
      </c>
      <c r="C170" s="26" t="inlineStr">
        <is>
          <t>WLBB</t>
        </is>
      </c>
    </row>
    <row r="171" ht="10" customHeight="1">
      <c r="A171" s="30" t="inlineStr">
        <is>
          <t>National Security Cutters</t>
        </is>
      </c>
      <c r="B171" s="30" t="inlineStr">
        <is>
          <t>Legend-class national security cutters</t>
        </is>
      </c>
      <c r="C171" s="26" t="inlineStr">
        <is>
          <t>WMSL</t>
        </is>
      </c>
    </row>
    <row r="172" ht="10" customHeight="1">
      <c r="A172" s="30" t="inlineStr">
        <is>
          <t>High Endurance Cutters</t>
        </is>
      </c>
      <c r="B172" s="30" t="inlineStr">
        <is>
          <t>Hamilton-class high endurance cutters (retiring)</t>
        </is>
      </c>
      <c r="C172" s="26" t="inlineStr">
        <is>
          <t>WHEC</t>
        </is>
      </c>
    </row>
    <row r="173" ht="10" customHeight="1">
      <c r="A173" s="30" t="inlineStr">
        <is>
          <t>Medium Endurance Cutters</t>
        </is>
      </c>
      <c r="B173" s="30" t="inlineStr">
        <is>
          <t>270-foot and 210-foot medium endurance cutters</t>
        </is>
      </c>
      <c r="C173" s="26" t="inlineStr">
        <is>
          <t>WMEC</t>
        </is>
      </c>
    </row>
    <row r="174" ht="10" customHeight="1">
      <c r="A174" s="30" t="inlineStr">
        <is>
          <t>Offshore Patrol Cutter</t>
        </is>
      </c>
      <c r="B174" s="30" t="inlineStr">
        <is>
          <t>Heritage-class offshore patrol cutters</t>
        </is>
      </c>
      <c r="C174" s="26" t="inlineStr">
        <is>
          <t>WMSM</t>
        </is>
      </c>
    </row>
    <row r="175" ht="10" customHeight="1">
      <c r="A175" s="30" t="inlineStr">
        <is>
          <t>Fast Response Cutters</t>
        </is>
      </c>
      <c r="B175" s="30" t="inlineStr">
        <is>
          <t>Sentinel-class fast response cutters</t>
        </is>
      </c>
      <c r="C175" s="26" t="inlineStr">
        <is>
          <t>WPC</t>
        </is>
      </c>
    </row>
    <row r="176" ht="10" customHeight="1">
      <c r="A176" s="30" t="inlineStr">
        <is>
          <t>Patrol Boats</t>
        </is>
      </c>
      <c r="B176" s="30" t="inlineStr">
        <is>
          <t>Marine Protector-class patrol boats</t>
        </is>
      </c>
      <c r="C176" s="26" t="inlineStr">
        <is>
          <t>WPB</t>
        </is>
      </c>
    </row>
    <row r="177" ht="10" customHeight="1">
      <c r="A177" s="30" t="inlineStr">
        <is>
          <t>Seagoing Buoy Tenders</t>
        </is>
      </c>
      <c r="B177" s="30" t="inlineStr">
        <is>
          <t>Juniper-class seagoing buoy tenders</t>
        </is>
      </c>
      <c r="C177" s="26" t="inlineStr">
        <is>
          <t>WLB</t>
        </is>
      </c>
    </row>
    <row r="178" ht="10" customHeight="1">
      <c r="A178" s="30" t="inlineStr">
        <is>
          <t>Coastal Buoy Tenders</t>
        </is>
      </c>
      <c r="B178" s="30" t="inlineStr">
        <is>
          <t>Keeper-class coastal buoy tenders</t>
        </is>
      </c>
      <c r="C178" s="26" t="inlineStr">
        <is>
          <t>WLM</t>
        </is>
      </c>
    </row>
    <row r="179" ht="10" customHeight="1">
      <c r="A179" s="30" t="inlineStr">
        <is>
          <t>Inland Construction Tenders</t>
        </is>
      </c>
      <c r="B179" s="30" t="inlineStr">
        <is>
          <t>Inland construction tenders</t>
        </is>
      </c>
      <c r="C179" s="26" t="inlineStr">
        <is>
          <t>WLIC</t>
        </is>
      </c>
    </row>
    <row r="180" ht="10" customHeight="1">
      <c r="A180" s="30" t="inlineStr">
        <is>
          <t>Ice Breaking Tugs</t>
        </is>
      </c>
      <c r="B180" s="30" t="inlineStr">
        <is>
          <t>Ice-breaking harbor tugs</t>
        </is>
      </c>
      <c r="C180" s="26" t="inlineStr">
        <is>
          <t>WTGB</t>
        </is>
      </c>
    </row>
    <row r="181" ht="10" customHeight="1">
      <c r="A181" s="30" t="inlineStr">
        <is>
          <t>River Buoy Tenders</t>
        </is>
      </c>
      <c r="B181" s="30" t="inlineStr">
        <is>
          <t>River buoy tenders</t>
        </is>
      </c>
      <c r="C181" s="26" t="inlineStr">
        <is>
          <t>WLR</t>
        </is>
      </c>
    </row>
    <row r="182" ht="10" customHeight="1">
      <c r="A182" s="30" t="inlineStr">
        <is>
          <t>Inland Buoy Tenders</t>
        </is>
      </c>
      <c r="B182" s="30" t="inlineStr">
        <is>
          <t>Inland buoy tenders</t>
        </is>
      </c>
      <c r="C182" s="26" t="inlineStr">
        <is>
          <t>WLI</t>
        </is>
      </c>
    </row>
    <row r="183" ht="10" customHeight="1">
      <c r="A183" s="30" t="inlineStr">
        <is>
          <t>Small Harbor Tugs</t>
        </is>
      </c>
      <c r="B183" s="30" t="inlineStr">
        <is>
          <t>65-foot small harbor tugs</t>
        </is>
      </c>
      <c r="C183" s="26" t="inlineStr">
        <is>
          <t>WYTL</t>
        </is>
      </c>
    </row>
    <row r="184" ht="10" customHeight="1">
      <c r="A184" s="30" t="inlineStr">
        <is>
          <t>Barque Eagle</t>
        </is>
      </c>
      <c r="B184" s="30" t="inlineStr">
        <is>
          <t>USCG training sailing vessel</t>
        </is>
      </c>
      <c r="C184" s="26" t="inlineStr">
        <is>
          <t>WIX</t>
        </is>
      </c>
    </row>
    <row r="185" ht="10" customHeight="1"/>
    <row r="186" ht="10" customHeight="1">
      <c r="A186" s="46" t="inlineStr">
        <is>
          <t>Boats (excluded from TAM)</t>
        </is>
      </c>
      <c r="B186" s="39" t="n"/>
      <c r="C186" s="39" t="n"/>
    </row>
    <row r="187" ht="10" customHeight="1">
      <c r="A187" s="26" t="inlineStr">
        <is>
          <t>Coast Guard boats — under 65 feet.</t>
        </is>
      </c>
    </row>
    <row r="188" ht="10" customHeight="1">
      <c r="A188" s="29" t="inlineStr">
        <is>
          <t>Type</t>
        </is>
      </c>
      <c r="B188" s="29" t="inlineStr">
        <is>
          <t>Description</t>
        </is>
      </c>
      <c r="C188" s="29" t="inlineStr">
        <is>
          <t>Hull Designators</t>
        </is>
      </c>
    </row>
    <row r="189" ht="10" customHeight="1">
      <c r="A189" s="30" t="inlineStr">
        <is>
          <t>Response Boats</t>
        </is>
      </c>
      <c r="B189" s="30" t="inlineStr">
        <is>
          <t>Motor lifeboats, response boats, transportable port security boats</t>
        </is>
      </c>
      <c r="C189" s="26" t="inlineStr">
        <is>
          <t>MLB, RB-M, TPSB, RB-S II, UTM, UTL</t>
        </is>
      </c>
    </row>
    <row r="190" ht="10" customHeight="1">
      <c r="A190" s="30" t="inlineStr">
        <is>
          <t>Aids to Navigation Boats</t>
        </is>
      </c>
      <c r="B190" s="30" t="inlineStr">
        <is>
          <t>Boats supporting aids to navigation mission</t>
        </is>
      </c>
      <c r="C190" s="26" t="inlineStr">
        <is>
          <t>ANB, BUSL, TANB, AB-S, AB-SKF</t>
        </is>
      </c>
    </row>
    <row r="191" ht="10" customHeight="1">
      <c r="A191" s="30" t="inlineStr">
        <is>
          <t>Cutter Boats</t>
        </is>
      </c>
      <c r="B191" s="30" t="inlineStr">
        <is>
          <t>Small boats deployed from cutters</t>
        </is>
      </c>
      <c r="C191" s="26" t="inlineStr">
        <is>
          <t>CB-LRI, CB-OTH, ASB/LC, MSB, CB-L, CB-ATON, CB-M, CB-S, UTL</t>
        </is>
      </c>
    </row>
    <row r="192" ht="10" customHeight="1">
      <c r="A192" s="30" t="inlineStr">
        <is>
          <t>Special Purpose Craft</t>
        </is>
      </c>
      <c r="B192" s="30" t="inlineStr">
        <is>
          <t>Specialized mission craft</t>
        </is>
      </c>
      <c r="C192" s="26" t="inlineStr">
        <is>
          <t>SPC-SV, SPC-TTB, SPC-TB, SPC-LE, SPC-BTD, SPC-LEO, SPC-SW, SPC-IRT, SKF-ICE, SKF</t>
        </is>
      </c>
    </row>
    <row r="193" ht="10" customHeight="1">
      <c r="A193" s="30" t="inlineStr">
        <is>
          <t>Training Craft</t>
        </is>
      </c>
      <c r="B193" s="30" t="inlineStr">
        <is>
          <t>Academy and training center craft</t>
        </is>
      </c>
      <c r="C193" s="26" t="inlineStr">
        <is>
          <t>CT-64, SB</t>
        </is>
      </c>
    </row>
    <row r="194" ht="10" customHeight="1"/>
    <row r="195" ht="10" customHeight="1">
      <c r="A195" s="27" t="inlineStr">
        <is>
          <t>Vessel Class Reference</t>
        </is>
      </c>
      <c r="B195" s="28" t="n"/>
      <c r="C195" s="28" t="n"/>
    </row>
    <row r="196" ht="10" customHeight="1">
      <c r="A196" s="26" t="inlineStr">
        <is>
          <t>Reference only — not a column in the data sheet. Provides class-level context for hull designators.</t>
        </is>
      </c>
    </row>
    <row r="197" ht="10" customHeight="1"/>
    <row r="198" ht="10" customHeight="1">
      <c r="A198" s="46" t="inlineStr">
        <is>
          <t>CVN</t>
        </is>
      </c>
      <c r="B198" s="39" t="n"/>
      <c r="C198" s="39" t="n"/>
    </row>
    <row r="199" ht="10" customHeight="1">
      <c r="A199" s="29" t="inlineStr">
        <is>
          <t>Class</t>
        </is>
      </c>
      <c r="B199" s="29" t="inlineStr">
        <is>
          <t>Description</t>
        </is>
      </c>
      <c r="C199" s="29" t="inlineStr">
        <is>
          <t>Status</t>
        </is>
      </c>
    </row>
    <row r="200" ht="10" customHeight="1">
      <c r="A200" s="30" t="inlineStr">
        <is>
          <t>Nimitz (CVN-68)</t>
        </is>
      </c>
      <c r="B200" s="30" t="inlineStr">
        <is>
          <t>Nuclear-powered carrier, 10 ships (CVN-68 through CVN-77)</t>
        </is>
      </c>
      <c r="C200" s="26" t="inlineStr">
        <is>
          <t>Active</t>
        </is>
      </c>
    </row>
    <row r="201" ht="10" customHeight="1">
      <c r="A201" s="30" t="inlineStr">
        <is>
          <t>Gerald R. Ford (CVN-78)</t>
        </is>
      </c>
      <c r="B201" s="30" t="inlineStr">
        <is>
          <t>Next-gen nuclear carrier: CVN-78, -79, -80, -81</t>
        </is>
      </c>
      <c r="C201" s="26" t="inlineStr">
        <is>
          <t>Active / under construction</t>
        </is>
      </c>
    </row>
    <row r="202" ht="10" customHeight="1"/>
    <row r="203" ht="10" customHeight="1">
      <c r="A203" s="46" t="inlineStr">
        <is>
          <t>DDG</t>
        </is>
      </c>
      <c r="B203" s="39" t="n"/>
      <c r="C203" s="39" t="n"/>
    </row>
    <row r="204" ht="10" customHeight="1">
      <c r="A204" s="29" t="inlineStr">
        <is>
          <t>Class</t>
        </is>
      </c>
      <c r="B204" s="29" t="inlineStr">
        <is>
          <t>Description</t>
        </is>
      </c>
      <c r="C204" s="29" t="inlineStr">
        <is>
          <t>Status</t>
        </is>
      </c>
    </row>
    <row r="205" ht="10" customHeight="1">
      <c r="A205" s="30" t="inlineStr">
        <is>
          <t>Arleigh Burke (DDG-51)</t>
        </is>
      </c>
      <c r="B205" s="30" t="inlineStr">
        <is>
          <t>Guided-missile destroyer — Flight I/II/IIA/III</t>
        </is>
      </c>
      <c r="C205" s="26" t="inlineStr">
        <is>
          <t>Active / under construction</t>
        </is>
      </c>
    </row>
    <row r="206" ht="10" customHeight="1">
      <c r="A206" s="30" t="inlineStr">
        <is>
          <t>Zumwalt (DDG-1000)</t>
        </is>
      </c>
      <c r="B206" s="30" t="inlineStr">
        <is>
          <t>Multi-mission stealth destroyer, 3 ships</t>
        </is>
      </c>
      <c r="C206" s="26" t="inlineStr">
        <is>
          <t>Active</t>
        </is>
      </c>
    </row>
    <row r="207" ht="10" customHeight="1"/>
    <row r="208" ht="10" customHeight="1">
      <c r="A208" s="46" t="inlineStr">
        <is>
          <t>CG</t>
        </is>
      </c>
      <c r="B208" s="39" t="n"/>
      <c r="C208" s="39" t="n"/>
    </row>
    <row r="209" ht="10" customHeight="1">
      <c r="A209" s="29" t="inlineStr">
        <is>
          <t>Class</t>
        </is>
      </c>
      <c r="B209" s="29" t="inlineStr">
        <is>
          <t>Description</t>
        </is>
      </c>
      <c r="C209" s="29" t="inlineStr">
        <is>
          <t>Status</t>
        </is>
      </c>
    </row>
    <row r="210" ht="10" customHeight="1">
      <c r="A210" s="30" t="inlineStr">
        <is>
          <t>Ticonderoga (CG-47)</t>
        </is>
      </c>
      <c r="B210" s="30" t="inlineStr">
        <is>
          <t>Guided-missile cruiser (being decommissioned)</t>
        </is>
      </c>
      <c r="C210" s="26" t="inlineStr">
        <is>
          <t>Active (retiring)</t>
        </is>
      </c>
    </row>
    <row r="211" ht="10" customHeight="1"/>
    <row r="212" ht="10" customHeight="1">
      <c r="A212" s="46" t="inlineStr">
        <is>
          <t>FFG</t>
        </is>
      </c>
      <c r="B212" s="39" t="n"/>
      <c r="C212" s="39" t="n"/>
    </row>
    <row r="213" ht="10" customHeight="1">
      <c r="A213" s="29" t="inlineStr">
        <is>
          <t>Class</t>
        </is>
      </c>
      <c r="B213" s="29" t="inlineStr">
        <is>
          <t>Description</t>
        </is>
      </c>
      <c r="C213" s="29" t="inlineStr">
        <is>
          <t>Status</t>
        </is>
      </c>
    </row>
    <row r="214" ht="10" customHeight="1">
      <c r="A214" s="30" t="inlineStr">
        <is>
          <t>Constellation (FFG-62)</t>
        </is>
      </c>
      <c r="B214" s="30" t="inlineStr">
        <is>
          <t>Next-generation guided-missile frigate</t>
        </is>
      </c>
      <c r="C214" s="26" t="inlineStr">
        <is>
          <t>Under construction</t>
        </is>
      </c>
    </row>
    <row r="215" ht="10" customHeight="1"/>
    <row r="216" ht="10" customHeight="1">
      <c r="A216" s="46" t="inlineStr">
        <is>
          <t>LCS</t>
        </is>
      </c>
      <c r="B216" s="39" t="n"/>
      <c r="C216" s="39" t="n"/>
    </row>
    <row r="217" ht="10" customHeight="1">
      <c r="A217" s="29" t="inlineStr">
        <is>
          <t>Class</t>
        </is>
      </c>
      <c r="B217" s="29" t="inlineStr">
        <is>
          <t>Description</t>
        </is>
      </c>
      <c r="C217" s="29" t="inlineStr">
        <is>
          <t>Status</t>
        </is>
      </c>
    </row>
    <row r="218" ht="10" customHeight="1">
      <c r="A218" s="30" t="inlineStr">
        <is>
          <t>Freedom (LCS-1)</t>
        </is>
      </c>
      <c r="B218" s="30" t="inlineStr">
        <is>
          <t>Littoral combat ship — Freedom variant</t>
        </is>
      </c>
      <c r="C218" s="26" t="inlineStr">
        <is>
          <t>Active</t>
        </is>
      </c>
    </row>
    <row r="219" ht="10" customHeight="1">
      <c r="A219" s="30" t="inlineStr">
        <is>
          <t>Independence (LCS-2)</t>
        </is>
      </c>
      <c r="B219" s="30" t="inlineStr">
        <is>
          <t>Littoral combat ship — Independence variant</t>
        </is>
      </c>
      <c r="C219" s="26" t="inlineStr">
        <is>
          <t>Active</t>
        </is>
      </c>
    </row>
    <row r="220" ht="10" customHeight="1"/>
    <row r="221" ht="10" customHeight="1">
      <c r="A221" s="46" t="inlineStr">
        <is>
          <t>SSN / SSBN</t>
        </is>
      </c>
      <c r="B221" s="39" t="n"/>
      <c r="C221" s="39" t="n"/>
    </row>
    <row r="222" ht="10" customHeight="1">
      <c r="A222" s="29" t="inlineStr">
        <is>
          <t>Class</t>
        </is>
      </c>
      <c r="B222" s="29" t="inlineStr">
        <is>
          <t>Description</t>
        </is>
      </c>
      <c r="C222" s="29" t="inlineStr">
        <is>
          <t>Status</t>
        </is>
      </c>
    </row>
    <row r="223" ht="10" customHeight="1">
      <c r="A223" s="30" t="inlineStr">
        <is>
          <t>Los Angeles (SSN-688)</t>
        </is>
      </c>
      <c r="B223" s="30" t="inlineStr">
        <is>
          <t>Nuclear attack submarine — largest SSN class</t>
        </is>
      </c>
      <c r="C223" s="26" t="inlineStr">
        <is>
          <t>Active (retiring)</t>
        </is>
      </c>
    </row>
    <row r="224" ht="10" customHeight="1">
      <c r="A224" s="30" t="inlineStr">
        <is>
          <t>Seawolf (SSN-21)</t>
        </is>
      </c>
      <c r="B224" s="30" t="inlineStr">
        <is>
          <t>Nuclear attack submarine, 3 ships</t>
        </is>
      </c>
      <c r="C224" s="26" t="inlineStr">
        <is>
          <t>Active</t>
        </is>
      </c>
    </row>
    <row r="225" ht="10" customHeight="1">
      <c r="A225" s="30" t="inlineStr">
        <is>
          <t>Virginia (SSN-774)</t>
        </is>
      </c>
      <c r="B225" s="30" t="inlineStr">
        <is>
          <t>Nuclear attack submarine — Block I through V</t>
        </is>
      </c>
      <c r="C225" s="26" t="inlineStr">
        <is>
          <t>Active / under construction</t>
        </is>
      </c>
    </row>
    <row r="226" ht="10" customHeight="1">
      <c r="A226" s="30" t="inlineStr">
        <is>
          <t>Ohio (SSBN-726 / SSGN-726)</t>
        </is>
      </c>
      <c r="B226" s="30" t="inlineStr">
        <is>
          <t>Fleet ballistic missile sub (SSBN) and guided-missile sub (SSGN)</t>
        </is>
      </c>
      <c r="C226" s="26" t="inlineStr">
        <is>
          <t>Active (retiring)</t>
        </is>
      </c>
    </row>
    <row r="227" ht="10" customHeight="1">
      <c r="A227" s="30" t="inlineStr">
        <is>
          <t>Columbia (SSBN-826)</t>
        </is>
      </c>
      <c r="B227" s="30" t="inlineStr">
        <is>
          <t>Next-gen ballistic missile submarine</t>
        </is>
      </c>
      <c r="C227" s="26" t="inlineStr">
        <is>
          <t>Under construction</t>
        </is>
      </c>
    </row>
    <row r="228" ht="10" customHeight="1"/>
    <row r="229" ht="10" customHeight="1">
      <c r="A229" s="46" t="inlineStr">
        <is>
          <t>LHA / LHD / LPD / LSD</t>
        </is>
      </c>
      <c r="B229" s="39" t="n"/>
      <c r="C229" s="39" t="n"/>
    </row>
    <row r="230" ht="10" customHeight="1">
      <c r="A230" s="29" t="inlineStr">
        <is>
          <t>Class</t>
        </is>
      </c>
      <c r="B230" s="29" t="inlineStr">
        <is>
          <t>Description</t>
        </is>
      </c>
      <c r="C230" s="29" t="inlineStr">
        <is>
          <t>Status</t>
        </is>
      </c>
    </row>
    <row r="231" ht="10" customHeight="1">
      <c r="A231" s="30" t="inlineStr">
        <is>
          <t>America (LHA-6)</t>
        </is>
      </c>
      <c r="B231" s="30" t="inlineStr">
        <is>
          <t>Amphibious assault ship</t>
        </is>
      </c>
      <c r="C231" s="26" t="inlineStr">
        <is>
          <t>Active / under construction</t>
        </is>
      </c>
    </row>
    <row r="232" ht="10" customHeight="1">
      <c r="A232" s="30" t="inlineStr">
        <is>
          <t>Wasp (LHD-1)</t>
        </is>
      </c>
      <c r="B232" s="30" t="inlineStr">
        <is>
          <t>Multipurpose amphibious assault ship, 8 ships</t>
        </is>
      </c>
      <c r="C232" s="26" t="inlineStr">
        <is>
          <t>Active</t>
        </is>
      </c>
    </row>
    <row r="233" ht="10" customHeight="1">
      <c r="A233" s="30" t="inlineStr">
        <is>
          <t>San Antonio (LPD-17)</t>
        </is>
      </c>
      <c r="B233" s="30" t="inlineStr">
        <is>
          <t>Amphibious transport dock — Flight I and II</t>
        </is>
      </c>
      <c r="C233" s="26" t="inlineStr">
        <is>
          <t>Active / under construction</t>
        </is>
      </c>
    </row>
    <row r="234" ht="10" customHeight="1">
      <c r="A234" s="30" t="inlineStr">
        <is>
          <t>Whidbey Island / Harpers Ferry (LSD-41/49)</t>
        </is>
      </c>
      <c r="B234" s="30" t="inlineStr">
        <is>
          <t>Dock landing ships (replaced by LPD Flight II)</t>
        </is>
      </c>
      <c r="C234" s="26" t="inlineStr">
        <is>
          <t>Active (retiring)</t>
        </is>
      </c>
    </row>
    <row r="235" ht="10" customHeight="1"/>
    <row r="236" ht="10" customHeight="1">
      <c r="A236" s="46" t="inlineStr">
        <is>
          <t>MCM</t>
        </is>
      </c>
      <c r="B236" s="39" t="n"/>
      <c r="C236" s="39" t="n"/>
    </row>
    <row r="237" ht="10" customHeight="1">
      <c r="A237" s="29" t="inlineStr">
        <is>
          <t>Class</t>
        </is>
      </c>
      <c r="B237" s="29" t="inlineStr">
        <is>
          <t>Description</t>
        </is>
      </c>
      <c r="C237" s="29" t="inlineStr">
        <is>
          <t>Status</t>
        </is>
      </c>
    </row>
    <row r="238" ht="10" customHeight="1">
      <c r="A238" s="30" t="inlineStr">
        <is>
          <t>Avenger (MCM-1)</t>
        </is>
      </c>
      <c r="B238" s="30" t="inlineStr">
        <is>
          <t>Mine countermeasures ship</t>
        </is>
      </c>
      <c r="C238" s="26" t="inlineStr">
        <is>
          <t>Active (retiring)</t>
        </is>
      </c>
    </row>
    <row r="239" ht="10" customHeight="1"/>
    <row r="240" ht="10" customHeight="1">
      <c r="A240" s="46" t="inlineStr">
        <is>
          <t>Oilers / Logistics</t>
        </is>
      </c>
      <c r="B240" s="39" t="n"/>
      <c r="C240" s="39" t="n"/>
    </row>
    <row r="241" ht="10" customHeight="1">
      <c r="A241" s="29" t="inlineStr">
        <is>
          <t>Class</t>
        </is>
      </c>
      <c r="B241" s="29" t="inlineStr">
        <is>
          <t>Description</t>
        </is>
      </c>
      <c r="C241" s="29" t="inlineStr">
        <is>
          <t>Status</t>
        </is>
      </c>
    </row>
    <row r="242" ht="10" customHeight="1">
      <c r="A242" s="30" t="inlineStr">
        <is>
          <t>Henry J. Kaiser (T-AO 187)</t>
        </is>
      </c>
      <c r="B242" s="30" t="inlineStr">
        <is>
          <t>Fleet replenishment oiler (MSC)</t>
        </is>
      </c>
      <c r="C242" s="26" t="inlineStr">
        <is>
          <t>Active</t>
        </is>
      </c>
    </row>
    <row r="243" ht="10" customHeight="1">
      <c r="A243" s="30" t="inlineStr">
        <is>
          <t>John Lewis (T-AO 205)</t>
        </is>
      </c>
      <c r="B243" s="30" t="inlineStr">
        <is>
          <t>Next-gen fleet replenishment oiler (MSC)</t>
        </is>
      </c>
      <c r="C243" s="26" t="inlineStr">
        <is>
          <t>Under construction</t>
        </is>
      </c>
    </row>
    <row r="244" ht="10" customHeight="1">
      <c r="A244" s="30" t="inlineStr">
        <is>
          <t>Lewis and Clark (T-AKE)</t>
        </is>
      </c>
      <c r="B244" s="30" t="inlineStr">
        <is>
          <t>Dry cargo/ammunition ship (MSC)</t>
        </is>
      </c>
      <c r="C244" s="26" t="inlineStr">
        <is>
          <t>Active</t>
        </is>
      </c>
    </row>
    <row r="245" ht="10" customHeight="1">
      <c r="A245" s="30" t="inlineStr">
        <is>
          <t>Supply (T-AOE 6)</t>
        </is>
      </c>
      <c r="B245" s="30" t="inlineStr">
        <is>
          <t>Fast combat support ship</t>
        </is>
      </c>
      <c r="C245" s="26" t="inlineStr">
        <is>
          <t>Inactive</t>
        </is>
      </c>
    </row>
    <row r="246" ht="10" customHeight="1"/>
    <row r="247" ht="10" customHeight="1">
      <c r="A247" s="46" t="inlineStr">
        <is>
          <t>Expeditionary / Special</t>
        </is>
      </c>
      <c r="B247" s="39" t="n"/>
      <c r="C247" s="39" t="n"/>
    </row>
    <row r="248" ht="10" customHeight="1">
      <c r="A248" s="29" t="inlineStr">
        <is>
          <t>Class</t>
        </is>
      </c>
      <c r="B248" s="29" t="inlineStr">
        <is>
          <t>Description</t>
        </is>
      </c>
      <c r="C248" s="29" t="inlineStr">
        <is>
          <t>Status</t>
        </is>
      </c>
    </row>
    <row r="249" ht="10" customHeight="1">
      <c r="A249" s="30" t="inlineStr">
        <is>
          <t>Spearhead (T-EPF)</t>
        </is>
      </c>
      <c r="B249" s="30" t="inlineStr">
        <is>
          <t>Expeditionary fast transport (MSC)</t>
        </is>
      </c>
      <c r="C249" s="26" t="inlineStr">
        <is>
          <t>Active</t>
        </is>
      </c>
    </row>
    <row r="250" ht="10" customHeight="1">
      <c r="A250" s="30" t="inlineStr">
        <is>
          <t>Lewis B. Puller (T-ESB)</t>
        </is>
      </c>
      <c r="B250" s="30" t="inlineStr">
        <is>
          <t>Expeditionary sea base (MSC)</t>
        </is>
      </c>
      <c r="C250" s="26" t="inlineStr">
        <is>
          <t>Active</t>
        </is>
      </c>
    </row>
    <row r="251" ht="10" customHeight="1">
      <c r="A251" s="30" t="inlineStr">
        <is>
          <t>Medium Landing Ship (LSM)</t>
        </is>
      </c>
      <c r="B251" s="30" t="inlineStr">
        <is>
          <t>New program — medium amphibious landing ship</t>
        </is>
      </c>
      <c r="C251" s="26" t="inlineStr">
        <is>
          <t>Under development</t>
        </is>
      </c>
    </row>
    <row r="252" ht="10" customHeight="1">
      <c r="A252" s="30" t="inlineStr">
        <is>
          <t>Ship to Shore Connector (SSC / LCAC 100)</t>
        </is>
      </c>
      <c r="B252" s="30" t="inlineStr">
        <is>
          <t>Next-gen landing craft air cushion</t>
        </is>
      </c>
      <c r="C252" s="26" t="inlineStr">
        <is>
          <t>Under construction</t>
        </is>
      </c>
    </row>
    <row r="253" ht="10" customHeight="1">
      <c r="A253" s="30" t="inlineStr">
        <is>
          <t>LCU 1700</t>
        </is>
      </c>
      <c r="B253" s="30" t="inlineStr">
        <is>
          <t>Landing craft utility — next generation</t>
        </is>
      </c>
      <c r="C253" s="26" t="inlineStr">
        <is>
          <t>Under construction</t>
        </is>
      </c>
    </row>
    <row r="254" ht="10" customHeight="1"/>
    <row r="255" ht="10" customHeight="1">
      <c r="A255" s="46" t="inlineStr">
        <is>
          <t>Command / Support</t>
        </is>
      </c>
      <c r="B255" s="39" t="n"/>
      <c r="C255" s="39" t="n"/>
    </row>
    <row r="256" ht="10" customHeight="1">
      <c r="A256" s="29" t="inlineStr">
        <is>
          <t>Class</t>
        </is>
      </c>
      <c r="B256" s="29" t="inlineStr">
        <is>
          <t>Description</t>
        </is>
      </c>
      <c r="C256" s="29" t="inlineStr">
        <is>
          <t>Status</t>
        </is>
      </c>
    </row>
    <row r="257" ht="10" customHeight="1">
      <c r="A257" s="30" t="inlineStr">
        <is>
          <t>Blue Ridge (LCC-19/20)</t>
        </is>
      </c>
      <c r="B257" s="30" t="inlineStr">
        <is>
          <t>Amphibious command ship</t>
        </is>
      </c>
      <c r="C257" s="26" t="inlineStr">
        <is>
          <t>Active</t>
        </is>
      </c>
    </row>
    <row r="258" ht="10" customHeight="1">
      <c r="A258" s="30" t="inlineStr">
        <is>
          <t>Emory S. Land (AS-39)</t>
        </is>
      </c>
      <c r="B258" s="30" t="inlineStr">
        <is>
          <t>Submarine tender</t>
        </is>
      </c>
      <c r="C258" s="26" t="inlineStr">
        <is>
          <t>Active</t>
        </is>
      </c>
    </row>
    <row r="259" ht="10" customHeight="1">
      <c r="A259" s="30" t="inlineStr">
        <is>
          <t>Victorious (T-AGOS 19)</t>
        </is>
      </c>
      <c r="B259" s="30" t="inlineStr">
        <is>
          <t>Ocean surveillance ship (MSC)</t>
        </is>
      </c>
      <c r="C259" s="26" t="inlineStr">
        <is>
          <t>Active</t>
        </is>
      </c>
    </row>
    <row r="260" ht="10" customHeight="1">
      <c r="A260" s="30" t="inlineStr">
        <is>
          <t>Pathfinder (T-AGS 60)</t>
        </is>
      </c>
      <c r="B260" s="30" t="inlineStr">
        <is>
          <t>Oceanographic survey ship (MSC)</t>
        </is>
      </c>
      <c r="C260" s="26" t="inlineStr">
        <is>
          <t>Active</t>
        </is>
      </c>
    </row>
    <row r="261" ht="10" customHeight="1">
      <c r="A261" s="30" t="inlineStr">
        <is>
          <t>Mercy (T-AH 19)</t>
        </is>
      </c>
      <c r="B261" s="30" t="inlineStr">
        <is>
          <t>Hospital ship (MSC)</t>
        </is>
      </c>
      <c r="C261" s="26" t="inlineStr">
        <is>
          <t>Active</t>
        </is>
      </c>
    </row>
    <row r="262" ht="10" customHeight="1">
      <c r="A262" s="30" t="inlineStr">
        <is>
          <t>Navajo (T-ATS)</t>
        </is>
      </c>
      <c r="B262" s="30" t="inlineStr">
        <is>
          <t>Towing/salvage/rescue ship (MSC)</t>
        </is>
      </c>
      <c r="C262" s="26" t="inlineStr">
        <is>
          <t>Under construction</t>
        </is>
      </c>
    </row>
    <row r="263" ht="10" customHeight="1">
      <c r="A263" s="30" t="inlineStr">
        <is>
          <t>Safeguard (ARS-50)</t>
        </is>
      </c>
      <c r="B263" s="30" t="inlineStr">
        <is>
          <t>Rescue and salvage ship</t>
        </is>
      </c>
      <c r="C263" s="26" t="inlineStr">
        <is>
          <t>Active</t>
        </is>
      </c>
    </row>
    <row r="264" ht="10" customHeight="1"/>
    <row r="265" ht="10" customHeight="1">
      <c r="A265" s="46" t="inlineStr">
        <is>
          <t>USCG</t>
        </is>
      </c>
      <c r="B265" s="39" t="n"/>
      <c r="C265" s="39" t="n"/>
    </row>
    <row r="266" ht="10" customHeight="1">
      <c r="A266" s="29" t="inlineStr">
        <is>
          <t>Class</t>
        </is>
      </c>
      <c r="B266" s="29" t="inlineStr">
        <is>
          <t>Description</t>
        </is>
      </c>
      <c r="C266" s="29" t="inlineStr">
        <is>
          <t>Status</t>
        </is>
      </c>
    </row>
    <row r="267" ht="10" customHeight="1">
      <c r="A267" s="30" t="inlineStr">
        <is>
          <t>Legend (WMSL-750)</t>
        </is>
      </c>
      <c r="B267" s="30" t="inlineStr">
        <is>
          <t>National Security Cutter</t>
        </is>
      </c>
      <c r="C267" s="26" t="inlineStr">
        <is>
          <t>Active</t>
        </is>
      </c>
    </row>
    <row r="268" ht="10" customHeight="1">
      <c r="A268" s="30" t="inlineStr">
        <is>
          <t>Heritage (WMSM-920)</t>
        </is>
      </c>
      <c r="B268" s="30" t="inlineStr">
        <is>
          <t>Offshore Patrol Cutter</t>
        </is>
      </c>
      <c r="C268" s="26" t="inlineStr">
        <is>
          <t>Under construction</t>
        </is>
      </c>
    </row>
    <row r="269" ht="10" customHeight="1">
      <c r="A269" s="30" t="inlineStr">
        <is>
          <t>Sentinel (WPC-1101)</t>
        </is>
      </c>
      <c r="B269" s="30" t="inlineStr">
        <is>
          <t>Fast Response Cutter</t>
        </is>
      </c>
      <c r="C269" s="26" t="inlineStr">
        <is>
          <t>Active / under construction</t>
        </is>
      </c>
    </row>
    <row r="270" ht="10" customHeight="1">
      <c r="A270" s="30" t="inlineStr">
        <is>
          <t>Famous (WMEC-270)</t>
        </is>
      </c>
      <c r="B270" s="30" t="inlineStr">
        <is>
          <t>270-foot medium endurance cutter</t>
        </is>
      </c>
      <c r="C270" s="26" t="inlineStr">
        <is>
          <t>Active</t>
        </is>
      </c>
    </row>
    <row r="271" ht="10" customHeight="1">
      <c r="A271" s="30" t="inlineStr">
        <is>
          <t>Reliance (WMEC-210)</t>
        </is>
      </c>
      <c r="B271" s="30" t="inlineStr">
        <is>
          <t>210-foot medium endurance cutter</t>
        </is>
      </c>
      <c r="C271" s="26" t="inlineStr">
        <is>
          <t>Retiring</t>
        </is>
      </c>
    </row>
    <row r="272" ht="10" customHeight="1">
      <c r="A272" s="30" t="inlineStr">
        <is>
          <t>Polar (WAGB-10)</t>
        </is>
      </c>
      <c r="B272" s="30" t="inlineStr">
        <is>
          <t>Polar-class heavy icebreaker</t>
        </is>
      </c>
      <c r="C272" s="26" t="inlineStr">
        <is>
          <t>Active (beyond service life)</t>
        </is>
      </c>
    </row>
    <row r="273" ht="10" customHeight="1">
      <c r="A273" s="30" t="inlineStr">
        <is>
          <t>Polar Security Cutter (WAGB)</t>
        </is>
      </c>
      <c r="B273" s="30" t="inlineStr">
        <is>
          <t>New heavy polar icebreaker program</t>
        </is>
      </c>
      <c r="C273" s="26" t="inlineStr">
        <is>
          <t>Under construction</t>
        </is>
      </c>
    </row>
    <row r="274" ht="10" customHeight="1">
      <c r="A274" s="30" t="inlineStr">
        <is>
          <t>Mackinaw (WLBB-30)</t>
        </is>
      </c>
      <c r="B274" s="30" t="inlineStr">
        <is>
          <t>Great Lakes icebreaker</t>
        </is>
      </c>
      <c r="C274" s="26" t="inlineStr">
        <is>
          <t>Active</t>
        </is>
      </c>
    </row>
    <row r="275" ht="10" customHeight="1">
      <c r="A275" s="30" t="inlineStr">
        <is>
          <t>Juniper (WLB-201)</t>
        </is>
      </c>
      <c r="B275" s="30" t="inlineStr">
        <is>
          <t>Seagoing buoy tender</t>
        </is>
      </c>
      <c r="C275" s="26" t="inlineStr">
        <is>
          <t>Active</t>
        </is>
      </c>
    </row>
    <row r="276" ht="10" customHeight="1">
      <c r="A276" s="30" t="inlineStr">
        <is>
          <t>Keeper (WLM-551)</t>
        </is>
      </c>
      <c r="B276" s="30" t="inlineStr">
        <is>
          <t>Coastal buoy tender</t>
        </is>
      </c>
      <c r="C276" s="26" t="inlineStr">
        <is>
          <t>Active</t>
        </is>
      </c>
    </row>
    <row r="277" ht="10" customHeight="1"/>
    <row r="278" ht="10" customHeight="1">
      <c r="A278" s="27" t="inlineStr">
        <is>
          <t>Vessel Column Standardization Rules</t>
        </is>
      </c>
      <c r="B278" s="28" t="n"/>
      <c r="C278" s="28" t="n"/>
    </row>
    <row r="279" ht="10" customHeight="1">
      <c r="A279" s="26" t="inlineStr">
        <is>
          <t>Rules governing how Vessel Service, Category, Type, and Hull columns are populated</t>
        </is>
      </c>
    </row>
    <row r="280" ht="10" customHeight="1">
      <c r="A280" s="29" t="inlineStr">
        <is>
          <t>Rule</t>
        </is>
      </c>
      <c r="B280" s="29" t="inlineStr">
        <is>
          <t>Description</t>
        </is>
      </c>
      <c r="C280" s="29" t="inlineStr">
        <is>
          <t>Notes</t>
        </is>
      </c>
    </row>
    <row r="281" ht="10" customHeight="1">
      <c r="A281" s="30" t="inlineStr">
        <is>
          <t>4-column vessel hierarchy</t>
        </is>
      </c>
      <c r="B281" s="30" t="inlineStr">
        <is>
          <t>Vessel data split into: Vessel_Service (USN/USCG/MSC), Vessel_Category, Vessel_Type, Vessel_Hull.</t>
        </is>
      </c>
      <c r="C281" s="26" t="inlineStr">
        <is>
          <t>Each column progressively more specific.</t>
        </is>
      </c>
    </row>
    <row r="282" ht="10" customHeight="1">
      <c r="A282" s="30" t="inlineStr">
        <is>
          <t>Service determined by hull and source</t>
        </is>
      </c>
      <c r="B282" s="30" t="inlineStr">
        <is>
          <t>MSC when hull starts with T-. USCG for Cutters/Boats categories or USCG source book. All others USN.</t>
        </is>
      </c>
    </row>
    <row r="283" ht="10" customHeight="1">
      <c r="A283" s="30" t="inlineStr">
        <is>
          <t>Multi-type / multi-hull rows blanked</t>
        </is>
      </c>
      <c r="B283" s="30" t="inlineStr">
        <is>
          <t>If a line item applies to multiple vessel types or hulls, all 4 vessel columns are blank.</t>
        </is>
      </c>
      <c r="C283" s="26" t="inlineStr">
        <is>
          <t>Description or Citation preserves original scope.</t>
        </is>
      </c>
    </row>
    <row r="284" ht="10" customHeight="1">
      <c r="A284" s="30" t="inlineStr">
        <is>
          <t>Vague values blanked</t>
        </is>
      </c>
      <c r="B284" s="30" t="inlineStr">
        <is>
          <t>Values like 'Multiple', 'Afloat (various)', 'N/A' that cannot map to a single canonical type are blanked.</t>
        </is>
      </c>
    </row>
    <row r="285" ht="10" customHeight="1">
      <c r="A285" s="30" t="inlineStr">
        <is>
          <t>Hull extracted from class or type</t>
        </is>
      </c>
      <c r="B285" s="30" t="inlineStr">
        <is>
          <t>Hull derived first from vessel class (Arleigh Burke → DDG). If no class but type was specific, hull extracted from type.</t>
        </is>
      </c>
    </row>
    <row r="286" ht="10" customHeight="1">
      <c r="A286" s="30" t="inlineStr">
        <is>
          <t>Type has no parentheticals</t>
        </is>
      </c>
      <c r="B286" s="30" t="inlineStr">
        <is>
          <t>Vessel_Type uses base name only (e.g., 'Surface Combatants'). Hull abbreviations belong in Vessel_Hull.</t>
        </is>
      </c>
    </row>
    <row r="287" ht="10" customHeight="1">
      <c r="A287" s="30" t="inlineStr">
        <is>
          <t>Blank stays blank</t>
        </is>
      </c>
      <c r="B287" s="30" t="inlineStr">
        <is>
          <t>If vessel info was originally blank, all 4 vessel columns remain blank.</t>
        </is>
      </c>
    </row>
    <row r="288" ht="10" customHeight="1"/>
    <row r="289" ht="10" customHeight="1">
      <c r="A289" s="27" t="inlineStr">
        <is>
          <t>Derived &amp; Helper Columns</t>
        </is>
      </c>
      <c r="B289" s="28" t="n"/>
      <c r="C289" s="28" t="n"/>
    </row>
    <row r="290" ht="10" customHeight="1">
      <c r="A290" s="26" t="inlineStr">
        <is>
          <t>Columns added by the build script for formula simplification and cost category analysis</t>
        </is>
      </c>
    </row>
    <row r="291" ht="10" customHeight="1"/>
    <row r="292" ht="10" customHeight="1">
      <c r="A292" s="46" t="inlineStr">
        <is>
          <t>Derived Columns (v4.0)</t>
        </is>
      </c>
      <c r="B292" s="39" t="n"/>
      <c r="C292" s="39" t="n"/>
    </row>
    <row r="293" ht="10" customHeight="1">
      <c r="A293" s="29" t="inlineStr">
        <is>
          <t>Column</t>
        </is>
      </c>
      <c r="B293" s="29" t="inlineStr">
        <is>
          <t>Description</t>
        </is>
      </c>
      <c r="C293" s="29" t="inlineStr">
        <is>
          <t>Details</t>
        </is>
      </c>
    </row>
    <row r="294" ht="10" customHeight="1">
      <c r="A294" s="30" t="inlineStr">
        <is>
          <t>Exhibit Level (col G)</t>
        </is>
      </c>
      <c r="B294" s="30" t="inlineStr">
        <is>
          <t>Populated for [ALT_VIEW] rows. Values: "P-5c", "P-8a", "P-35", or blank. Parsed from the Line Item Title.</t>
        </is>
      </c>
      <c r="C294" s="26" t="inlineStr">
        <is>
          <t>P-8a rows require a known cost category in the title. Blank for non-ALT_VIEW.</t>
        </is>
      </c>
    </row>
    <row r="295" ht="10" customHeight="1">
      <c r="A295" s="30" t="inlineStr">
        <is>
          <t>Cost Category (col H)</t>
        </is>
      </c>
      <c r="B295" s="30" t="inlineStr">
        <is>
          <t>Populated for [ALT_VIEW] rows. One of 9 P-5c cost categories, or blank. For P-5c: extracted from title. For P-8a: parent P-5c category.</t>
        </is>
      </c>
      <c r="C295" s="26" t="inlineStr">
        <is>
          <t>Valid: Plan Costs, Basic Construction, Change Orders, Electronics, Propulsion Equipment, Hull Mechanical and Electrical, Ordnance, Other Cost, Technology Insertion.</t>
        </is>
      </c>
    </row>
    <row r="296" ht="10" customHeight="1"/>
    <row r="297" ht="10" customHeight="1">
      <c r="A297" s="46" t="inlineStr">
        <is>
          <t>Helper Columns (v5.14)</t>
        </is>
      </c>
      <c r="B297" s="39" t="n"/>
      <c r="C297" s="39" t="n"/>
    </row>
    <row r="298" ht="10" customHeight="1">
      <c r="A298" s="29" t="inlineStr">
        <is>
          <t>Column</t>
        </is>
      </c>
      <c r="B298" s="29" t="inlineStr">
        <is>
          <t>Description</t>
        </is>
      </c>
      <c r="C298" s="29" t="inlineStr">
        <is>
          <t>Formula</t>
        </is>
      </c>
    </row>
    <row r="299" ht="10" customHeight="1">
      <c r="A299" s="30" t="inlineStr">
        <is>
          <t>Row Class (col AC)</t>
        </is>
      </c>
      <c r="B299" s="30" t="inlineStr">
        <is>
          <t>Classifies each row: "ADD" for additive (blank or [PARENT]), "ALT" for [ALT_VIEW], blank for others.</t>
        </is>
      </c>
      <c r="C299" s="26">
        <f>IF(OR(E="",E="[PARENT]"),"ADD",IF(E="[ALT_VIEW]","ALT",""))</f>
        <v/>
      </c>
    </row>
    <row r="300" ht="10" customHeight="1">
      <c r="A300" s="30" t="inlineStr">
        <is>
          <t>FY26 Best ($K) (col AD)</t>
        </is>
      </c>
      <c r="B300" s="30" t="inlineStr">
        <is>
          <t>Pre-computed FY2026 cascade. Picks first non-blank: DAA Enacted (Y), Total (U), Request (S).</t>
        </is>
      </c>
      <c r="C300" s="26">
        <f>IF(Y&lt;&gt;"",Y,IF(U&lt;&gt;"",U,S))</f>
        <v/>
      </c>
    </row>
    <row r="301" ht="10" customHeight="1">
      <c r="A301" s="30" t="inlineStr">
        <is>
          <t>FY27 Best ($K) (col AE)</t>
        </is>
      </c>
      <c r="B301" s="30" t="inlineStr">
        <is>
          <t>Pre-computed FY2027 cascade. Picks first non-blank: Total (AB), Request (Z).</t>
        </is>
      </c>
      <c r="C301" s="26">
        <f>IF(AB&lt;&gt;"",AB,Z)</f>
        <v/>
      </c>
    </row>
    <row r="302" ht="10" customHeight="1"/>
    <row r="303" ht="10" customHeight="1">
      <c r="A303" s="46" t="inlineStr">
        <is>
          <t>Formula Simplification Impact</t>
        </is>
      </c>
      <c r="B303" s="39" t="n"/>
      <c r="C303" s="39" t="n"/>
    </row>
    <row r="304" ht="10" customHeight="1">
      <c r="A304" s="30" t="inlineStr">
        <is>
          <t>Before v5.14</t>
        </is>
      </c>
      <c r="B304" s="30" t="inlineStr">
        <is>
          <t>Every SUMIFS encoded cascade inline — 2 row types × 3 value columns = 6 SUMIFS per FY26 condition.</t>
        </is>
      </c>
      <c r="C304" s="26" t="inlineStr">
        <is>
          <t>Max formula: 6,013 chars / 84 SUMIFS</t>
        </is>
      </c>
    </row>
    <row r="305" ht="10" customHeight="1">
      <c r="A305" s="30" t="inlineStr">
        <is>
          <t>After v5.14</t>
        </is>
      </c>
      <c r="B305" s="30" t="inlineStr">
        <is>
          <t>Each formula reduces to 1 SUMIFS: =SUMIFS(JB_26BV, ..., JB_RC, "ADD"). Helper columns are live formulas.</t>
        </is>
      </c>
      <c r="C305" s="26" t="inlineStr">
        <is>
          <t>Max formula: 853 chars / 14 SUMIFS (86% reduction)</t>
        </is>
      </c>
    </row>
    <row r="306" ht="10" customHeight="1"/>
    <row r="307" ht="10" customHeight="1">
      <c r="A307" s="27" t="inlineStr">
        <is>
          <t>Named Ranges</t>
        </is>
      </c>
      <c r="B307" s="28" t="n"/>
      <c r="C307" s="28" t="n"/>
    </row>
    <row r="308" ht="10" customHeight="1">
      <c r="A308" s="26" t="inlineStr">
        <is>
          <t>Named ranges defined on J Book Items Cons. for use in SUMIFS formulas across all analysis sheets</t>
        </is>
      </c>
    </row>
    <row r="309" ht="10" customHeight="1">
      <c r="A309" s="29" t="inlineStr">
        <is>
          <t>Name</t>
        </is>
      </c>
      <c r="B309" s="29" t="inlineStr">
        <is>
          <t>Column &amp; Description</t>
        </is>
      </c>
      <c r="C309" s="29" t="inlineStr">
        <is>
          <t>Range</t>
        </is>
      </c>
    </row>
    <row r="310" ht="10" customHeight="1">
      <c r="A310" s="30" t="inlineStr">
        <is>
          <t>JB_A</t>
        </is>
      </c>
      <c r="B310" s="30" t="inlineStr">
        <is>
          <t>col A — Source Book</t>
        </is>
      </c>
      <c r="C310" s="26" t="inlineStr">
        <is>
          <t>$A$6:$A$4000</t>
        </is>
      </c>
    </row>
    <row r="311" ht="10" customHeight="1">
      <c r="A311" s="30" t="inlineStr">
        <is>
          <t>JB_B</t>
        </is>
      </c>
      <c r="B311" s="30" t="inlineStr">
        <is>
          <t>col I — Bucket</t>
        </is>
      </c>
      <c r="C311" s="26" t="inlineStr">
        <is>
          <t>$I$6:$I$4000</t>
        </is>
      </c>
    </row>
    <row r="312" ht="10" customHeight="1">
      <c r="A312" s="30" t="inlineStr">
        <is>
          <t>JB_V</t>
        </is>
      </c>
      <c r="B312" s="30" t="inlineStr">
        <is>
          <t>col L — Vessel Category</t>
        </is>
      </c>
      <c r="C312" s="26" t="inlineStr">
        <is>
          <t>$L$6:$L$4000</t>
        </is>
      </c>
    </row>
    <row r="313" ht="10" customHeight="1">
      <c r="A313" s="30" t="inlineStr">
        <is>
          <t>JB_W</t>
        </is>
      </c>
      <c r="B313" s="30" t="inlineStr">
        <is>
          <t>col M — Vessel Type</t>
        </is>
      </c>
      <c r="C313" s="26" t="inlineStr">
        <is>
          <t>$M$6:$M$4000</t>
        </is>
      </c>
    </row>
    <row r="314" ht="10" customHeight="1">
      <c r="A314" s="30" t="inlineStr">
        <is>
          <t>JB_H</t>
        </is>
      </c>
      <c r="B314" s="30" t="inlineStr">
        <is>
          <t>col N — Vessel Hull</t>
        </is>
      </c>
      <c r="C314" s="26" t="inlineStr">
        <is>
          <t>$N$6:$N$4000</t>
        </is>
      </c>
    </row>
    <row r="315" ht="10" customHeight="1">
      <c r="A315" s="30" t="inlineStr">
        <is>
          <t>JB_S</t>
        </is>
      </c>
      <c r="B315" s="30" t="inlineStr">
        <is>
          <t>col E — Row Type</t>
        </is>
      </c>
      <c r="C315" s="26" t="inlineStr">
        <is>
          <t>$E$6:$E$4000</t>
        </is>
      </c>
    </row>
    <row r="316" ht="10" customHeight="1">
      <c r="A316" s="30" t="inlineStr">
        <is>
          <t>JB_F</t>
        </is>
      </c>
      <c r="B316" s="30" t="inlineStr">
        <is>
          <t>col J — Bucket Sub Category</t>
        </is>
      </c>
      <c r="C316" s="26" t="inlineStr">
        <is>
          <t>$J$6:$J$4000</t>
        </is>
      </c>
    </row>
    <row r="317" ht="10" customHeight="1">
      <c r="A317" s="30" t="inlineStr">
        <is>
          <t>JB_EX</t>
        </is>
      </c>
      <c r="B317" s="30" t="inlineStr">
        <is>
          <t>col G — Exhibit Level (derived)</t>
        </is>
      </c>
      <c r="C317" s="26" t="inlineStr">
        <is>
          <t>$G$6:$G$4000</t>
        </is>
      </c>
    </row>
    <row r="318" ht="10" customHeight="1">
      <c r="A318" s="30" t="inlineStr">
        <is>
          <t>JB_CC</t>
        </is>
      </c>
      <c r="B318" s="30" t="inlineStr">
        <is>
          <t>col H — Cost Category (derived)</t>
        </is>
      </c>
      <c r="C318" s="26" t="inlineStr">
        <is>
          <t>$H$6:$H$4000</t>
        </is>
      </c>
    </row>
    <row r="319" ht="10" customHeight="1">
      <c r="A319" s="30" t="inlineStr">
        <is>
          <t>JB_CE</t>
        </is>
      </c>
      <c r="B319" s="30" t="inlineStr">
        <is>
          <t>col AJ — Cost Element (system names for P-8a)</t>
        </is>
      </c>
      <c r="C319" s="26" t="inlineStr">
        <is>
          <t>$AJ$6:$AJ$4000</t>
        </is>
      </c>
    </row>
    <row r="320" ht="10" customHeight="1">
      <c r="A320" s="30" t="inlineStr">
        <is>
          <t>JB_RC</t>
        </is>
      </c>
      <c r="B320" s="30" t="inlineStr">
        <is>
          <t>col AC — Row Class (helper)</t>
        </is>
      </c>
      <c r="C320" s="26" t="inlineStr">
        <is>
          <t>$AC$6:$AC$4000</t>
        </is>
      </c>
    </row>
    <row r="321" ht="10" customHeight="1">
      <c r="A321" s="30" t="inlineStr">
        <is>
          <t>JB_26BV</t>
        </is>
      </c>
      <c r="B321" s="30" t="inlineStr">
        <is>
          <t>col AD — FY2026 Best Value (helper)</t>
        </is>
      </c>
      <c r="C321" s="26" t="inlineStr">
        <is>
          <t>$AD$6:$AD$4000</t>
        </is>
      </c>
    </row>
    <row r="322" ht="10" customHeight="1">
      <c r="A322" s="30" t="inlineStr">
        <is>
          <t>JB_27BV</t>
        </is>
      </c>
      <c r="B322" s="30" t="inlineStr">
        <is>
          <t>col AE — FY2027 Best Value (helper)</t>
        </is>
      </c>
      <c r="C322" s="26" t="inlineStr">
        <is>
          <t>$AE$6:$AE$4000</t>
        </is>
      </c>
    </row>
    <row r="323" ht="10" customHeight="1"/>
    <row r="324" ht="10" customHeight="1">
      <c r="A324" s="27" t="inlineStr">
        <is>
          <t>Newbuild SAM Cost Category Detail</t>
        </is>
      </c>
      <c r="B324" s="28" t="n"/>
      <c r="C324" s="28" t="n"/>
    </row>
    <row r="325" ht="10" customHeight="1">
      <c r="A325" s="26" t="inlineStr">
        <is>
          <t>Supplemental cost category analysis on the Newbuild SAM and Cost Detail sheets (FY26 only)</t>
        </is>
      </c>
    </row>
    <row r="326" ht="10" customHeight="1">
      <c r="A326" s="29" t="inlineStr">
        <is>
          <t>Section</t>
        </is>
      </c>
      <c r="B326" s="29" t="inlineStr">
        <is>
          <t>Description</t>
        </is>
      </c>
      <c r="C326" s="29" t="inlineStr">
        <is>
          <t>Notes</t>
        </is>
      </c>
    </row>
    <row r="327" ht="10" customHeight="1">
      <c r="A327" s="30" t="inlineStr">
        <is>
          <t>SAM (D): P-5c Gross Cost Category</t>
        </is>
      </c>
      <c r="B327" s="30" t="inlineStr">
        <is>
          <t>Decomposes new-construction budget authority into P-5c cost categories by SAM vessel type. Gross total-ship-estimate costs — pre-AP/SFF, will NOT match SAM net totals.</t>
        </is>
      </c>
      <c r="C327" s="26" t="inlineStr">
        <is>
          <t>Uses SUMIFS on [ALT_VIEW] rows with JB_EX="P-5c". 6 SAM vessel types.</t>
        </is>
      </c>
    </row>
    <row r="328" ht="10" customHeight="1">
      <c r="A328" s="30" t="inlineStr">
        <is>
          <t>SAM (E): Proportional Allocation</t>
        </is>
      </c>
      <c r="B328" s="30" t="inlineStr">
        <is>
          <t>P-5c percentage mix from (D) applied to SAM net budget-authority totals. Cost category decomposition reconciles to the SAM total.</t>
        </is>
      </c>
      <c r="C328" s="26" t="inlineStr">
        <is>
          <t>Allocated Total should equal SAM Net Total per vessel type.</t>
        </is>
      </c>
    </row>
    <row r="329" ht="10" customHeight="1">
      <c r="A329" s="30" t="inlineStr">
        <is>
          <t>Cost Detail (A): P-5c Total Ship Cost</t>
        </is>
      </c>
      <c r="B329" s="30" t="inlineStr">
        <is>
          <t>Gross P-5c values by vessel type and cost category — actual cost of ships before AP/SFF netting.</t>
        </is>
      </c>
      <c r="C329" s="26" t="inlineStr">
        <is>
          <t>"What does a DDG-51 actually cost to build, by component?"</t>
        </is>
      </c>
    </row>
    <row r="330" ht="10" customHeight="1">
      <c r="A330" s="30" t="inlineStr">
        <is>
          <t>Cost Detail (B): P-8a System-Level</t>
        </is>
      </c>
      <c r="B330" s="30" t="inlineStr">
        <is>
          <t>Individual GFE systems from Exhibit P-8a, grouped by cost category within each vessel type.</t>
        </is>
      </c>
      <c r="C330" s="26" t="inlineStr">
        <is>
          <t>P-8a values are static (F_BLUE font). 30 of 415 rows lack a Cost Element.</t>
        </is>
      </c>
    </row>
    <row r="331" ht="10" customHeight="1">
      <c r="A331" s="30" t="inlineStr">
        <is>
          <t>Cost Detail (C): Top P-8a Cross-Program</t>
        </is>
      </c>
      <c r="B331" s="30" t="inlineStr">
        <is>
          <t>Largest GFE systems aggregated across all SAM vessel types, sorted by total FY2026 $K.</t>
        </is>
      </c>
      <c r="C331" s="26" t="inlineStr">
        <is>
          <t>"Total radar market?" or "which GFE systems span the most programs?"</t>
        </is>
      </c>
    </row>
    <row r="332" ht="10" customHeight="1"/>
    <row r="333" ht="10" customHeight="1">
      <c r="A333" s="26" t="inlineStr">
        <is>
          <t>FY2027 has no sections (D)/(E) or Cost Detail sheet — justification books (P-5c, P-8a, P-35) not yet released.</t>
        </is>
      </c>
    </row>
    <row r="334" ht="10" customHeight="1"/>
    <row r="335" ht="10" customHeight="1">
      <c r="A335" s="27" t="inlineStr">
        <is>
          <t>FY2027 Methodology &amp; Sourcing</t>
        </is>
      </c>
      <c r="B335" s="28" t="n"/>
      <c r="C335" s="28" t="n"/>
    </row>
    <row r="336" ht="10" customHeight="1">
      <c r="A336" s="26" t="inlineStr">
        <is>
          <t>How FY2027 columns were populated, sourcing, and methodological notes</t>
        </is>
      </c>
    </row>
    <row r="337" ht="10" customHeight="1">
      <c r="A337" s="29" t="inlineStr">
        <is>
          <t>Topic</t>
        </is>
      </c>
      <c r="B337" s="29" t="inlineStr">
        <is>
          <t>Description</t>
        </is>
      </c>
      <c r="C337" s="29" t="inlineStr">
        <is>
          <t>Notes</t>
        </is>
      </c>
    </row>
    <row r="338" ht="10" customHeight="1">
      <c r="A338" s="30" t="inlineStr">
        <is>
          <t>Source document</t>
        </is>
      </c>
      <c r="B338" s="30" t="inlineStr">
        <is>
          <t>FY 2027 P-1 / O-1 (April 2026). New columns: FY2027 Request ($K), FY2027 Mandatory Request ($K), FY2027 Total ($K) at cols Z/AA/AB.</t>
        </is>
      </c>
      <c r="C338" s="26" t="inlineStr">
        <is>
          <t>Status: REQUEST only, not enacted.</t>
        </is>
      </c>
    </row>
    <row r="339" ht="10" customHeight="1">
      <c r="A339" s="30" t="inlineStr">
        <is>
          <t>Discretionary vs Mandatory</t>
        </is>
      </c>
      <c r="B339" s="30" t="inlineStr">
        <is>
          <t>Two FY27 request columns: Discretionary Request (regular annual base) and Mandatory Request (a NEW reconciliation ask, separate from OBBBA, NOT enacted, NOT guaranteed).</t>
        </is>
      </c>
      <c r="C339" s="26" t="inlineStr">
        <is>
          <t>SCN FY27: Disc $60.18B + Mand $5.65B = $65.83B.</t>
        </is>
      </c>
    </row>
    <row r="340" ht="10" customHeight="1">
      <c r="A340" s="30" t="inlineStr">
        <is>
          <t>TAM formula (FY27)</t>
        </is>
      </c>
      <c r="B340" s="30" t="inlineStr">
        <is>
          <t>Same as FY26 — sum (no tag) + [PARENT] rows. Uses FY2027 Total as per-row value.</t>
        </is>
      </c>
      <c r="C340" s="26" t="inlineStr">
        <is>
          <t>Same double-counting guards apply.</t>
        </is>
      </c>
    </row>
    <row r="341" ht="10" customHeight="1">
      <c r="A341" s="30" t="inlineStr">
        <is>
          <t>Net vs Gross convention</t>
        </is>
      </c>
      <c r="B341" s="30" t="inlineStr">
        <is>
          <t>PARENT = NET (gross − Less:AP − Less:SFF). Same as FY26 DAA columns.</t>
        </is>
      </c>
      <c r="C341" s="26" t="inlineStr">
        <is>
          <t>Completion-PY rolldowns excluded from PARENT (live in [SUB] rows).</t>
        </is>
      </c>
    </row>
    <row r="342" ht="10" customHeight="1">
      <c r="A342" s="30" t="inlineStr">
        <is>
          <t>OBBBA exclusion</t>
        </is>
      </c>
      <c r="B342" s="30" t="inlineStr">
        <is>
          <t>OBBBA (PL 119-21) is FY2026-only budget authority. 100% captured in FY2026 DAA columns. No FY27 OBBBA column — adding one would double-count.</t>
        </is>
      </c>
      <c r="C342" s="26" t="inlineStr">
        <is>
          <t>OBBBA contracts may sign in FY27/FY28 but BA is all FY26.</t>
        </is>
      </c>
    </row>
    <row r="343" ht="10" customHeight="1">
      <c r="A343" s="30" t="inlineStr">
        <is>
          <t>Budget authority vs outlays</t>
        </is>
      </c>
      <c r="B343" s="30" t="inlineStr">
        <is>
          <t>This workbook measures BUDGET AUTHORITY (BA), not outlays. OBBBA gave $152.3B of FY2026 BA, available for obligation through Sept 30, 2029.</t>
        </is>
      </c>
      <c r="C343" s="26" t="inlineStr">
        <is>
          <t>Apples-to-apples basis for cross-year comparison.</t>
        </is>
      </c>
    </row>
    <row r="344" ht="10" customHeight="1">
      <c r="A344" s="30" t="inlineStr">
        <is>
          <t>FY27 Mandatory vs OBBBA</t>
        </is>
      </c>
      <c r="B344" s="30" t="inlineStr">
        <is>
          <t>Different pots of money. OBBBA = enacted FY26 mandatory (PL 119-21, July 2025). FY27 Mandatory = a NEW ask in the Apr 2026 PB submission — NOT enacted.</t>
        </is>
      </c>
      <c r="C344" s="26" t="inlineStr">
        <is>
          <t>SCN FY27 Mand = $5.65B vs. SCN FY26 OBBBA = $17.93B.</t>
        </is>
      </c>
    </row>
    <row r="345" ht="10" customHeight="1">
      <c r="A345" s="30" t="inlineStr">
        <is>
          <t>Coverage by source book</t>
        </is>
      </c>
      <c r="B345" s="30" t="inlineStr">
        <is>
          <t>High for SCN/OPN/WPN (line-item match). Blank for OMN/NWCF (SAG-level only) and USCG (DHS, not DoD).</t>
        </is>
      </c>
      <c r="C345" s="26" t="inlineStr">
        <is>
          <t>OMN/NWCF: Phase 2 prorated allocation. USCG: Phase 3 (DHS CJ).</t>
        </is>
      </c>
    </row>
    <row r="346" ht="10" customHeight="1">
      <c r="A346" s="30" t="inlineStr">
        <is>
          <t>New programs (v1.21)</t>
        </is>
      </c>
      <c r="B346" s="30" t="inlineStr">
        <is>
          <t>9 new SCN rows for FY27 P-1 items not in v1.20: Surface Ship IB, BBG(X), FF(X), AS Sub Tender, SMS, Next Gen Logistics Ship, Bulk Fuel Vessel, T-AH(X), Fireboats.</t>
        </is>
      </c>
      <c r="C346" s="26" t="inlineStr">
        <is>
          <t>Each: Source=SCN, no Row Type tag (additive), full taxonomy where available.</t>
        </is>
      </c>
    </row>
    <row r="347" ht="10" customHeight="1">
      <c r="A347" s="30" t="inlineStr">
        <is>
          <t>1613N Maritime Industrial Base Fund</t>
        </is>
      </c>
      <c r="B347" s="30" t="inlineStr">
        <is>
          <t>NOT added — FY26-only appropriation. Two line items (Sub IB $2.54B, Surface Ship IB $1.99B) are zero in FY27. OBBBA-only money already captured by other rows.</t>
        </is>
      </c>
    </row>
    <row r="348" ht="10" customHeight="1"/>
    <row r="349" ht="10" customHeight="1">
      <c r="A349" s="27" t="inlineStr">
        <is>
          <t>Data Quality Flags</t>
        </is>
      </c>
      <c r="B349" s="28" t="n"/>
      <c r="C349" s="28" t="n"/>
    </row>
    <row r="350" ht="10" customHeight="1">
      <c r="A350" s="26" t="inlineStr">
        <is>
          <t>Known duplicates, inconsistencies, and data quality issues in the current dataset</t>
        </is>
      </c>
    </row>
    <row r="351" ht="10" customHeight="1">
      <c r="A351" s="29" t="inlineStr">
        <is>
          <t>Issue</t>
        </is>
      </c>
      <c r="B351" s="29" t="inlineStr">
        <is>
          <t>Description</t>
        </is>
      </c>
      <c r="C351" s="29" t="inlineStr">
        <is>
          <t>Resolution</t>
        </is>
      </c>
    </row>
    <row r="352" ht="10" customHeight="1">
      <c r="A352" s="30" t="inlineStr">
        <is>
          <t>Surface Combatants variant (RESOLVED)</t>
        </is>
      </c>
      <c r="B352" s="30" t="inlineStr">
        <is>
          <t>Submarket column previously had hyphen and en-dash variants. As of v1.22, all standardized.</t>
        </is>
      </c>
      <c r="C352" s="26" t="inlineStr">
        <is>
          <t>Re-run consolidation if reloading from en-dash sources.</t>
        </is>
      </c>
    </row>
    <row r="353" ht="10" customHeight="1">
      <c r="A353" s="30" t="inlineStr">
        <is>
          <t>OPN_BA3 / BA5-8 duplicate rows</t>
        </is>
      </c>
      <c r="B353" s="30" t="inlineStr">
        <is>
          <t>5 line items appear in both OPN_BA3 and OPN_BA5-8. Double-count when summed across all OPN_BAx.</t>
        </is>
      </c>
      <c r="C353" s="26" t="inlineStr">
        <is>
          <t>Est. impact: +$1.0M to +$1.3M. Pick canonical source, blank the other.</t>
        </is>
      </c>
    </row>
    <row r="354" ht="10" customHeight="1">
      <c r="A354" s="30" t="inlineStr">
        <is>
          <t>LI 116 Advanced Arresting Gear (AAG)</t>
        </is>
      </c>
      <c r="B354" s="30" t="inlineStr">
        <is>
          <t>OPN_BA3 R2890 + OPN_BA5-8 R3208. Both reference same P-1 line item.</t>
        </is>
      </c>
      <c r="C354" s="26" t="inlineStr">
        <is>
          <t>Both FY27 = $23,551K. Pick one.</t>
        </is>
      </c>
    </row>
    <row r="355" ht="10" customHeight="1">
      <c r="A355" s="30" t="inlineStr">
        <is>
          <t>LI 117 EMALS</t>
        </is>
      </c>
      <c r="B355" s="30" t="inlineStr">
        <is>
          <t>OPN_BA3 R2901 + OPN_BA5-8 R3209. Both reference same P-1 line item.</t>
        </is>
      </c>
      <c r="C355" s="26" t="inlineStr">
        <is>
          <t>Both FY27 = $36,908K. Pick one.</t>
        </is>
      </c>
    </row>
    <row r="356" ht="10" customHeight="1">
      <c r="A356" s="30" t="inlineStr">
        <is>
          <t>LI 122 UMCS-UCA Mission Control Station</t>
        </is>
      </c>
      <c r="B356" s="30" t="inlineStr">
        <is>
          <t>OPN_BA3 R2947 + OPN_BA5-8 R3210. Both reference same P-1 line item.</t>
        </is>
      </c>
      <c r="C356" s="26" t="inlineStr">
        <is>
          <t>Both FY27 = $211,216K. Pick one.</t>
        </is>
      </c>
    </row>
    <row r="357" ht="10" customHeight="1">
      <c r="A357" s="30" t="inlineStr">
        <is>
          <t>LI 176 Spares and Repair Parts</t>
        </is>
      </c>
      <c r="B357" s="30" t="inlineStr">
        <is>
          <t>OPN_BA3 R2973 + OPN_BA5-8 R3220. Both reference P-1 BA08 line 176.</t>
        </is>
      </c>
      <c r="C357" s="26" t="inlineStr">
        <is>
          <t>Both FY27 = $765,711K. Largest single-line double-count.</t>
        </is>
      </c>
    </row>
    <row r="358" ht="10" customHeight="1">
      <c r="A358" s="30" t="inlineStr">
        <is>
          <t>LI 177 VIRGINIA Class Spares</t>
        </is>
      </c>
      <c r="B358" s="30" t="inlineStr">
        <is>
          <t>OPN_BA3 R2974 + OPN_BA5-8 R3221. In FY27, P-1 lacks a separate Virginia spares line — both rows blank in FY27.</t>
        </is>
      </c>
      <c r="C358" s="26" t="inlineStr">
        <is>
          <t>FY26: both have data. Consider prorating as share of consolidated BA08.</t>
        </is>
      </c>
    </row>
    <row r="359" ht="10" customHeight="1"/>
    <row r="360" ht="10" customHeight="1">
      <c r="A360" s="27" t="inlineStr">
        <is>
          <t>Phase 2 — OMN/NWCF FY27 Allocation (Planned)</t>
        </is>
      </c>
      <c r="B360" s="28" t="n"/>
      <c r="C360" s="28" t="n"/>
    </row>
    <row r="361" ht="10" customHeight="1">
      <c r="A361" s="26" t="inlineStr">
        <is>
          <t>Planned methodology for populating FY27 values for OMN, OMN_Vol2, and NWCF source books</t>
        </is>
      </c>
    </row>
    <row r="362" ht="10" customHeight="1">
      <c r="A362" s="29" t="inlineStr">
        <is>
          <t>Topic</t>
        </is>
      </c>
      <c r="B362" s="29" t="inlineStr">
        <is>
          <t>Description</t>
        </is>
      </c>
      <c r="C362" s="29" t="inlineStr">
        <is>
          <t>Notes</t>
        </is>
      </c>
    </row>
    <row r="363" ht="10" customHeight="1">
      <c r="A363" s="30" t="inlineStr">
        <is>
          <t>Why a separate sheet</t>
        </is>
      </c>
      <c r="B363" s="30" t="inlineStr">
        <is>
          <t>FY27 O-1/RF-1 only publish SAG-level totals — no per-line detail for OMN/NWCF. A "FY27 Allocation Workbench" will apportion SAG totals to individual rows.</t>
        </is>
      </c>
      <c r="C363" s="26" t="inlineStr">
        <is>
          <t>USCG is DHS, not DoD — cannot be filled from this exhibit set (Phase 3).</t>
        </is>
      </c>
    </row>
    <row r="364" ht="10" customHeight="1">
      <c r="A364" s="30" t="inlineStr">
        <is>
          <t>Allocation rule</t>
        </is>
      </c>
      <c r="B364" s="30" t="inlineStr">
        <is>
          <t>Pro-rate by FY26 share: FY27_row = (FY26_row / FY26_SAG_total) × FY27_SAG_total. Use FY26 DAA Enacted Total as baseline.</t>
        </is>
      </c>
      <c r="C364" s="26" t="inlineStr">
        <is>
          <t>Flag rows where prorated FY27 differs from FY26 by &gt; ±25% for review.</t>
        </is>
      </c>
    </row>
    <row r="365" ht="10" customHeight="1">
      <c r="A365" s="30" t="inlineStr">
        <is>
          <t>Source SAG totals (FY27)</t>
        </is>
      </c>
      <c r="B365" s="30" t="inlineStr">
        <is>
          <t>OMN SAGs: 1A5A Aircraft Depot Maint ($2,220M), 1B1B Mission &amp; Ship Ops ($7,425M), 1B2B Ship Ops Support ($1,713M), 1B4B Ship Depot Maint ($14,293M), 1B5B Depot Ops Support ($2,598M). NWCF: $266M.</t>
        </is>
      </c>
      <c r="C365" s="26" t="inlineStr">
        <is>
          <t>All FY27 Disc Request only — no Mandatory for OMN/NWCF.</t>
        </is>
      </c>
    </row>
    <row r="366" ht="10" customHeight="1">
      <c r="A366" s="30" t="inlineStr">
        <is>
          <t>Workbench structure</t>
        </is>
      </c>
      <c r="B366" s="30" t="inlineStr">
        <is>
          <t>Columns: J Book row #, Source Book, LI, Title, SAG, FY26 DAA, FY26 SAG total, FY26 share %, FY27 SAG total, FY27 prorated, ±25% flag, manual override.</t>
        </is>
      </c>
      <c r="C366" s="26" t="inlineStr">
        <is>
          <t>Manual overrides take precedence when set.</t>
        </is>
      </c>
    </row>
    <row r="367" ht="10" customHeight="1">
      <c r="A367" s="30" t="inlineStr">
        <is>
          <t>SAG → row mapping</t>
        </is>
      </c>
      <c r="B367" s="30" t="inlineStr">
        <is>
          <t>Parse SAG code from the Citation column (e.g., "OMN &gt; BA01 &gt; 1B4B Ship Depot Maintenance &gt; ...").</t>
        </is>
      </c>
      <c r="C367" s="26" t="inlineStr">
        <is>
          <t>Ambiguous/missing citations require manual SAG assignment.</t>
        </is>
      </c>
    </row>
    <row r="368" ht="10" customHeight="1">
      <c r="A368" s="30" t="inlineStr">
        <is>
          <t>Validation after Phase 2</t>
        </is>
      </c>
      <c r="B368" s="30" t="inlineStr">
        <is>
          <t>Sum of prorated FY27 values within a SAG should equal FY27 SAG total. Per-SAG summary: total, sum of prorated, variance.</t>
        </is>
      </c>
      <c r="C368" s="26" t="inlineStr">
        <is>
          <t>Only PARENT and (no tag) rows are additive for the SAG check.</t>
        </is>
      </c>
    </row>
    <row r="369" ht="10" customHeight="1">
      <c r="A369" s="30" t="inlineStr">
        <is>
          <t>USCG handling (Phase 3)</t>
        </is>
      </c>
      <c r="B369" s="30" t="inlineStr">
        <is>
          <t>18 USCG rows cannot be populated from FY27 P-1/O-1 (CG is DHS). Requires FY27 DHS CG Congressional Justification.</t>
        </is>
      </c>
      <c r="C369" s="26" t="inlineStr">
        <is>
          <t>USCG FY27 columns remain blank until Phase 3.</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2026-04-14T02:28:03Z</dcterms:modified>
  <cp:lastModifiedBy>Brendan Toole</cp:lastModifiedBy>
</cp:coreProperties>
</file>