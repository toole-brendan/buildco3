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11</xdr:col>
      <xdr:colOff>57150</xdr:colOff>
      <xdr:row>60</xdr:row>
      <xdr:rowOff>28575</xdr:rowOff>
    </xdr:from>
    <xdr:to>
      <xdr:col>14</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($17.5B</a:t>
          </a:r>
        </a:p>
        <a:p>
          <a:r>
            <a:rPr lang="en-US" sz="800">
              <a:solidFill>
                <a:srgbClr val="333333"/>
              </a:solidFill>
              <a:latin typeface="Arial"/>
            </a:rPr>
            <a:t>across 8 hulls) are larger than net budget</a:t>
          </a:r>
        </a:p>
        <a:p>
          <a:r>
            <a:rPr lang="en-US" sz="800">
              <a:solidFill>
                <a:srgbClr val="333333"/>
              </a:solidFill>
              <a:latin typeface="Arial"/>
            </a:rPr>
            <a:t>authority ($11.8B) because they include money</a:t>
          </a:r>
        </a:p>
        <a:p>
          <a:r>
            <a:rPr lang="en-US" sz="800">
              <a:solidFill>
                <a:srgbClr val="333333"/>
              </a:solidFill>
              <a:latin typeface="Arial"/>
            </a:rPr>
            <a:t>that was funded through advance procurement</a:t>
          </a:r>
        </a:p>
        <a:p>
          <a:r>
            <a:rPr lang="en-US" sz="800">
              <a:solidFill>
                <a:srgbClr val="333333"/>
              </a:solidFill>
              <a:latin typeface="Arial"/>
            </a:rPr>
            <a:t>in prior fiscal years.</a:t>
          </a:r>
        </a:p>
        <a:p>
          <a:endParaRPr lang="en-US" sz="800"/>
        </a:p>
        <a:p>
          <a:r>
            <a:rPr lang="en-US" sz="800" i="1">
              <a:solidFill>
                <a:srgbClr val="808080"/>
              </a:solidFill>
              <a:latin typeface="Arial"/>
            </a:rPr>
            <a:t>Section (F)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72</xdr:row>
      <xdr:rowOff>28575</xdr:rowOff>
    </xdr:from>
    <xdr:to>
      <xdr:col>9</xdr:col>
      <xdr:colOff>0</xdr:colOff>
      <xdr:row>90</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MRO Cost-Element Coverage</a:t>
          </a:r>
        </a:p>
        <a:p>
          <a:endParaRPr lang="en-US" sz="800"/>
        </a:p>
        <a:p>
          <a:r>
            <a:rPr lang="en-US" sz="800">
              <a:solidFill>
                <a:srgbClr val="333333"/>
              </a:solidFill>
              <a:latin typeface="Arial"/>
            </a:rPr>
            <a:t>P-5c / P-8a cost-element breakdowns do not</a:t>
          </a:r>
        </a:p>
        <a:p>
          <a:r>
            <a:rPr lang="en-US" sz="800">
              <a:solidFill>
                <a:srgbClr val="333333"/>
              </a:solidFill>
              <a:latin typeface="Arial"/>
            </a:rPr>
            <a:t>exist for MRO work. Justification books do</a:t>
          </a:r>
        </a:p>
        <a:p>
          <a:r>
            <a:rPr lang="en-US" sz="800">
              <a:solidFill>
                <a:srgbClr val="333333"/>
              </a:solidFill>
              <a:latin typeface="Arial"/>
            </a:rPr>
            <a:t>not provide Electronics / HM&amp;E / Ordnance</a:t>
          </a:r>
        </a:p>
        <a:p>
          <a:r>
            <a:rPr lang="en-US" sz="800">
              <a:solidFill>
                <a:srgbClr val="333333"/>
              </a:solidFill>
              <a:latin typeface="Arial"/>
            </a:rPr>
            <a:t>splits for maintenance the way they do for</a:t>
          </a:r>
        </a:p>
        <a:p>
          <a:r>
            <a:rPr lang="en-US" sz="800">
              <a:solidFill>
                <a:srgbClr val="333333"/>
              </a:solidFill>
              <a:latin typeface="Arial"/>
            </a:rPr>
            <a:t>new construction.</a:t>
          </a:r>
        </a:p>
        <a:p>
          <a:endParaRPr lang="en-US" sz="800"/>
        </a:p>
        <a:p>
          <a:r>
            <a:rPr lang="en-US" sz="800" b="1">
              <a:solidFill>
                <a:srgbClr val="333333"/>
              </a:solidFill>
              <a:latin typeface="Arial"/>
            </a:rPr>
            <a:t>What DOES exist as alternative detail:</a:t>
          </a:r>
        </a:p>
        <a:p>
          <a:endParaRPr lang="en-US" sz="800"/>
        </a:p>
        <a:p>
          <a:r>
            <a:rPr lang="en-US" sz="800">
              <a:solidFill>
                <a:srgbClr val="333333"/>
              </a:solidFill>
              <a:latin typeface="Arial"/>
            </a:rPr>
            <a:t>For SDM (Bucket 2): hull-level totals, plus</a:t>
          </a:r>
        </a:p>
        <a:p>
          <a:r>
            <a:rPr lang="en-US" sz="800">
              <a:solidFill>
                <a:srgbClr val="333333"/>
              </a:solidFill>
              <a:latin typeface="Arial"/>
            </a:rPr>
            <a:t>ALT_VIEW data by availability type (OH, SRA,</a:t>
          </a:r>
        </a:p>
        <a:p>
          <a:r>
            <a:rPr lang="en-US" sz="800">
              <a:solidFill>
                <a:srgbClr val="333333"/>
              </a:solidFill>
              <a:latin typeface="Arial"/>
            </a:rPr>
            <a:t>SIA, PIA) and by public shipyard (NNSY,</a:t>
          </a:r>
        </a:p>
        <a:p>
          <a:r>
            <a:rPr lang="en-US" sz="800">
              <a:solidFill>
                <a:srgbClr val="333333"/>
              </a:solidFill>
              <a:latin typeface="Arial"/>
            </a:rPr>
            <a:t>PSNSY, etc.) with performance data (labor /</a:t>
          </a:r>
        </a:p>
        <a:p>
          <a:r>
            <a:rPr lang="en-US" sz="800">
              <a:solidFill>
                <a:srgbClr val="333333"/>
              </a:solidFill>
              <a:latin typeface="Arial"/>
            </a:rPr>
            <a:t>material / contracts) — but these cover ALL</a:t>
          </a:r>
        </a:p>
        <a:p>
          <a:r>
            <a:rPr lang="en-US" sz="800">
              <a:solidFill>
                <a:srgbClr val="333333"/>
              </a:solidFill>
              <a:latin typeface="Arial"/>
            </a:rPr>
            <a:t>vessels at those yards, not just SAM-eligible.</a:t>
          </a:r>
        </a:p>
        <a:p>
          <a:endParaRPr lang="en-US" sz="800"/>
        </a:p>
        <a:p>
          <a:r>
            <a:rPr lang="en-US" sz="800">
              <a:solidFill>
                <a:srgbClr val="333333"/>
              </a:solidFill>
              <a:latin typeface="Arial"/>
            </a:rPr>
            <a:t>For Mod (Bucket 4): some hulls have identified</a:t>
          </a:r>
        </a:p>
        <a:p>
          <a:r>
            <a:rPr lang="en-US" sz="800">
              <a:solidFill>
                <a:srgbClr val="333333"/>
              </a:solidFill>
              <a:latin typeface="Arial"/>
            </a:rPr>
            <a:t>OPN line items (DDG Mod, LCS In-Service Mod,</a:t>
          </a:r>
        </a:p>
        <a:p>
          <a:r>
            <a:rPr lang="en-US" sz="800">
              <a:solidFill>
                <a:srgbClr val="333333"/>
              </a:solidFill>
              <a:latin typeface="Arial"/>
            </a:rPr>
            <a:t>DDG-1000 Support Equipment) plus fleet-wide</a:t>
          </a:r>
        </a:p>
        <a:p>
          <a:r>
            <a:rPr lang="en-US" sz="800">
              <a:solidFill>
                <a:srgbClr val="333333"/>
              </a:solidFill>
              <a:latin typeface="Arial"/>
            </a:rPr>
            <a:t>systems without hull attribution (CANES,</a:t>
          </a:r>
        </a:p>
        <a:p>
          <a:r>
            <a:rPr lang="en-US" sz="800">
              <a:solidFill>
                <a:srgbClr val="333333"/>
              </a:solidFill>
              <a:latin typeface="Arial"/>
            </a:rPr>
            <a:t>AN/SLQ-32, ISSP, etc.).</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High Speed Transport</t>
        </is>
      </c>
      <c r="B27" s="30" t="inlineStr">
        <is>
          <t>USN</t>
        </is>
      </c>
      <c r="C27" s="31">
        <f>SUMIFS(JB_26BV,JB_B,1,JB_W,"High Speed Transport",JB_RC,"ADD")</f>
        <v/>
      </c>
      <c r="D27" s="37">
        <f>IFERROR(C27/C$44,0)</f>
        <v/>
      </c>
    </row>
    <row r="28" ht="10" customHeight="1">
      <c r="A28" s="30" t="inlineStr">
        <is>
          <t>Aviation Logistics Support Ship</t>
        </is>
      </c>
      <c r="B28" s="30" t="inlineStr">
        <is>
          <t>USN</t>
        </is>
      </c>
      <c r="C28" s="31">
        <f>SUMIFS(JB_26BV,JB_B,1,JB_W,"Aviation Logistics Support Ship",JB_RC,"ADD")</f>
        <v/>
      </c>
      <c r="D28" s="37">
        <f>IFERROR(C28/C$44,0)</f>
        <v/>
      </c>
    </row>
    <row r="29" ht="10" customHeight="1">
      <c r="A29" s="30" t="inlineStr">
        <is>
          <t>Research, Survey &amp; Instrumentation Ships</t>
        </is>
      </c>
      <c r="B29" s="30" t="inlineStr">
        <is>
          <t>MSC</t>
        </is>
      </c>
      <c r="C29" s="31">
        <f>SUMIFS(JB_26BV,JB_B,1,JB_W,"Research, Survey &amp; Instrumentation Ships",JB_RC,"ADD")</f>
        <v/>
      </c>
      <c r="D29" s="37">
        <f>IFERROR(C29/C$44,0)</f>
        <v/>
      </c>
    </row>
    <row r="30" ht="10" customHeight="1">
      <c r="A30" s="30" t="inlineStr">
        <is>
          <t>Crane Ship</t>
        </is>
      </c>
      <c r="B30" s="30" t="inlineStr">
        <is>
          <t>USN</t>
        </is>
      </c>
      <c r="C30" s="31">
        <f>SUMIFS(JB_26BV,JB_B,1,JB_W,"Crane Ship",JB_RC,"ADD")</f>
        <v/>
      </c>
      <c r="D30" s="37">
        <f>IFERROR(C30/C$44,0)</f>
        <v/>
      </c>
    </row>
    <row r="31" ht="10" customHeight="1">
      <c r="A31" s="30" t="inlineStr">
        <is>
          <t>Mine Warfare</t>
        </is>
      </c>
      <c r="B31" s="30" t="inlineStr">
        <is>
          <t>USN</t>
        </is>
      </c>
      <c r="C31" s="31">
        <f>SUMIFS(JB_26BV,JB_B,1,JB_W,"Mine Warfare",JB_RC,"ADD")</f>
        <v/>
      </c>
      <c r="D31" s="37">
        <f>IFERROR(C31/C$44,0)</f>
        <v/>
      </c>
    </row>
    <row r="32" ht="10" customHeight="1">
      <c r="A32" s="30" t="inlineStr">
        <is>
          <t>Submarine Escort Ship</t>
        </is>
      </c>
      <c r="B32" s="30" t="inlineStr">
        <is>
          <t>USN</t>
        </is>
      </c>
      <c r="C32" s="31">
        <f>SUMIFS(JB_26BV,JB_B,1,JB_W,"Submarine Escort Ship",JB_RC,"ADD")</f>
        <v/>
      </c>
      <c r="D32" s="37">
        <f>IFERROR(C32/C$44,0)</f>
        <v/>
      </c>
    </row>
    <row r="33" ht="10" customHeight="1">
      <c r="A33" s="30" t="inlineStr">
        <is>
          <t>Command Ships</t>
        </is>
      </c>
      <c r="B33" s="30" t="inlineStr">
        <is>
          <t>USN</t>
        </is>
      </c>
      <c r="C33" s="31">
        <f>SUMIFS(JB_26BV,JB_B,1,JB_W,"Command Ships",JB_RC,"ADD")</f>
        <v/>
      </c>
      <c r="D33" s="37">
        <f>IFERROR(C33/C$44,0)</f>
        <v/>
      </c>
    </row>
    <row r="34" ht="10" customHeight="1">
      <c r="A34" s="30" t="inlineStr">
        <is>
          <t>General Auxiliary</t>
        </is>
      </c>
      <c r="B34" s="30" t="inlineStr">
        <is>
          <t>USN</t>
        </is>
      </c>
      <c r="C34" s="31">
        <f>SUMIFS(JB_26BV,JB_B,1,JB_W,"General Auxiliary",JB_RC,"ADD")</f>
        <v/>
      </c>
      <c r="D34" s="37">
        <f>IFERROR(C34/C$44,0)</f>
        <v/>
      </c>
    </row>
    <row r="35" ht="10" customHeight="1">
      <c r="A35" s="30" t="inlineStr">
        <is>
          <t>Hospital Ship</t>
        </is>
      </c>
      <c r="B35" s="30" t="inlineStr">
        <is>
          <t>MSC</t>
        </is>
      </c>
      <c r="C35" s="31">
        <f>SUMIFS(JB_26BV,JB_B,1,JB_W,"Hospital Ship",JB_RC,"ADD")</f>
        <v/>
      </c>
      <c r="D35" s="37">
        <f>IFERROR(C35/C$44,0)</f>
        <v/>
      </c>
    </row>
    <row r="36" ht="10" customHeight="1">
      <c r="A36" s="30" t="inlineStr">
        <is>
          <t>Material Support Ships</t>
        </is>
      </c>
      <c r="B36" s="30" t="inlineStr">
        <is>
          <t>USN</t>
        </is>
      </c>
      <c r="C36" s="31">
        <f>SUMIFS(JB_26BV,JB_B,1,JB_W,"Material Support Ships",JB_RC,"ADD")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11"/>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c r="J61" s="28" t="n"/>
    </row>
    <row r="62" ht="10" customHeight="1">
      <c r="A62" s="26" t="inlineStr">
        <is>
          <t>Gross total-ship-estimate costs from Exhibit P-5c. These are pre-AP/SFF and will NOT match SAM net totals.</t>
        </is>
      </c>
    </row>
    <row r="63" ht="10" customHeight="1">
      <c r="A63" s="39" t="n"/>
      <c r="B63" s="40" t="inlineStr">
        <is>
          <t>USN</t>
        </is>
      </c>
      <c r="C63" s="39" t="n"/>
      <c r="D63" s="39" t="n"/>
      <c r="E63" s="39" t="n"/>
      <c r="F63" s="39" t="n"/>
      <c r="G63" s="39" t="n"/>
      <c r="H63" s="39" t="n"/>
      <c r="I63" s="39" t="n"/>
      <c r="J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T-EPF</t>
        </is>
      </c>
      <c r="H64" s="29" t="inlineStr">
        <is>
          <t>T-AO</t>
        </is>
      </c>
      <c r="I64" s="29" t="inlineStr">
        <is>
          <t>T-ATS</t>
        </is>
      </c>
      <c r="J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Costs",JB_H,"T-EPF",JB_RC,"ALT")</f>
        <v/>
      </c>
      <c r="H65" s="31">
        <f>SUMIFS(JB_26BV,JB_B,1,JB_EX,"P-5c",JB_CC,"Plan Costs",JB_H,"T-AO",JB_RC,"ALT")</f>
        <v/>
      </c>
      <c r="I65" s="31">
        <f>SUMIFS(JB_26BV,JB_B,1,JB_EX,"P-5c",JB_CC,"Plan Costs",JB_H,"T-ATS",JB_RC,"ALT")</f>
        <v/>
      </c>
      <c r="J65" s="45">
        <f>SUM(B65:I65)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Construction",JB_H,"T-EPF",JB_RC,"ALT")</f>
        <v/>
      </c>
      <c r="H66" s="31">
        <f>SUMIFS(JB_26BV,JB_B,1,JB_EX,"P-5c",JB_CC,"Basic Construction",JB_H,"T-AO",JB_RC,"ALT")</f>
        <v/>
      </c>
      <c r="I66" s="31">
        <f>SUMIFS(JB_26BV,JB_B,1,JB_EX,"P-5c",JB_CC,"Basic Construction",JB_H,"T-ATS",JB_RC,"ALT")</f>
        <v/>
      </c>
      <c r="J66" s="45">
        <f>SUM(B66:I66)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Orders",JB_H,"T-EPF",JB_RC,"ALT")</f>
        <v/>
      </c>
      <c r="H67" s="31">
        <f>SUMIFS(JB_26BV,JB_B,1,JB_EX,"P-5c",JB_CC,"Change Orders",JB_H,"T-AO",JB_RC,"ALT")</f>
        <v/>
      </c>
      <c r="I67" s="31">
        <f>SUMIFS(JB_26BV,JB_B,1,JB_EX,"P-5c",JB_CC,"Change Orders",JB_H,"T-ATS",JB_RC,"ALT")</f>
        <v/>
      </c>
      <c r="J67" s="45">
        <f>SUM(B67:I67)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SUMIFS(JB_26BV,JB_B,1,JB_EX,"P-5c",JB_CC,"Electronics",JB_H,"T-EPF",JB_RC,"ALT")</f>
        <v/>
      </c>
      <c r="H68" s="31">
        <f>SUMIFS(JB_26BV,JB_B,1,JB_EX,"P-5c",JB_CC,"Electronics",JB_H,"T-AO",JB_RC,"ALT")</f>
        <v/>
      </c>
      <c r="I68" s="31">
        <f>SUMIFS(JB_26BV,JB_B,1,JB_EX,"P-5c",JB_CC,"Electronics",JB_H,"T-ATS",JB_RC,"ALT")</f>
        <v/>
      </c>
      <c r="J68" s="45">
        <f>SUM(B68:I68)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Electrical",JB_H,"T-EPF",JB_RC,"ALT")</f>
        <v/>
      </c>
      <c r="H69" s="31">
        <f>SUMIFS(JB_26BV,JB_B,1,JB_EX,"P-5c",JB_CC,"Hull, Mechanical, and Electrical",JB_H,"T-AO",JB_RC,"ALT")</f>
        <v/>
      </c>
      <c r="I69" s="31">
        <f>SUMIFS(JB_26BV,JB_B,1,JB_EX,"P-5c",JB_CC,"Hull, Mechanical, and Electrical",JB_H,"T-ATS",JB_RC,"ALT")</f>
        <v/>
      </c>
      <c r="J69" s="45">
        <f>SUM(B69:I69)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SUMIFS(JB_26BV,JB_B,1,JB_EX,"P-5c",JB_CC,"Ordnance",JB_H,"T-EPF",JB_RC,"ALT")</f>
        <v/>
      </c>
      <c r="H70" s="31">
        <f>SUMIFS(JB_26BV,JB_B,1,JB_EX,"P-5c",JB_CC,"Ordnance",JB_H,"T-AO",JB_RC,"ALT")</f>
        <v/>
      </c>
      <c r="I70" s="31">
        <f>SUMIFS(JB_26BV,JB_B,1,JB_EX,"P-5c",JB_CC,"Ordnance",JB_H,"T-ATS",JB_RC,"ALT")</f>
        <v/>
      </c>
      <c r="J70" s="45">
        <f>SUM(B70:I70)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Cost",JB_H,"T-EPF",JB_RC,"ALT")</f>
        <v/>
      </c>
      <c r="H71" s="31">
        <f>SUMIFS(JB_26BV,JB_B,1,JB_EX,"P-5c",JB_CC,"Other Cost",JB_H,"T-AO",JB_RC,"ALT")</f>
        <v/>
      </c>
      <c r="I71" s="31">
        <f>SUMIFS(JB_26BV,JB_B,1,JB_EX,"P-5c",JB_CC,"Other Cost",JB_H,"T-ATS",JB_RC,"ALT")</f>
        <v/>
      </c>
      <c r="J71" s="45">
        <f>SUM(B71:I71)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33">
        <f>SUM(I65:I71)</f>
        <v/>
      </c>
      <c r="J72" s="44">
        <f>SUM(J65:J71)</f>
        <v/>
      </c>
    </row>
    <row r="73" ht="10" customHeight="1"/>
    <row r="74" ht="10" customHeight="1">
      <c r="A74" s="46" t="inlineStr">
        <is>
          <t>Cost category mix (% of gross total per hull program)</t>
        </is>
      </c>
      <c r="B74" s="41" t="n"/>
      <c r="C74" s="39" t="n"/>
      <c r="D74" s="39" t="n"/>
      <c r="E74" s="39" t="n"/>
      <c r="F74" s="39" t="n"/>
      <c r="G74" s="39" t="n"/>
      <c r="H74" s="39" t="n"/>
      <c r="I74" s="39" t="n"/>
      <c r="J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T-EPF</t>
        </is>
      </c>
      <c r="H75" s="29" t="inlineStr">
        <is>
          <t>T-AO</t>
        </is>
      </c>
      <c r="I75" s="29" t="inlineStr">
        <is>
          <t>T-ATS</t>
        </is>
      </c>
      <c r="J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37">
        <f>IFERROR(I65/I$72,0)</f>
        <v/>
      </c>
      <c r="J76" s="43">
        <f>IFERROR(J65/J$72,0)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37">
        <f>IFERROR(I66/I$72,0)</f>
        <v/>
      </c>
      <c r="J77" s="43">
        <f>IFERROR(J66/J$72,0)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37">
        <f>IFERROR(I67/I$72,0)</f>
        <v/>
      </c>
      <c r="J78" s="43">
        <f>IFERROR(J67/J$72,0)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37">
        <f>IFERROR(I68/I$72,0)</f>
        <v/>
      </c>
      <c r="J79" s="43">
        <f>IFERROR(J68/J$72,0)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37">
        <f>IFERROR(I69/I$72,0)</f>
        <v/>
      </c>
      <c r="J80" s="43">
        <f>IFERROR(J69/J$72,0)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37">
        <f>IFERROR(I70/I$72,0)</f>
        <v/>
      </c>
      <c r="J81" s="43">
        <f>IFERROR(J70/J$72,0)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37">
        <f>IFERROR(I71/I$72,0)</f>
        <v/>
      </c>
      <c r="J82" s="43">
        <f>IFERROR(J71/J$72,0)</f>
        <v/>
      </c>
    </row>
    <row r="83" ht="10" customHeight="1">
      <c r="A83" s="32" t="inlineStr">
        <is>
          <t>Total</t>
        </is>
      </c>
      <c r="B83" s="47" t="n">
        <v>1</v>
      </c>
      <c r="C83" s="38" t="n">
        <v>1</v>
      </c>
      <c r="D83" s="38" t="n">
        <v>1</v>
      </c>
      <c r="E83" s="38" t="n">
        <v>1</v>
      </c>
      <c r="F83" s="38" t="n">
        <v>1</v>
      </c>
      <c r="G83" s="38" t="n">
        <v>1</v>
      </c>
      <c r="H83" s="38" t="n">
        <v>1</v>
      </c>
      <c r="I83" s="38" t="n">
        <v>1</v>
      </c>
      <c r="J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VERTICAL LAUNCHING SYSTEM (VLS) MK 57 4-CELL MODULES</t>
        </is>
      </c>
      <c r="B22" s="26" t="inlineStr">
        <is>
          <t>Electronics</t>
        </is>
      </c>
      <c r="C22" s="49">
        <f>SUMIFS(JB_26BV,JB_B,1,JB_EX,"P-8a",JB_CC,"Electronics",JB_H,"DDG",JB_CE,"VERTICAL LAUNCHING SYSTEM (VLS) MK 57 4-CELL MODULES",JB_RC,"ALT")</f>
        <v/>
      </c>
      <c r="D22" s="37">
        <f>IFERROR(C22/C$80,0)</f>
        <v/>
      </c>
    </row>
    <row r="23" ht="10" customHeight="1">
      <c r="A23" s="30" t="inlineStr">
        <is>
          <t>MULTI FUNCTION RADAR (MFR)</t>
        </is>
      </c>
      <c r="B23" s="26" t="inlineStr">
        <is>
          <t>Electronics</t>
        </is>
      </c>
      <c r="C23" s="49">
        <f>SUMIFS(JB_26BV,JB_B,1,JB_EX,"P-8a",JB_CC,"Electronics",JB_H,"DDG",JB_CE,"MULTI FUNCTION RADAR (MFR)",JB_RC,"ALT")</f>
        <v/>
      </c>
      <c r="D23" s="37">
        <f>IFERROR(C23/C$80,0)</f>
        <v/>
      </c>
    </row>
    <row r="24" ht="10" customHeight="1">
      <c r="A24" s="30" t="inlineStr">
        <is>
          <t>TOTAL SHIP COMPUTING ENVIRONMENT (TSCE)</t>
        </is>
      </c>
      <c r="B24" s="26" t="inlineStr">
        <is>
          <t>Electronics</t>
        </is>
      </c>
      <c r="C24" s="49">
        <f>SUMIFS(JB_26BV,JB_B,1,JB_EX,"P-8a",JB_CC,"Electronics",JB_H,"DDG",JB_CE,"TOTAL SHIP COMPUTING ENVIRONMENT (TSCE)",JB_RC,"ALT")</f>
        <v/>
      </c>
      <c r="D24" s="37">
        <f>IFERROR(C24/C$80,0)</f>
        <v/>
      </c>
    </row>
    <row r="25" ht="10" customHeight="1">
      <c r="A25" s="30" t="inlineStr">
        <is>
          <t>AN/SLQ-32 SEWIP V(7)</t>
        </is>
      </c>
      <c r="B25" s="26" t="inlineStr">
        <is>
          <t>Electronics</t>
        </is>
      </c>
      <c r="C25" s="49">
        <f>SUMIFS(JB_26BV,JB_B,1,JB_EX,"P-8a",JB_CC,"Electronics",JB_H,"DDG",JB_CE,"AN/SLQ-32 SEWIP V(7)",JB_RC,"ALT")</f>
        <v/>
      </c>
      <c r="D25" s="37">
        <f>IFERROR(C25/C$80,0)</f>
        <v/>
      </c>
    </row>
    <row r="26" ht="10" customHeight="1">
      <c r="A26" s="30" t="inlineStr">
        <is>
          <t>EXCOMM</t>
        </is>
      </c>
      <c r="B26" s="26" t="inlineStr">
        <is>
          <t>Electronics</t>
        </is>
      </c>
      <c r="C26" s="49">
        <f>SUMIFS(JB_26BV,JB_B,1,JB_EX,"P-8a",JB_CC,"Electronics",JB_H,"DDG",JB_CE,"EXCOMM",JB_RC,"ALT")</f>
        <v/>
      </c>
      <c r="D26" s="37">
        <f>IFERROR(C26/C$80,0)</f>
        <v/>
      </c>
    </row>
    <row r="27" ht="10" customHeight="1">
      <c r="A27" s="30" t="inlineStr">
        <is>
          <t>SQQ 89 ASW</t>
        </is>
      </c>
      <c r="B27" s="26" t="inlineStr">
        <is>
          <t>Electronics</t>
        </is>
      </c>
      <c r="C27" s="49">
        <f>SUMIFS(JB_26BV,JB_B,1,JB_EX,"P-8a",JB_CC,"Electronics",JB_H,"DDG",JB_CE,"SQQ 89 ASW",JB_RC,"ALT")</f>
        <v/>
      </c>
      <c r="D27" s="37">
        <f>IFERROR(C27/C$80,0)</f>
        <v/>
      </c>
    </row>
    <row r="28" ht="10" customHeight="1">
      <c r="A28" s="30" t="inlineStr">
        <is>
          <t>MISSION SYSTEM ENGR INTEGR &amp; TEST (MSEIT)</t>
        </is>
      </c>
      <c r="B28" s="26" t="inlineStr">
        <is>
          <t>Electronics</t>
        </is>
      </c>
      <c r="C28" s="49">
        <f>SUMIFS(JB_26BV,JB_B,1,JB_EX,"P-8a",JB_CC,"Electronics",JB_H,"DDG",JB_CE,"MISSION SYSTEM ENGR INTEGR &amp; TEST (MSEIT)",JB_RC,"ALT")</f>
        <v/>
      </c>
      <c r="D28" s="37">
        <f>IFERROR(C28/C$80,0)</f>
        <v/>
      </c>
    </row>
    <row r="29" ht="10" customHeight="1">
      <c r="A29" s="30" t="inlineStr">
        <is>
          <t>MISSION SYSTEM ACTIVATION</t>
        </is>
      </c>
      <c r="B29" s="26" t="inlineStr">
        <is>
          <t>Electronics</t>
        </is>
      </c>
      <c r="C29" s="49">
        <f>SUMIFS(JB_26BV,JB_B,1,JB_EX,"P-8a",JB_CC,"Electronics",JB_H,"DDG",JB_CE,"MISSION SYSTEM ACTIVATION",JB_RC,"ALT")</f>
        <v/>
      </c>
      <c r="D29" s="37">
        <f>IFERROR(C29/C$80,0)</f>
        <v/>
      </c>
    </row>
    <row r="30" ht="10" customHeight="1">
      <c r="A30" s="30" t="inlineStr">
        <is>
          <t>SHIP CONTROL SYSTEM (SCS)</t>
        </is>
      </c>
      <c r="B30" s="26" t="inlineStr">
        <is>
          <t>Electronics</t>
        </is>
      </c>
      <c r="C30" s="49">
        <f>SUMIFS(JB_26BV,JB_B,1,JB_EX,"P-8a",JB_CC,"Electronics",JB_H,"DDG",JB_CE,"SHIP CONTROL SYSTEM (SCS)",JB_RC,"ALT")</f>
        <v/>
      </c>
      <c r="D30" s="37">
        <f>IFERROR(C30/C$80,0)</f>
        <v/>
      </c>
    </row>
    <row r="31" ht="10" customHeight="1">
      <c r="A31" s="30" t="inlineStr">
        <is>
          <t>INTEGRATED UNDERSEA WARFARE (IUSW) SYSTEM</t>
        </is>
      </c>
      <c r="B31" s="26" t="inlineStr">
        <is>
          <t>Electronics</t>
        </is>
      </c>
      <c r="C31" s="49">
        <f>SUMIFS(JB_26BV,JB_B,1,JB_EX,"P-8a",JB_CC,"Electronics",JB_H,"DDG",JB_CE,"INTEGRATED UNDERSEA WARFARE (IUSW) SYSTEM",JB_RC,"ALT")</f>
        <v/>
      </c>
      <c r="D31" s="37">
        <f>IFERROR(C31/C$80,0)</f>
        <v/>
      </c>
    </row>
    <row r="32" ht="10" customHeight="1">
      <c r="A32" s="30" t="inlineStr">
        <is>
          <t>MISC. ELECTRONICS</t>
        </is>
      </c>
      <c r="B32" s="26" t="inlineStr">
        <is>
          <t>Electronics</t>
        </is>
      </c>
      <c r="C32" s="49">
        <f>SUMIFS(JB_26BV,JB_B,1,JB_EX,"P-8a",JB_CC,"Electronics",JB_H,"DDG",JB_CE,"MISC. ELECTRONICS",JB_RC,"ALT")</f>
        <v/>
      </c>
      <c r="D32" s="37">
        <f>IFERROR(C32/C$80,0)</f>
        <v/>
      </c>
    </row>
    <row r="33" ht="10" customHeight="1">
      <c r="A33" s="30" t="inlineStr">
        <is>
          <t>EXTERIOR COMMUNICATIONS (EXCOMMS)</t>
        </is>
      </c>
      <c r="B33" s="26" t="inlineStr">
        <is>
          <t>Electronics</t>
        </is>
      </c>
      <c r="C33" s="49">
        <f>SUMIFS(JB_26BV,JB_B,1,JB_EX,"P-8a",JB_CC,"Electronics",JB_H,"DDG",JB_CE,"EXTERIOR COMMUNICATIONS (EXCOMMS)",JB_RC,"ALT")</f>
        <v/>
      </c>
      <c r="D33" s="37">
        <f>IFERROR(C33/C$80,0)</f>
        <v/>
      </c>
    </row>
    <row r="34" ht="10" customHeight="1">
      <c r="A34" s="30" t="inlineStr">
        <is>
          <t>SPECTRAL</t>
        </is>
      </c>
      <c r="B34" s="26" t="inlineStr">
        <is>
          <t>Electronics</t>
        </is>
      </c>
      <c r="C34" s="49">
        <f>SUMIFS(JB_26BV,JB_B,1,JB_EX,"P-8a",JB_CC,"Electronics",JB_H,"DDG",JB_CE,"SPECTRAL",JB_RC,"ALT")</f>
        <v/>
      </c>
      <c r="D34" s="37">
        <f>IFERROR(C34/C$80,0)</f>
        <v/>
      </c>
    </row>
    <row r="35" ht="10" customHeight="1">
      <c r="A35" s="30" t="inlineStr">
        <is>
          <t>DDG 1002 TSCE MODERNIZATION</t>
        </is>
      </c>
      <c r="B35" s="26" t="inlineStr">
        <is>
          <t>Electronics</t>
        </is>
      </c>
      <c r="C35" s="49">
        <f>SUMIFS(JB_26BV,JB_B,1,JB_EX,"P-8a",JB_CC,"Electronics",JB_H,"DDG",JB_CE,"DDG 1002 TSCE MODERNIZATION",JB_RC,"ALT")</f>
        <v/>
      </c>
      <c r="D35" s="37">
        <f>IFERROR(C35/C$80,0)</f>
        <v/>
      </c>
    </row>
    <row r="36" ht="10" customHeight="1">
      <c r="A36" s="30" t="inlineStr">
        <is>
          <t>USQ 82(V) GEDMS</t>
        </is>
      </c>
      <c r="B36" s="26" t="inlineStr">
        <is>
          <t>Electronics</t>
        </is>
      </c>
      <c r="C36" s="49">
        <f>SUMIFS(JB_26BV,JB_B,1,JB_EX,"P-8a",JB_CC,"Electronics",JB_H,"DDG",JB_CE,"USQ 82(V) GEDMS",JB_RC,"ALT")</f>
        <v/>
      </c>
      <c r="D36" s="37">
        <f>IFERROR(C36/C$80,0)</f>
        <v/>
      </c>
    </row>
    <row r="37" ht="10" customHeight="1">
      <c r="A37" s="30" t="inlineStr">
        <is>
          <t>ELECTRO-OPTICAL / INFRARED (EO/IR)</t>
        </is>
      </c>
      <c r="B37" s="26" t="inlineStr">
        <is>
          <t>Electronics</t>
        </is>
      </c>
      <c r="C37" s="49">
        <f>SUMIFS(JB_26BV,JB_B,1,JB_EX,"P-8a",JB_CC,"Electronics",JB_H,"DDG",JB_CE,"ELECTRO-OPTICAL / INFRARED (EO/IR)",JB_RC,"ALT")</f>
        <v/>
      </c>
      <c r="D37" s="37">
        <f>IFERROR(C37/C$80,0)</f>
        <v/>
      </c>
    </row>
    <row r="38" ht="10" customHeight="1">
      <c r="A38" s="30" t="inlineStr">
        <is>
          <t>IDENTIFICATION FRIEND OR FOE (IFF)</t>
        </is>
      </c>
      <c r="B38" s="26" t="inlineStr">
        <is>
          <t>Electronics</t>
        </is>
      </c>
      <c r="C38" s="49">
        <f>SUMIFS(JB_26BV,JB_B,1,JB_EX,"P-8a",JB_CC,"Electronics",JB_H,"DDG",JB_CE,"IDENTIFICATION FRIEND OR FOE (IFF)",JB_RC,"ALT")</f>
        <v/>
      </c>
      <c r="D38" s="37">
        <f>IFERROR(C38/C$80,0)</f>
        <v/>
      </c>
    </row>
    <row r="39" ht="10" customHeight="1">
      <c r="A39" s="30" t="inlineStr">
        <is>
          <t>DDG 1002 UNIVERSAL CANISTER ELECTRICAL UNITS (UCEU)</t>
        </is>
      </c>
      <c r="B39" s="26" t="inlineStr">
        <is>
          <t>Electronics</t>
        </is>
      </c>
      <c r="C39" s="49">
        <f>SUMIFS(JB_26BV,JB_B,1,JB_EX,"P-8a",JB_CC,"Electronics",JB_H,"DDG",JB_CE,"DDG 1002 UNIVERSAL CANISTER ELECTRICAL UNITS (UCEU)",JB_RC,"ALT")</f>
        <v/>
      </c>
      <c r="D39" s="37">
        <f>IFERROR(C39/C$80,0)</f>
        <v/>
      </c>
    </row>
    <row r="40" ht="10" customHeight="1">
      <c r="A40" s="30" t="inlineStr">
        <is>
          <t>AN/UPX 29(V) IFF and TACAN</t>
        </is>
      </c>
      <c r="B40" s="26" t="inlineStr">
        <is>
          <t>Electronics</t>
        </is>
      </c>
      <c r="C40" s="49">
        <f>SUMIFS(JB_26BV,JB_B,1,JB_EX,"P-8a",JB_CC,"Electronics",JB_H,"DDG",JB_CE,"AN/UPX 29(V) IFF and TACAN",JB_RC,"ALT")</f>
        <v/>
      </c>
      <c r="D40" s="37">
        <f>IFERROR(C40/C$80,0)</f>
        <v/>
      </c>
    </row>
    <row r="41" ht="10" customHeight="1">
      <c r="A41" s="30" t="inlineStr">
        <is>
          <t>SRQ 4 LAMPS III</t>
        </is>
      </c>
      <c r="B41" s="26" t="inlineStr">
        <is>
          <t>Electronics</t>
        </is>
      </c>
      <c r="C41" s="49">
        <f>SUMIFS(JB_26BV,JB_B,1,JB_EX,"P-8a",JB_CC,"Electronics",JB_H,"DDG",JB_CE,"SRQ 4 LAMPS III",JB_RC,"ALT")</f>
        <v/>
      </c>
      <c r="D41" s="37">
        <f>IFERROR(C41/C$80,0)</f>
        <v/>
      </c>
    </row>
    <row r="42" ht="10" customHeight="1">
      <c r="A42" s="30" t="inlineStr">
        <is>
          <t>CEC</t>
        </is>
      </c>
      <c r="B42" s="26" t="inlineStr">
        <is>
          <t>Electronics</t>
        </is>
      </c>
      <c r="C42" s="49">
        <f>SUMIFS(JB_26BV,JB_B,1,JB_EX,"P-8a",JB_CC,"Electronics",JB_H,"DDG",JB_CE,"CEC",JB_RC,"ALT")</f>
        <v/>
      </c>
      <c r="D42" s="37">
        <f>IFERROR(C42/C$80,0)</f>
        <v/>
      </c>
    </row>
    <row r="43" ht="10" customHeight="1">
      <c r="A43" s="30" t="inlineStr">
        <is>
          <t>SURFACE ELECTRONIC WARFARE IMPROVEMENT PROGRAM (SEWIP)</t>
        </is>
      </c>
      <c r="B43" s="26" t="inlineStr">
        <is>
          <t>Electronics</t>
        </is>
      </c>
      <c r="C43" s="49">
        <f>SUMIFS(JB_26BV,JB_B,1,JB_EX,"P-8a",JB_CC,"Electronics",JB_H,"DDG",JB_CE,"SURFACE ELECTRONIC WARFARE IMPROVEMENT PROGRAM (SEWIP)",JB_RC,"ALT")</f>
        <v/>
      </c>
      <c r="D43" s="37">
        <f>IFERROR(C43/C$80,0)</f>
        <v/>
      </c>
    </row>
    <row r="44" ht="10" customHeight="1">
      <c r="A44" s="30" t="inlineStr">
        <is>
          <t>COMMON ARRAY POWER SYSTEM (CAPS)</t>
        </is>
      </c>
      <c r="B44" s="26" t="inlineStr">
        <is>
          <t>Electronics</t>
        </is>
      </c>
      <c r="C44" s="49">
        <f>SUMIFS(JB_26BV,JB_B,1,JB_EX,"P-8a",JB_CC,"Electronics",JB_H,"DDG",JB_CE,"COMMON ARRAY POWER SYSTEM (CAPS)",JB_RC,"ALT")</f>
        <v/>
      </c>
      <c r="D44" s="37">
        <f>IFERROR(C44/C$80,0)</f>
        <v/>
      </c>
    </row>
    <row r="45" ht="10" customHeight="1">
      <c r="A45" s="30" t="inlineStr">
        <is>
          <t>NAVIGATION SYSTEM</t>
        </is>
      </c>
      <c r="B45" s="26" t="inlineStr">
        <is>
          <t>Electronics</t>
        </is>
      </c>
      <c r="C45" s="49">
        <f>SUMIFS(JB_26BV,JB_B,1,JB_EX,"P-8a",JB_CC,"Electronics",JB_H,"DDG",JB_CE,"NAVIGATION SYSTEM",JB_RC,"ALT")</f>
        <v/>
      </c>
      <c r="D45" s="37">
        <f>IFERROR(C45/C$80,0)</f>
        <v/>
      </c>
    </row>
    <row r="46" ht="10" customHeight="1">
      <c r="A46" s="30" t="inlineStr">
        <is>
          <t>MIDS</t>
        </is>
      </c>
      <c r="B46" s="26" t="inlineStr">
        <is>
          <t>Electronics</t>
        </is>
      </c>
      <c r="C46" s="49">
        <f>SUMIFS(JB_26BV,JB_B,1,JB_EX,"P-8a",JB_CC,"Electronics",JB_H,"DDG",JB_CE,"MIDS",JB_RC,"ALT")</f>
        <v/>
      </c>
      <c r="D46" s="37">
        <f>IFERROR(C46/C$80,0)</f>
        <v/>
      </c>
    </row>
    <row r="47" ht="10" customHeight="1">
      <c r="A47" s="30" t="inlineStr">
        <is>
          <t>SLQ 25 NIXIE</t>
        </is>
      </c>
      <c r="B47" s="26" t="inlineStr">
        <is>
          <t>Electronics</t>
        </is>
      </c>
      <c r="C47" s="49">
        <f>SUMIFS(JB_26BV,JB_B,1,JB_EX,"P-8a",JB_CC,"Electronics",JB_H,"DDG",JB_CE,"SLQ 25 NIXIE",JB_RC,"ALT")</f>
        <v/>
      </c>
      <c r="D47" s="37">
        <f>IFERROR(C47/C$80,0)</f>
        <v/>
      </c>
    </row>
    <row r="48" ht="10" customHeight="1">
      <c r="A48" s="30" t="inlineStr">
        <is>
          <t>NGSSR</t>
        </is>
      </c>
      <c r="B48" s="26" t="inlineStr">
        <is>
          <t>Electronics</t>
        </is>
      </c>
      <c r="C48" s="49">
        <f>SUMIFS(JB_26BV,JB_B,1,JB_EX,"P-8a",JB_CC,"Electronics",JB_H,"DDG",JB_CE,"NGSSR",JB_RC,"ALT")</f>
        <v/>
      </c>
      <c r="D48" s="37">
        <f>IFERROR(C48/C$80,0)</f>
        <v/>
      </c>
    </row>
    <row r="49" ht="10" customHeight="1">
      <c r="A49" s="30" t="inlineStr">
        <is>
          <t>COOPERATIVE ENGAGEMENT CAPABILITY (CEC)</t>
        </is>
      </c>
      <c r="B49" s="26" t="inlineStr">
        <is>
          <t>Electronics</t>
        </is>
      </c>
      <c r="C49" s="49">
        <f>SUMIFS(JB_26BV,JB_B,1,JB_EX,"P-8a",JB_CC,"Electronics",JB_H,"DDG",JB_CE,"COOPERATIVE ENGAGEMENT CAPABILITY (CEC)",JB_RC,"ALT")</f>
        <v/>
      </c>
      <c r="D49" s="37">
        <f>IFERROR(C49/C$80,0)</f>
        <v/>
      </c>
    </row>
    <row r="50" ht="10" customHeight="1">
      <c r="A50" s="30" t="inlineStr">
        <is>
          <t>MK 53 NULKA</t>
        </is>
      </c>
      <c r="B50" s="26" t="inlineStr">
        <is>
          <t>Electronics</t>
        </is>
      </c>
      <c r="C50" s="49">
        <f>SUMIFS(JB_26BV,JB_B,1,JB_EX,"P-8a",JB_CC,"Electronics",JB_H,"DDG",JB_CE,"MK 53 NULKA",JB_RC,"ALT")</f>
        <v/>
      </c>
      <c r="D50" s="37">
        <f>IFERROR(C50/C$80,0)</f>
        <v/>
      </c>
    </row>
    <row r="51" ht="10" customHeight="1">
      <c r="A51" s="30" t="inlineStr">
        <is>
          <t>TSA ANTENNA</t>
        </is>
      </c>
      <c r="B51" s="26" t="inlineStr">
        <is>
          <t>Electronics</t>
        </is>
      </c>
      <c r="C51" s="49">
        <f>SUMIFS(JB_26BV,JB_B,1,JB_EX,"P-8a",JB_CC,"Electronics",JB_H,"DDG",JB_CE,"TSA ANTENNA",JB_RC,"ALT")</f>
        <v/>
      </c>
      <c r="D51" s="37">
        <f>IFERROR(C51/C$80,0)</f>
        <v/>
      </c>
    </row>
    <row r="52" ht="10" customHeight="1">
      <c r="A52" s="30" t="inlineStr">
        <is>
          <t>SPARES</t>
        </is>
      </c>
      <c r="B52" s="26" t="inlineStr">
        <is>
          <t>Electronics</t>
        </is>
      </c>
      <c r="C52" s="49">
        <f>SUMIFS(JB_26BV,JB_B,1,JB_EX,"P-8a",JB_CC,"Electronics",JB_H,"DDG",JB_CE,"SPARES",JB_RC,"ALT")</f>
        <v/>
      </c>
      <c r="D52" s="37">
        <f>IFERROR(C52/C$80,0)</f>
        <v/>
      </c>
    </row>
    <row r="53" ht="10" customHeight="1">
      <c r="A53" s="30" t="inlineStr">
        <is>
          <t>COMMON ARRAY COOLING SYSTEM (CACS)</t>
        </is>
      </c>
      <c r="B53" s="26" t="inlineStr">
        <is>
          <t>Electronics</t>
        </is>
      </c>
      <c r="C53" s="49">
        <f>SUMIFS(JB_26BV,JB_B,1,JB_EX,"P-8a",JB_CC,"Electronics",JB_H,"DDG",JB_CE,"COMMON ARRAY COOLING SYSTEM (CACS)",JB_RC,"ALT")</f>
        <v/>
      </c>
      <c r="D53" s="37">
        <f>IFERROR(C53/C$80,0)</f>
        <v/>
      </c>
    </row>
    <row r="54" ht="10" customHeight="1">
      <c r="A54" s="30" t="inlineStr">
        <is>
          <t>MISC. HM&amp;E</t>
        </is>
      </c>
      <c r="B54" s="26" t="inlineStr">
        <is>
          <t>Hull, Mechanical, and Electrical</t>
        </is>
      </c>
      <c r="C54" s="49">
        <f>SUMIFS(JB_26BV,JB_B,1,JB_EX,"P-8a",JB_CC,"Hull, Mechanical, and Electrical",JB_H,"DDG",JB_CE,"MISC. HM&amp;E",JB_RC,"ALT")</f>
        <v/>
      </c>
      <c r="D54" s="37">
        <f>IFERROR(C54/C$80,0)</f>
        <v/>
      </c>
    </row>
    <row r="55" ht="10" customHeight="1">
      <c r="A55" s="30" t="inlineStr">
        <is>
          <t>MAIN TURBINE GENERATOR (MTG)</t>
        </is>
      </c>
      <c r="B55" s="26" t="inlineStr">
        <is>
          <t>Hull, Mechanical, and Electrical</t>
        </is>
      </c>
      <c r="C55" s="49">
        <f>SUMIFS(JB_26BV,JB_B,1,JB_EX,"P-8a",JB_CC,"Hull, Mechanical, and Electrical",JB_H,"DDG",JB_CE,"MAIN TURBINE GENERATOR (MTG)",JB_RC,"ALT")</f>
        <v/>
      </c>
      <c r="D55" s="37">
        <f>IFERROR(C55/C$80,0)</f>
        <v/>
      </c>
    </row>
    <row r="56" ht="10" customHeight="1">
      <c r="A56" s="30" t="inlineStr">
        <is>
          <t>Integrated Bridge Navigation System</t>
        </is>
      </c>
      <c r="B56" s="26" t="inlineStr">
        <is>
          <t>Hull, Mechanical, and Electrical</t>
        </is>
      </c>
      <c r="C56" s="49">
        <f>SUMIFS(JB_26BV,JB_B,1,JB_EX,"P-8a",JB_CC,"Hull, Mechanical, and Electrical",JB_H,"DDG",JB_CE,"Integrated Bridge Navigation System",JB_RC,"ALT")</f>
        <v/>
      </c>
      <c r="D56" s="37">
        <f>IFERROR(C56/C$80,0)</f>
        <v/>
      </c>
    </row>
    <row r="57" ht="10" customHeight="1">
      <c r="A57" s="30" t="inlineStr">
        <is>
          <t>STC 3 IVCS</t>
        </is>
      </c>
      <c r="B57" s="26" t="inlineStr">
        <is>
          <t>Hull, Mechanical, and Electrical</t>
        </is>
      </c>
      <c r="C57" s="49">
        <f>SUMIFS(JB_26BV,JB_B,1,JB_EX,"P-8a",JB_CC,"Hull, Mechanical, and Electrical",JB_H,"DDG",JB_CE,"STC 3 IVCS",JB_RC,"ALT")</f>
        <v/>
      </c>
      <c r="D57" s="37">
        <f>IFERROR(C57/C$80,0)</f>
        <v/>
      </c>
    </row>
    <row r="58" ht="10" customHeight="1">
      <c r="A58" s="30" t="inlineStr">
        <is>
          <t>Machinery Control System</t>
        </is>
      </c>
      <c r="B58" s="26" t="inlineStr">
        <is>
          <t>Hull, Mechanical, and Electrical</t>
        </is>
      </c>
      <c r="C58" s="49">
        <f>SUMIFS(JB_26BV,JB_B,1,JB_EX,"P-8a",JB_CC,"Hull, Mechanical, and Electrical",JB_H,"DDG",JB_CE,"Machinery Control System",JB_RC,"ALT")</f>
        <v/>
      </c>
      <c r="D58" s="37">
        <f>IFERROR(C58/C$80,0)</f>
        <v/>
      </c>
    </row>
    <row r="59" ht="10" customHeight="1">
      <c r="A59" s="30" t="inlineStr">
        <is>
          <t>CYBER BDC</t>
        </is>
      </c>
      <c r="B59" s="26" t="inlineStr">
        <is>
          <t>Hull, Mechanical, and Electrical</t>
        </is>
      </c>
      <c r="C59" s="49">
        <f>SUMIFS(JB_26BV,JB_B,1,JB_EX,"P-8a",JB_CC,"Hull, Mechanical, and Electrical",JB_H,"DDG",JB_CE,"CYBER BDC",JB_RC,"ALT")</f>
        <v/>
      </c>
      <c r="D59" s="37">
        <f>IFERROR(C59/C$80,0)</f>
        <v/>
      </c>
    </row>
    <row r="60" ht="10" customHeight="1">
      <c r="A60" s="30" t="inlineStr">
        <is>
          <t>WSN 12</t>
        </is>
      </c>
      <c r="B60" s="26" t="inlineStr">
        <is>
          <t>Hull, Mechanical, and Electrical</t>
        </is>
      </c>
      <c r="C60" s="49">
        <f>SUMIFS(JB_26BV,JB_B,1,JB_EX,"P-8a",JB_CC,"Hull, Mechanical, and Electrical",JB_H,"DDG",JB_CE,"WSN 12",JB_RC,"ALT")</f>
        <v/>
      </c>
      <c r="D60" s="37">
        <f>IFERROR(C60/C$80,0)</f>
        <v/>
      </c>
    </row>
    <row r="61" ht="10" customHeight="1">
      <c r="A61" s="30" t="inlineStr">
        <is>
          <t>HM&amp;E (NGVLA, Moriah Wind Measurement System (WMS), Aviation Integration)</t>
        </is>
      </c>
      <c r="B61" s="26" t="inlineStr">
        <is>
          <t>Hull, Mechanical, and Electrical</t>
        </is>
      </c>
      <c r="C61" s="49">
        <f>SUMIFS(JB_26BV,JB_B,1,JB_EX,"P-8a",JB_CC,"Hull, Mechanical, and Electrical",JB_H,"DDG",JB_CE,"HM&amp;E (NGVLA, Moriah Wind Measurement System (WMS), Aviation Integration)",JB_RC,"ALT")</f>
        <v/>
      </c>
      <c r="D61" s="37">
        <f>IFERROR(C61/C$80,0)</f>
        <v/>
      </c>
    </row>
    <row r="62" ht="10" customHeight="1">
      <c r="A62" s="30" t="inlineStr">
        <is>
          <t>INTERIM SPARES</t>
        </is>
      </c>
      <c r="B62" s="26" t="inlineStr">
        <is>
          <t>Hull, Mechanical, and Electrical</t>
        </is>
      </c>
      <c r="C62" s="49">
        <f>SUMIFS(JB_26BV,JB_B,1,JB_EX,"P-8a",JB_CC,"Hull, Mechanical, and Electrical",JB_H,"DDG",JB_CE,"INTERIM SPARES",JB_RC,"ALT")</f>
        <v/>
      </c>
      <c r="D62" s="37">
        <f>IFERROR(C62/C$80,0)</f>
        <v/>
      </c>
    </row>
    <row r="63" ht="10" customHeight="1">
      <c r="A63" s="30" t="inlineStr">
        <is>
          <t>RIGID HULL INFLATABLE BOAT (RHIB)</t>
        </is>
      </c>
      <c r="B63" s="26" t="inlineStr">
        <is>
          <t>Hull, Mechanical, and Electrical</t>
        </is>
      </c>
      <c r="C63" s="49">
        <f>SUMIFS(JB_26BV,JB_B,1,JB_EX,"P-8a",JB_CC,"Hull, Mechanical, and Electrical",JB_H,"DDG",JB_CE,"RIGID HULL INFLATABLE BOAT (RHIB)",JB_RC,"ALT")</f>
        <v/>
      </c>
      <c r="D63" s="37">
        <f>IFERROR(C63/C$80,0)</f>
        <v/>
      </c>
    </row>
    <row r="64" ht="10" customHeight="1">
      <c r="A64" s="30" t="inlineStr">
        <is>
          <t>AN/SPY-6(V)1 (AMDR)</t>
        </is>
      </c>
      <c r="B64" s="26" t="inlineStr">
        <is>
          <t>Ordnance</t>
        </is>
      </c>
      <c r="C64" s="49">
        <f>SUMIFS(JB_26BV,JB_B,1,JB_EX,"P-8a",JB_CC,"Ordnance",JB_H,"DDG",JB_CE,"AN/SPY-6(V)1 (AMDR)",JB_RC,"ALT")</f>
        <v/>
      </c>
      <c r="D64" s="37">
        <f>IFERROR(C64/C$80,0)</f>
        <v/>
      </c>
    </row>
    <row r="65" ht="10" customHeight="1">
      <c r="A65" s="30" t="inlineStr">
        <is>
          <t>AEGIS WEAPON SYSTEM (MK-7)</t>
        </is>
      </c>
      <c r="B65" s="26" t="inlineStr">
        <is>
          <t>Ordnance</t>
        </is>
      </c>
      <c r="C65" s="49">
        <f>SUMIFS(JB_26BV,JB_B,1,JB_EX,"P-8a",JB_CC,"Ordnance",JB_H,"DDG",JB_CE,"AEGIS WEAPON SYSTEM (MK-7)",JB_RC,"ALT")</f>
        <v/>
      </c>
      <c r="D65" s="37">
        <f>IFERROR(C65/C$80,0)</f>
        <v/>
      </c>
    </row>
    <row r="66" ht="10" customHeight="1">
      <c r="A66" s="30" t="inlineStr">
        <is>
          <t>ADVANCED GUN SYSTEM (AGS)</t>
        </is>
      </c>
      <c r="B66" s="26" t="inlineStr">
        <is>
          <t>Ordnance</t>
        </is>
      </c>
      <c r="C66" s="49">
        <f>SUMIFS(JB_26BV,JB_B,1,JB_EX,"P-8a",JB_CC,"Ordnance",JB_H,"DDG",JB_CE,"ADVANCED GUN SYSTEM (AGS)",JB_RC,"ALT")</f>
        <v/>
      </c>
      <c r="D66" s="37">
        <f>IFERROR(C66/C$80,0)</f>
        <v/>
      </c>
    </row>
    <row r="67" ht="10" customHeight="1">
      <c r="A67" s="30" t="inlineStr">
        <is>
          <t>VLS MK 41</t>
        </is>
      </c>
      <c r="B67" s="26" t="inlineStr">
        <is>
          <t>Ordnance</t>
        </is>
      </c>
      <c r="C67" s="49">
        <f>SUMIFS(JB_26BV,JB_B,1,JB_EX,"P-8a",JB_CC,"Ordnance",JB_H,"DDG",JB_CE,"VLS MK 41",JB_RC,"ALT")</f>
        <v/>
      </c>
      <c r="D67" s="37">
        <f>IFERROR(C67/C$80,0)</f>
        <v/>
      </c>
    </row>
    <row r="68" ht="10" customHeight="1">
      <c r="A68" s="30" t="inlineStr">
        <is>
          <t>MISC. ORDNANCE</t>
        </is>
      </c>
      <c r="B68" s="26" t="inlineStr">
        <is>
          <t>Ordnance</t>
        </is>
      </c>
      <c r="C68" s="49">
        <f>SUMIFS(JB_26BV,JB_B,1,JB_EX,"P-8a",JB_CC,"Ordnance",JB_H,"DDG",JB_CE,"MISC. ORDNANCE",JB_RC,"ALT")</f>
        <v/>
      </c>
      <c r="D68" s="37">
        <f>IFERROR(C68/C$80,0)</f>
        <v/>
      </c>
    </row>
    <row r="69" ht="10" customHeight="1">
      <c r="A69" s="30" t="inlineStr">
        <is>
          <t>MK 45 Light Weight Gun (LWG)</t>
        </is>
      </c>
      <c r="B69" s="26" t="inlineStr">
        <is>
          <t>Ordnance</t>
        </is>
      </c>
      <c r="C69" s="49">
        <f>SUMIFS(JB_26BV,JB_B,1,JB_EX,"P-8a",JB_CC,"Ordnance",JB_H,"DDG",JB_CE,"MK 45 Light Weight Gun (LWG)",JB_RC,"ALT")</f>
        <v/>
      </c>
      <c r="D69" s="37">
        <f>IFERROR(C69/C$80,0)</f>
        <v/>
      </c>
    </row>
    <row r="70" ht="10" customHeight="1">
      <c r="A70" s="30" t="inlineStr">
        <is>
          <t>MK 37 TOMAHAWK</t>
        </is>
      </c>
      <c r="B70" s="26" t="inlineStr">
        <is>
          <t>Ordnance</t>
        </is>
      </c>
      <c r="C70" s="49">
        <f>SUMIFS(JB_26BV,JB_B,1,JB_EX,"P-8a",JB_CC,"Ordnance",JB_H,"DDG",JB_CE,"MK 37 TOMAHAWK",JB_RC,"ALT")</f>
        <v/>
      </c>
      <c r="D70" s="37">
        <f>IFERROR(C70/C$80,0)</f>
        <v/>
      </c>
    </row>
    <row r="71" ht="10" customHeight="1">
      <c r="A71" s="30" t="inlineStr">
        <is>
          <t>SPQ-9B Radar</t>
        </is>
      </c>
      <c r="B71" s="26" t="inlineStr">
        <is>
          <t>Ordnance</t>
        </is>
      </c>
      <c r="C71" s="49">
        <f>SUMIFS(JB_26BV,JB_B,1,JB_EX,"P-8a",JB_CC,"Ordnance",JB_H,"DDG",JB_CE,"SPQ-9B Radar",JB_RC,"ALT")</f>
        <v/>
      </c>
      <c r="D71" s="37">
        <f>IFERROR(C71/C$80,0)</f>
        <v/>
      </c>
    </row>
    <row r="72" ht="10" customHeight="1">
      <c r="A72" s="30" t="inlineStr">
        <is>
          <t>PHALANX (CIWS)</t>
        </is>
      </c>
      <c r="B72" s="26" t="inlineStr">
        <is>
          <t>Ordnance</t>
        </is>
      </c>
      <c r="C72" s="49">
        <f>SUMIFS(JB_26BV,JB_B,1,JB_EX,"P-8a",JB_CC,"Ordnance",JB_H,"DDG",JB_CE,"PHALANX (CIWS)",JB_RC,"ALT")</f>
        <v/>
      </c>
      <c r="D72" s="37">
        <f>IFERROR(C72/C$80,0)</f>
        <v/>
      </c>
    </row>
    <row r="73" ht="10" customHeight="1">
      <c r="A73" s="30" t="inlineStr">
        <is>
          <t>DDG 1002 Missile Tubes (CPS)</t>
        </is>
      </c>
      <c r="B73" s="26" t="inlineStr">
        <is>
          <t>Ordnance</t>
        </is>
      </c>
      <c r="C73" s="49">
        <f>SUMIFS(JB_26BV,JB_B,1,JB_EX,"P-8a",JB_CC,"Ordnance",JB_H,"DDG",JB_CE,"DDG 1002 Missile Tubes (CPS)",JB_RC,"ALT")</f>
        <v/>
      </c>
      <c r="D73" s="37">
        <f>IFERROR(C73/C$80,0)</f>
        <v/>
      </c>
    </row>
    <row r="74" ht="10" customHeight="1">
      <c r="A74" s="30" t="inlineStr">
        <is>
          <t>MK-38 Gun Weapon System (GWS)</t>
        </is>
      </c>
      <c r="B74" s="26" t="inlineStr">
        <is>
          <t>Ordnance</t>
        </is>
      </c>
      <c r="C74" s="49">
        <f>SUMIFS(JB_26BV,JB_B,1,JB_EX,"P-8a",JB_CC,"Ordnance",JB_H,"DDG",JB_CE,"MK-38 Gun Weapon System (GWS)",JB_RC,"ALT")</f>
        <v/>
      </c>
      <c r="D74" s="37">
        <f>IFERROR(C74/C$80,0)</f>
        <v/>
      </c>
    </row>
    <row r="75" ht="10" customHeight="1">
      <c r="A75" s="30" t="inlineStr">
        <is>
          <t>DDG 1002 Rubber Boots, Hatches, Shock Isolation (CPS)</t>
        </is>
      </c>
      <c r="B75" s="26" t="inlineStr">
        <is>
          <t>Ordnance</t>
        </is>
      </c>
      <c r="C75" s="49">
        <f>SUMIFS(JB_26BV,JB_B,1,JB_EX,"P-8a",JB_CC,"Ordnance",JB_H,"DDG",JB_CE,"DDG 1002 Rubber Boots, Hatches, Shock Isolation (CPS)",JB_RC,"ALT")</f>
        <v/>
      </c>
      <c r="D75" s="37">
        <f>IFERROR(C75/C$80,0)</f>
        <v/>
      </c>
    </row>
    <row r="76" ht="10" customHeight="1">
      <c r="A76" s="30" t="inlineStr">
        <is>
          <t>CLOSE-IN GUN SYSTEM (CIGS)</t>
        </is>
      </c>
      <c r="B76" s="26" t="inlineStr">
        <is>
          <t>Ordnance</t>
        </is>
      </c>
      <c r="C76" s="49">
        <f>SUMIFS(JB_26BV,JB_B,1,JB_EX,"P-8a",JB_CC,"Ordnance",JB_H,"DDG",JB_CE,"CLOSE-IN GUN SYSTEM (CIGS)",JB_RC,"ALT")</f>
        <v/>
      </c>
      <c r="D76" s="37">
        <f>IFERROR(C76/C$80,0)</f>
        <v/>
      </c>
    </row>
    <row r="77" ht="10" customHeight="1">
      <c r="A77" s="30" t="inlineStr">
        <is>
          <t>MK 160 Gun Fire Control System (GFCS)</t>
        </is>
      </c>
      <c r="B77" s="26" t="inlineStr">
        <is>
          <t>Ordnance</t>
        </is>
      </c>
      <c r="C77" s="49">
        <f>SUMIFS(JB_26BV,JB_B,1,JB_EX,"P-8a",JB_CC,"Ordnance",JB_H,"DDG",JB_CE,"MK 160 Gun Fire Control System (GFCS)",JB_RC,"ALT")</f>
        <v/>
      </c>
      <c r="D77" s="37">
        <f>IFERROR(C77/C$80,0)</f>
        <v/>
      </c>
    </row>
    <row r="78" ht="10" customHeight="1">
      <c r="A78" s="30" t="inlineStr">
        <is>
          <t>ELECTRO-OPTICAL SYSTEM</t>
        </is>
      </c>
      <c r="B78" s="26" t="inlineStr">
        <is>
          <t>Ordnance</t>
        </is>
      </c>
      <c r="C78" s="49">
        <f>SUMIFS(JB_26BV,JB_B,1,JB_EX,"P-8a",JB_CC,"Ordnance",JB_H,"DDG",JB_CE,"ELECTRO-OPTICAL SYSTEM",JB_RC,"ALT")</f>
        <v/>
      </c>
      <c r="D78" s="37">
        <f>IFERROR(C78/C$80,0)</f>
        <v/>
      </c>
    </row>
    <row r="79" ht="10" customHeight="1">
      <c r="A79" s="30" t="inlineStr">
        <is>
          <t>MK 32 Surface Vessel Torpedo Tubes (SVTT)</t>
        </is>
      </c>
      <c r="B79" s="26" t="inlineStr">
        <is>
          <t>Ordnance</t>
        </is>
      </c>
      <c r="C79" s="49">
        <f>SUMIFS(JB_26BV,JB_B,1,JB_EX,"P-8a",JB_CC,"Ordnance",JB_H,"DDG",JB_CE,"MK 32 Surface Vessel Torpedo Tubes (SVTT)",JB_RC,"ALT")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Command, Control, Communication, Computer Intelligence Surveillance and Reconnaissance (C4ISR)</t>
        </is>
      </c>
      <c r="B84" s="26" t="inlineStr">
        <is>
          <t>Electronics</t>
        </is>
      </c>
      <c r="C84" s="49">
        <f>SUMIFS(JB_26BV,JB_B,1,JB_EX,"P-8a",JB_CC,"Electronics",JB_H,"LHA",JB_CE,"Command, Control, Communication, Computer Intelligence Surveillance and Reconnaissance (C4ISR)",JB_RC,"ALT")</f>
        <v/>
      </c>
      <c r="D84" s="37">
        <f>IFERROR(C84/C$123,0)</f>
        <v/>
      </c>
    </row>
    <row r="85" ht="10" customHeight="1">
      <c r="A85" s="30" t="inlineStr">
        <is>
          <t>MK 2 MOD 4E Ship Self Defense System (SSDS)</t>
        </is>
      </c>
      <c r="B85" s="26" t="inlineStr">
        <is>
          <t>Electronics</t>
        </is>
      </c>
      <c r="C85" s="49">
        <f>SUMIFS(JB_26BV,JB_B,1,JB_EX,"P-8a",JB_CC,"Electronics",JB_H,"LHA",JB_CE,"MK 2 MOD 4E Ship Self Defense System (SSDS)",JB_RC,"ALT")</f>
        <v/>
      </c>
      <c r="D85" s="37">
        <f>IFERROR(C85/C$123,0)</f>
        <v/>
      </c>
    </row>
    <row r="86" ht="10" customHeight="1">
      <c r="A86" s="30" t="inlineStr">
        <is>
          <t>AN/SPN-50 (V)1</t>
        </is>
      </c>
      <c r="B86" s="26" t="inlineStr">
        <is>
          <t>Electronics</t>
        </is>
      </c>
      <c r="C86" s="49">
        <f>SUMIFS(JB_26BV,JB_B,1,JB_EX,"P-8a",JB_CC,"Electronics",JB_H,"LHA",JB_CE,"AN/SPN-50 (V)1",JB_RC,"ALT")</f>
        <v/>
      </c>
      <c r="D86" s="37">
        <f>IFERROR(C86/C$123,0)</f>
        <v/>
      </c>
    </row>
    <row r="87" ht="10" customHeight="1">
      <c r="A87" s="30" t="inlineStr">
        <is>
          <t>AN/SLQ-32(V), Surface Warfare Improvement Program (SEWIP)</t>
        </is>
      </c>
      <c r="B87" s="26" t="inlineStr">
        <is>
          <t>Electronics</t>
        </is>
      </c>
      <c r="C87" s="49">
        <f>SUMIFS(JB_26BV,JB_B,1,JB_EX,"P-8a",JB_CC,"Electronics",JB_H,"LHA",JB_CE,"AN/SLQ-32(V), Surface Warfare Improvement Program (SEWIP)",JB_RC,"ALT")</f>
        <v/>
      </c>
      <c r="D87" s="37">
        <f>IFERROR(C87/C$123,0)</f>
        <v/>
      </c>
    </row>
    <row r="88" ht="10" customHeight="1">
      <c r="A88" s="30" t="inlineStr">
        <is>
          <t>Miscellaneous Electronics</t>
        </is>
      </c>
      <c r="B88" s="26" t="inlineStr">
        <is>
          <t>Electronics</t>
        </is>
      </c>
      <c r="C88" s="49">
        <f>SUMIFS(JB_26BV,JB_B,1,JB_EX,"P-8a",JB_CC,"Electronics",JB_H,"LHA",JB_CE,"Miscellaneous Electronics",JB_RC,"ALT")</f>
        <v/>
      </c>
      <c r="D88" s="37">
        <f>IFERROR(C88/C$123,0)</f>
        <v/>
      </c>
    </row>
    <row r="89" ht="10" customHeight="1">
      <c r="A89" s="30" t="inlineStr">
        <is>
          <t>Integrated Voice Network (IVN)</t>
        </is>
      </c>
      <c r="B89" s="26" t="inlineStr">
        <is>
          <t>Electronics</t>
        </is>
      </c>
      <c r="C89" s="49">
        <f>SUMIFS(JB_26BV,JB_B,1,JB_EX,"P-8a",JB_CC,"Electronics",JB_H,"LHA",JB_CE,"Integrated Voice Network (IVN)",JB_RC,"ALT")</f>
        <v/>
      </c>
      <c r="D89" s="37">
        <f>IFERROR(C89/C$123,0)</f>
        <v/>
      </c>
    </row>
    <row r="90" ht="10" customHeight="1">
      <c r="A90" s="30" t="inlineStr">
        <is>
          <t>AN/UPX-29(V), Identification Friend or Foe (IFF) MK12</t>
        </is>
      </c>
      <c r="B90" s="26" t="inlineStr">
        <is>
          <t>Electronics</t>
        </is>
      </c>
      <c r="C90" s="49">
        <f>SUMIFS(JB_26BV,JB_B,1,JB_EX,"P-8a",JB_CC,"Electronics",JB_H,"LHA",JB_CE,"AN/UPX-29(V), Identification Friend or Foe (IFF) MK12",JB_RC,"ALT")</f>
        <v/>
      </c>
      <c r="D90" s="37">
        <f>IFERROR(C90/C$123,0)</f>
        <v/>
      </c>
    </row>
    <row r="91" ht="10" customHeight="1">
      <c r="A91" s="30" t="inlineStr">
        <is>
          <t>AN/USG-2, Cooperative Engagement Transmission Processing Set (CETPS)</t>
        </is>
      </c>
      <c r="B91" s="26" t="inlineStr">
        <is>
          <t>Electronics</t>
        </is>
      </c>
      <c r="C91" s="49">
        <f>SUMIFS(JB_26BV,JB_B,1,JB_EX,"P-8a",JB_CC,"Electronics",JB_H,"LHA",JB_CE,"AN/USG-2, Cooperative Engagement Transmission Processing Set (CETPS)",JB_RC,"ALT")</f>
        <v/>
      </c>
      <c r="D91" s="37">
        <f>IFERROR(C91/C$123,0)</f>
        <v/>
      </c>
    </row>
    <row r="92" ht="10" customHeight="1">
      <c r="A92" s="30" t="inlineStr">
        <is>
          <t>Joint Precision Approach and Landing System (JPALS) (AN/USN-3(V)1, SSLS)</t>
        </is>
      </c>
      <c r="B92" s="26" t="inlineStr">
        <is>
          <t>Electronics</t>
        </is>
      </c>
      <c r="C92" s="49">
        <f>SUMIFS(JB_26BV,JB_B,1,JB_EX,"P-8a",JB_CC,"Electronics",JB_H,"LHA",JB_CE,"Joint Precision Approach and Landing System (JPALS) (AN/USN-3(V)1, SSLS)",JB_RC,"ALT")</f>
        <v/>
      </c>
      <c r="D92" s="37">
        <f>IFERROR(C92/C$123,0)</f>
        <v/>
      </c>
    </row>
    <row r="93" ht="10" customHeight="1">
      <c r="A93" s="30" t="inlineStr">
        <is>
          <t>USQ-82, Gigabit Ethernet Data Multiplex System (GEDMS)</t>
        </is>
      </c>
      <c r="B93" s="26" t="inlineStr">
        <is>
          <t>Electronics</t>
        </is>
      </c>
      <c r="C93" s="49">
        <f>SUMIFS(JB_26BV,JB_B,1,JB_EX,"P-8a",JB_CC,"Electronics",JB_H,"LHA",JB_CE,"USQ-82, Gigabit Ethernet Data Multiplex System (GEDMS)",JB_RC,"ALT")</f>
        <v/>
      </c>
      <c r="D93" s="37">
        <f>IFERROR(C93/C$123,0)</f>
        <v/>
      </c>
    </row>
    <row r="94" ht="10" customHeight="1">
      <c r="A94" s="30" t="inlineStr">
        <is>
          <t>Aircraft Control Approach Central AN/SPN-35C</t>
        </is>
      </c>
      <c r="B94" s="26" t="inlineStr">
        <is>
          <t>Electronics</t>
        </is>
      </c>
      <c r="C94" s="49">
        <f>SUMIFS(JB_26BV,JB_B,1,JB_EX,"P-8a",JB_CC,"Electronics",JB_H,"LHA",JB_CE,"Aircraft Control Approach Central AN/SPN-35C",JB_RC,"ALT")</f>
        <v/>
      </c>
      <c r="D94" s="37">
        <f>IFERROR(C94/C$123,0)</f>
        <v/>
      </c>
    </row>
    <row r="95" ht="10" customHeight="1">
      <c r="A95" s="30" t="inlineStr">
        <is>
          <t>Hierarchical Yet Dynamically Reprogrammable Architecture (HYDRA) AN/SRC-55</t>
        </is>
      </c>
      <c r="B95" s="26" t="inlineStr">
        <is>
          <t>Electronics</t>
        </is>
      </c>
      <c r="C95" s="49">
        <f>SUMIFS(JB_26BV,JB_B,1,JB_EX,"P-8a",JB_CC,"Electronics",JB_H,"LHA",JB_CE,"Hierarchical Yet Dynamically Reprogrammable Architecture (HYDRA) AN/SRC-55",JB_RC,"ALT")</f>
        <v/>
      </c>
      <c r="D95" s="37">
        <f>IFERROR(C95/C$123,0)</f>
        <v/>
      </c>
    </row>
    <row r="96" ht="10" customHeight="1">
      <c r="A96" s="30" t="inlineStr">
        <is>
          <t>AN/SLQ-25C, Torpedo Countermeasures Transmitting Set (NIXIE)</t>
        </is>
      </c>
      <c r="B96" s="26" t="inlineStr">
        <is>
          <t>Electronics</t>
        </is>
      </c>
      <c r="C96" s="49">
        <f>SUMIFS(JB_26BV,JB_B,1,JB_EX,"P-8a",JB_CC,"Electronics",JB_H,"LHA",JB_CE,"AN/SLQ-25C, Torpedo Countermeasures Transmitting Set (NIXIE)",JB_RC,"ALT")</f>
        <v/>
      </c>
      <c r="D96" s="37">
        <f>IFERROR(C96/C$123,0)</f>
        <v/>
      </c>
    </row>
    <row r="97" ht="10" customHeight="1">
      <c r="A97" s="30" t="inlineStr">
        <is>
          <t>Ring Laser Gyro Navigator (RLGN) AN/WSN-7</t>
        </is>
      </c>
      <c r="B97" s="26" t="inlineStr">
        <is>
          <t>Electronics</t>
        </is>
      </c>
      <c r="C97" s="49">
        <f>SUMIFS(JB_26BV,JB_B,1,JB_EX,"P-8a",JB_CC,"Electronics",JB_H,"LHA",JB_CE,"Ring Laser Gyro Navigator (RLGN) AN/WSN-7",JB_RC,"ALT")</f>
        <v/>
      </c>
      <c r="D97" s="37">
        <f>IFERROR(C97/C$123,0)</f>
        <v/>
      </c>
    </row>
    <row r="98" ht="10" customHeight="1">
      <c r="A98" s="30" t="inlineStr">
        <is>
          <t>Amphibious Air Traffic Control Direct Altitude and Identity Readout (AATC-DAIR)</t>
        </is>
      </c>
      <c r="B98" s="26" t="inlineStr">
        <is>
          <t>Electronics</t>
        </is>
      </c>
      <c r="C98" s="49">
        <f>SUMIFS(JB_26BV,JB_B,1,JB_EX,"P-8a",JB_CC,"Electronics",JB_H,"LHA",JB_CE,"Amphibious Air Traffic Control Direct Altitude and Identity Readout (AATC-DAIR)",JB_RC,"ALT")</f>
        <v/>
      </c>
      <c r="D98" s="37">
        <f>IFERROR(C98/C$123,0)</f>
        <v/>
      </c>
    </row>
    <row r="99" ht="10" customHeight="1">
      <c r="A99" s="30" t="inlineStr">
        <is>
          <t>Aircraft Approach Control Transmitting Set (AACTS) AN/SPN-41B</t>
        </is>
      </c>
      <c r="B99" s="26" t="inlineStr">
        <is>
          <t>Electronics</t>
        </is>
      </c>
      <c r="C99" s="49">
        <f>SUMIFS(JB_26BV,JB_B,1,JB_EX,"P-8a",JB_CC,"Electronics",JB_H,"LHA",JB_CE,"Aircraft Approach Control Transmitting Set (AACTS) AN/SPN-41B",JB_RC,"ALT")</f>
        <v/>
      </c>
      <c r="D99" s="37">
        <f>IFERROR(C99/C$123,0)</f>
        <v/>
      </c>
    </row>
    <row r="100" ht="10" customHeight="1">
      <c r="A100" s="30" t="inlineStr">
        <is>
          <t>Announcing Systems AN/SIA-127H</t>
        </is>
      </c>
      <c r="B100" s="26" t="inlineStr">
        <is>
          <t>Electronics</t>
        </is>
      </c>
      <c r="C100" s="49">
        <f>SUMIFS(JB_26BV,JB_B,1,JB_EX,"P-8a",JB_CC,"Electronics",JB_H,"LHA",JB_CE,"Announcing Systems AN/SIA-127H",JB_RC,"ALT")</f>
        <v/>
      </c>
      <c r="D100" s="37">
        <f>IFERROR(C100/C$123,0)</f>
        <v/>
      </c>
    </row>
    <row r="101" ht="10" customHeight="1">
      <c r="A101" s="30" t="inlineStr">
        <is>
          <t>SATCC</t>
        </is>
      </c>
      <c r="B101" s="26" t="inlineStr">
        <is>
          <t>Electronics</t>
        </is>
      </c>
      <c r="C101" s="49">
        <f>SUMIFS(JB_26BV,JB_B,1,JB_EX,"P-8a",JB_CC,"Electronics",JB_H,"LHA",JB_CE,"SATCC",JB_RC,"ALT")</f>
        <v/>
      </c>
      <c r="D101" s="37">
        <f>IFERROR(C101/C$123,0)</f>
        <v/>
      </c>
    </row>
    <row r="102" ht="10" customHeight="1">
      <c r="A102" s="30" t="inlineStr">
        <is>
          <t>Amphibious Assault Direction System (AADS)</t>
        </is>
      </c>
      <c r="B102" s="26" t="inlineStr">
        <is>
          <t>Electronics</t>
        </is>
      </c>
      <c r="C102" s="49">
        <f>SUMIFS(JB_26BV,JB_B,1,JB_EX,"P-8a",JB_CC,"Electronics",JB_H,"LHA",JB_CE,"Amphibious Assault Direction System (AADS)",JB_RC,"ALT")</f>
        <v/>
      </c>
      <c r="D102" s="37">
        <f>IFERROR(C102/C$123,0)</f>
        <v/>
      </c>
    </row>
    <row r="103" ht="10" customHeight="1">
      <c r="A103" s="30" t="inlineStr">
        <is>
          <t>30 TV</t>
        </is>
      </c>
      <c r="B103" s="26" t="inlineStr">
        <is>
          <t>Electronics</t>
        </is>
      </c>
      <c r="C103" s="49">
        <f>SUMIFS(JB_26BV,JB_B,1,JB_EX,"P-8a",JB_CC,"Electronics",JB_H,"LHA",JB_CE,"30 TV",JB_RC,"ALT")</f>
        <v/>
      </c>
      <c r="D103" s="37">
        <f>IFERROR(C103/C$123,0)</f>
        <v/>
      </c>
    </row>
    <row r="104" ht="10" customHeight="1">
      <c r="A104" s="30" t="inlineStr">
        <is>
          <t>MK 53 NULKA Decoy Launching System (DLS) Mod 3</t>
        </is>
      </c>
      <c r="B104" s="26" t="inlineStr">
        <is>
          <t>Electronics</t>
        </is>
      </c>
      <c r="C104" s="49">
        <f>SUMIFS(JB_26BV,JB_B,1,JB_EX,"P-8a",JB_CC,"Electronics",JB_H,"LHA",JB_CE,"MK 53 NULKA Decoy Launching System (DLS) Mod 3",JB_RC,"ALT")</f>
        <v/>
      </c>
      <c r="D104" s="37">
        <f>IFERROR(C104/C$123,0)</f>
        <v/>
      </c>
    </row>
    <row r="105" ht="10" customHeight="1">
      <c r="A105" s="30" t="inlineStr">
        <is>
          <t>Next Generation Navigational Radar</t>
        </is>
      </c>
      <c r="B105" s="26" t="inlineStr">
        <is>
          <t>Electronics</t>
        </is>
      </c>
      <c r="C105" s="49">
        <f>SUMIFS(JB_26BV,JB_B,1,JB_EX,"P-8a",JB_CC,"Electronics",JB_H,"LHA",JB_CE,"Next Generation Navigational Radar",JB_RC,"ALT")</f>
        <v/>
      </c>
      <c r="D105" s="37">
        <f>IFERROR(C105/C$123,0)</f>
        <v/>
      </c>
    </row>
    <row r="106" ht="10" customHeight="1">
      <c r="A106" s="30" t="inlineStr">
        <is>
          <t>AN/USQ-T46(V), Battle Force Tactical Training (BFTT)</t>
        </is>
      </c>
      <c r="B106" s="26" t="inlineStr">
        <is>
          <t>Electronics</t>
        </is>
      </c>
      <c r="C106" s="49">
        <f>SUMIFS(JB_26BV,JB_B,1,JB_EX,"P-8a",JB_CC,"Electronics",JB_H,"LHA",JB_CE,"AN/USQ-T46(V), Battle Force Tactical Training (BFTT)",JB_RC,"ALT")</f>
        <v/>
      </c>
      <c r="D106" s="37">
        <f>IFERROR(C106/C$123,0)</f>
        <v/>
      </c>
    </row>
    <row r="107" ht="10" customHeight="1">
      <c r="A107" s="30" t="inlineStr">
        <is>
          <t>Digital Photo Lab</t>
        </is>
      </c>
      <c r="B107" s="26" t="inlineStr">
        <is>
          <t>Electronics</t>
        </is>
      </c>
      <c r="C107" s="49">
        <f>SUMIFS(JB_26BV,JB_B,1,JB_EX,"P-8a",JB_CC,"Electronics",JB_H,"LHA",JB_CE,"Digital Photo Lab",JB_RC,"ALT")</f>
        <v/>
      </c>
      <c r="D107" s="37">
        <f>IFERROR(C107/C$123,0)</f>
        <v/>
      </c>
    </row>
    <row r="108" ht="10" customHeight="1">
      <c r="A108" s="30" t="inlineStr">
        <is>
          <t>Print Shop</t>
        </is>
      </c>
      <c r="B108" s="26" t="inlineStr">
        <is>
          <t>Electronics</t>
        </is>
      </c>
      <c r="C108" s="49">
        <f>SUMIFS(JB_26BV,JB_B,1,JB_EX,"P-8a",JB_CC,"Electronics",JB_H,"LHA",JB_CE,"Print Shop",JB_RC,"ALT")</f>
        <v/>
      </c>
      <c r="D108" s="37">
        <f>IFERROR(C108/C$123,0)</f>
        <v/>
      </c>
    </row>
    <row r="109" ht="10" customHeight="1">
      <c r="A109" s="30" t="inlineStr">
        <is>
          <t>Equipment &amp; Engineering</t>
        </is>
      </c>
      <c r="B109" s="26" t="inlineStr">
        <is>
          <t>Hull, Mechanical, and Electrical</t>
        </is>
      </c>
      <c r="C109" s="49">
        <f>SUMIFS(JB_26BV,JB_B,1,JB_EX,"P-8a",JB_CC,"Hull, Mechanical, and Electrical",JB_H,"LHA",JB_CE,"Equipment &amp; Engineering",JB_RC,"ALT")</f>
        <v/>
      </c>
      <c r="D109" s="37">
        <f>IFERROR(C109/C$123,0)</f>
        <v/>
      </c>
    </row>
    <row r="110" ht="10" customHeight="1">
      <c r="A110" s="30" t="inlineStr">
        <is>
          <t>Test &amp; Instrumentation</t>
        </is>
      </c>
      <c r="B110" s="26" t="inlineStr">
        <is>
          <t>Hull, Mechanical, and Electrical</t>
        </is>
      </c>
      <c r="C110" s="49">
        <f>SUMIFS(JB_26BV,JB_B,1,JB_EX,"P-8a",JB_CC,"Hull, Mechanical, and Electrical",JB_H,"LHA",JB_CE,"Test &amp; Instrumentation",JB_RC,"ALT")</f>
        <v/>
      </c>
      <c r="D110" s="37">
        <f>IFERROR(C110/C$123,0)</f>
        <v/>
      </c>
    </row>
    <row r="111" ht="10" customHeight="1">
      <c r="A111" s="30" t="inlineStr">
        <is>
          <t>SUPSHIP Material/Services</t>
        </is>
      </c>
      <c r="B111" s="26" t="inlineStr">
        <is>
          <t>Hull, Mechanical, and Electrical</t>
        </is>
      </c>
      <c r="C111" s="49">
        <f>SUMIFS(JB_26BV,JB_B,1,JB_EX,"P-8a",JB_CC,"Hull, Mechanical, and Electrical",JB_H,"LHA",JB_CE,"SUPSHIP Material/Services",JB_RC,"ALT")</f>
        <v/>
      </c>
      <c r="D111" s="37">
        <f>IFERROR(C111/C$123,0)</f>
        <v/>
      </c>
    </row>
    <row r="112" ht="10" customHeight="1">
      <c r="A112" s="30" t="inlineStr">
        <is>
          <t>Enterprise Air Surveillance Radar (EASR)</t>
        </is>
      </c>
      <c r="B112" s="26" t="inlineStr">
        <is>
          <t>Ordnance</t>
        </is>
      </c>
      <c r="C112" s="49">
        <f>SUMIFS(JB_26BV,JB_B,1,JB_EX,"P-8a",JB_CC,"Ordnance",JB_H,"LHA",JB_CE,"Enterprise Air Surveillance Radar (EASR)",JB_RC,"ALT")</f>
        <v/>
      </c>
      <c r="D112" s="37">
        <f>IFERROR(C112/C$123,0)</f>
        <v/>
      </c>
    </row>
    <row r="113" ht="10" customHeight="1">
      <c r="A113" s="30" t="inlineStr">
        <is>
          <t>NATO Sea Sparrow Missile System (NSSMS) MK 57 Mod 14</t>
        </is>
      </c>
      <c r="B113" s="26" t="inlineStr">
        <is>
          <t>Ordnance</t>
        </is>
      </c>
      <c r="C113" s="49">
        <f>SUMIFS(JB_26BV,JB_B,1,JB_EX,"P-8a",JB_CC,"Ordnance",JB_H,"LHA",JB_CE,"NATO Sea Sparrow Missile System (NSSMS) MK 57 Mod 14",JB_RC,"ALT")</f>
        <v/>
      </c>
      <c r="D113" s="37">
        <f>IFERROR(C113/C$123,0)</f>
        <v/>
      </c>
    </row>
    <row r="114" ht="10" customHeight="1">
      <c r="A114" s="30" t="inlineStr">
        <is>
          <t>MK31 Mod 3, Rolling Airframe Missile (RAM) (Tech Refresh)</t>
        </is>
      </c>
      <c r="B114" s="26" t="inlineStr">
        <is>
          <t>Ordnance</t>
        </is>
      </c>
      <c r="C114" s="49">
        <f>SUMIFS(JB_26BV,JB_B,1,JB_EX,"P-8a",JB_CC,"Ordnance",JB_H,"LHA",JB_CE,"MK31 Mod 3, Rolling Airframe Missile (RAM) (Tech Refresh)",JB_RC,"ALT")</f>
        <v/>
      </c>
      <c r="D114" s="37">
        <f>IFERROR(C114/C$123,0)</f>
        <v/>
      </c>
    </row>
    <row r="115" ht="10" customHeight="1">
      <c r="A115" s="30" t="inlineStr">
        <is>
          <t>PHALANX Block 1B MK15 Mod 21 &amp; 22, Close-in Weapon System (CIWS)</t>
        </is>
      </c>
      <c r="B115" s="26" t="inlineStr">
        <is>
          <t>Ordnance</t>
        </is>
      </c>
      <c r="C115" s="49">
        <f>SUMIFS(JB_26BV,JB_B,1,JB_EX,"P-8a",JB_CC,"Ordnance",JB_H,"LHA",JB_CE,"PHALANX Block 1B MK15 Mod 21 &amp; 22, Close-in Weapon System (CIWS)",JB_RC,"ALT")</f>
        <v/>
      </c>
      <c r="D115" s="37">
        <f>IFERROR(C115/C$123,0)</f>
        <v/>
      </c>
    </row>
    <row r="116" ht="10" customHeight="1">
      <c r="A116" s="30" t="inlineStr">
        <is>
          <t>Vertical/Stationary Take-Off Landing Optical Landing System (VSTOL OLS)</t>
        </is>
      </c>
      <c r="B116" s="26" t="inlineStr">
        <is>
          <t>Ordnance</t>
        </is>
      </c>
      <c r="C116" s="49">
        <f>SUMIFS(JB_26BV,JB_B,1,JB_EX,"P-8a",JB_CC,"Ordnance",JB_H,"LHA",JB_CE,"Vertical/Stationary Take-Off Landing Optical Landing System (VSTOL OLS)",JB_RC,"ALT")</f>
        <v/>
      </c>
      <c r="D116" s="37">
        <f>IFERROR(C116/C$123,0)</f>
        <v/>
      </c>
    </row>
    <row r="117" ht="10" customHeight="1">
      <c r="A117" s="30" t="inlineStr">
        <is>
          <t>Aviation Support</t>
        </is>
      </c>
      <c r="B117" s="26" t="inlineStr">
        <is>
          <t>Ordnance</t>
        </is>
      </c>
      <c r="C117" s="49">
        <f>SUMIFS(JB_26BV,JB_B,1,JB_EX,"P-8a",JB_CC,"Ordnance",JB_H,"LHA",JB_CE,"Aviation Support",JB_RC,"ALT")</f>
        <v/>
      </c>
      <c r="D117" s="37">
        <f>IFERROR(C117/C$123,0)</f>
        <v/>
      </c>
    </row>
    <row r="118" ht="10" customHeight="1">
      <c r="A118" s="30" t="inlineStr">
        <is>
          <t>AN/SPQ-9B Radar Set</t>
        </is>
      </c>
      <c r="B118" s="26" t="inlineStr">
        <is>
          <t>Ordnance</t>
        </is>
      </c>
      <c r="C118" s="49">
        <f>SUMIFS(JB_26BV,JB_B,1,JB_EX,"P-8a",JB_CC,"Ordnance",JB_H,"LHA",JB_CE,"AN/SPQ-9B Radar Set",JB_RC,"ALT")</f>
        <v/>
      </c>
      <c r="D118" s="37">
        <f>IFERROR(C118/C$123,0)</f>
        <v/>
      </c>
    </row>
    <row r="119" ht="10" customHeight="1">
      <c r="A119" s="30" t="inlineStr">
        <is>
          <t>MK 38 Mod 2 Stabilized Gun Stand Assembly</t>
        </is>
      </c>
      <c r="B119" s="26" t="inlineStr">
        <is>
          <t>Ordnance</t>
        </is>
      </c>
      <c r="C119" s="49">
        <f>SUMIFS(JB_26BV,JB_B,1,JB_EX,"P-8a",JB_CC,"Ordnance",JB_H,"LHA",JB_CE,"MK 38 Mod 2 Stabilized Gun Stand Assembly",JB_RC,"ALT")</f>
        <v/>
      </c>
      <c r="D119" s="37">
        <f>IFERROR(C119/C$123,0)</f>
        <v/>
      </c>
    </row>
    <row r="120" ht="10" customHeight="1">
      <c r="A120" s="30" t="inlineStr">
        <is>
          <t>Miscellaneous Ordnance</t>
        </is>
      </c>
      <c r="B120" s="26" t="inlineStr">
        <is>
          <t>Ordnance</t>
        </is>
      </c>
      <c r="C120" s="49">
        <f>SUMIFS(JB_26BV,JB_B,1,JB_EX,"P-8a",JB_CC,"Ordnance",JB_H,"LHA",JB_CE,"Miscellaneous Ordnance",JB_RC,"ALT")</f>
        <v/>
      </c>
      <c r="D120" s="37">
        <f>IFERROR(C120/C$123,0)</f>
        <v/>
      </c>
    </row>
    <row r="121" ht="10" customHeight="1">
      <c r="A121" s="30" t="inlineStr">
        <is>
          <t>MORIAH</t>
        </is>
      </c>
      <c r="B121" s="26" t="inlineStr">
        <is>
          <t>Ordnance</t>
        </is>
      </c>
      <c r="C121" s="49">
        <f>SUMIFS(JB_26BV,JB_B,1,JB_EX,"P-8a",JB_CC,"Ordnance",JB_H,"LHA",JB_CE,"MORIAH",JB_RC,"ALT")</f>
        <v/>
      </c>
      <c r="D121" s="37">
        <f>IFERROR(C121/C$123,0)</f>
        <v/>
      </c>
    </row>
    <row r="122" ht="10" customHeight="1">
      <c r="A122" s="30" t="inlineStr">
        <is>
          <t>AN/SPQ-14</t>
        </is>
      </c>
      <c r="B122" s="26" t="inlineStr">
        <is>
          <t>Ordnance</t>
        </is>
      </c>
      <c r="C122" s="49">
        <f>SUMIFS(JB_26BV,JB_B,1,JB_EX,"P-8a",JB_CC,"Ordnance",JB_H,"LHA",JB_CE,"AN/SPQ-14",JB_RC,"ALT")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Enterprise Air Surveillance Radar (EASR)</t>
        </is>
      </c>
      <c r="B127" s="26" t="inlineStr">
        <is>
          <t>Electronics</t>
        </is>
      </c>
      <c r="C127" s="49">
        <f>SUMIFS(JB_26BV,JB_B,1,JB_EX,"P-8a",JB_CC,"Electronics",JB_H,"FFG",JB_CE,"Enterprise Air Surveillance Radar (EASR)",JB_RC,"ALT")</f>
        <v/>
      </c>
      <c r="D127" s="37">
        <f>IFERROR(C127/C$145,0)</f>
        <v/>
      </c>
    </row>
    <row r="128" ht="10" customHeight="1">
      <c r="A128" s="30" t="inlineStr">
        <is>
          <t>AEGIS Weapon System (AWS)</t>
        </is>
      </c>
      <c r="B128" s="26" t="inlineStr">
        <is>
          <t>Electronics</t>
        </is>
      </c>
      <c r="C128" s="49">
        <f>SUMIFS(JB_26BV,JB_B,1,JB_EX,"P-8a",JB_CC,"Electronics",JB_H,"FFG",JB_CE,"AEGIS Weapon System (AWS)",JB_RC,"ALT")</f>
        <v/>
      </c>
      <c r="D128" s="37">
        <f>IFERROR(C128/C$145,0)</f>
        <v/>
      </c>
    </row>
    <row r="129" ht="10" customHeight="1">
      <c r="A129" s="30" t="inlineStr">
        <is>
          <t>Anti-Submarine Warfare (ASW) Combat Suite</t>
        </is>
      </c>
      <c r="B129" s="26" t="inlineStr">
        <is>
          <t>Electronics</t>
        </is>
      </c>
      <c r="C129" s="49">
        <f>SUMIFS(JB_26BV,JB_B,1,JB_EX,"P-8a",JB_CC,"Electronics",JB_H,"FFG",JB_CE,"Anti-Submarine Warfare (ASW) Combat Suite",JB_RC,"ALT")</f>
        <v/>
      </c>
      <c r="D129" s="37">
        <f>IFERROR(C129/C$145,0)</f>
        <v/>
      </c>
    </row>
    <row r="130" ht="10" customHeight="1">
      <c r="A130" s="30" t="inlineStr">
        <is>
          <t>Tactical COMINT System- Spectral</t>
        </is>
      </c>
      <c r="B130" s="26" t="inlineStr">
        <is>
          <t>Electronics</t>
        </is>
      </c>
      <c r="C130" s="49">
        <f>SUMIFS(JB_26BV,JB_B,1,JB_EX,"P-8a",JB_CC,"Electronics",JB_H,"FFG",JB_CE,"Tactical COMINT System- Spectral",JB_RC,"ALT")</f>
        <v/>
      </c>
      <c r="D130" s="37">
        <f>IFERROR(C130/C$145,0)</f>
        <v/>
      </c>
    </row>
    <row r="131" ht="10" customHeight="1">
      <c r="A131" s="30" t="inlineStr">
        <is>
          <t>External Communication Suite (EXCOMM)</t>
        </is>
      </c>
      <c r="B131" s="26" t="inlineStr">
        <is>
          <t>Electronics</t>
        </is>
      </c>
      <c r="C131" s="49">
        <f>SUMIFS(JB_26BV,JB_B,1,JB_EX,"P-8a",JB_CC,"Electronics",JB_H,"FFG",JB_CE,"External Communication Suite (EXCOMM)",JB_RC,"ALT")</f>
        <v/>
      </c>
      <c r="D131" s="37">
        <f>IFERROR(C131/C$145,0)</f>
        <v/>
      </c>
    </row>
    <row r="132" ht="10" customHeight="1">
      <c r="A132" s="30" t="inlineStr">
        <is>
          <t>Cooperative Engagement Capability (CEC)</t>
        </is>
      </c>
      <c r="B132" s="26" t="inlineStr">
        <is>
          <t>Electronics</t>
        </is>
      </c>
      <c r="C132" s="49">
        <f>SUMIFS(JB_26BV,JB_B,1,JB_EX,"P-8a",JB_CC,"Electronics",JB_H,"FFG",JB_CE,"Cooperative Engagement Capability (CEC)",JB_RC,"ALT")</f>
        <v/>
      </c>
      <c r="D132" s="37">
        <f>IFERROR(C132/C$145,0)</f>
        <v/>
      </c>
    </row>
    <row r="133" ht="10" customHeight="1">
      <c r="A133" s="30" t="inlineStr">
        <is>
          <t>Identification Friend or Foe (IFF) UPX-29</t>
        </is>
      </c>
      <c r="B133" s="26" t="inlineStr">
        <is>
          <t>Electronics</t>
        </is>
      </c>
      <c r="C133" s="49">
        <f>SUMIFS(JB_26BV,JB_B,1,JB_EX,"P-8a",JB_CC,"Electronics",JB_H,"FFG",JB_CE,"Identification Friend or Foe (IFF) UPX-29",JB_RC,"ALT")</f>
        <v/>
      </c>
      <c r="D133" s="37">
        <f>IFERROR(C133/C$145,0)</f>
        <v/>
      </c>
    </row>
    <row r="134" ht="10" customHeight="1">
      <c r="A134" s="30" t="inlineStr">
        <is>
          <t>Aircraft Ship Integrated Securing and Traversing System (ASIST)</t>
        </is>
      </c>
      <c r="B134" s="26" t="inlineStr">
        <is>
          <t>Hull, Mechanical, and Electrical</t>
        </is>
      </c>
      <c r="C134" s="49">
        <f>SUMIFS(JB_26BV,JB_B,1,JB_EX,"P-8a",JB_CC,"Hull, Mechanical, and Electrical",JB_H,"FFG",JB_CE,"Aircraft Ship Integrated Securing and Traversing System (ASIST)",JB_RC,"ALT")</f>
        <v/>
      </c>
      <c r="D134" s="37">
        <f>IFERROR(C134/C$145,0)</f>
        <v/>
      </c>
    </row>
    <row r="135" ht="10" customHeight="1">
      <c r="A135" s="30" t="inlineStr">
        <is>
          <t>Other HM&amp;E</t>
        </is>
      </c>
      <c r="B135" s="26" t="inlineStr">
        <is>
          <t>Hull, Mechanical, and Electrical</t>
        </is>
      </c>
      <c r="C135" s="49">
        <f>SUMIFS(JB_26BV,JB_B,1,JB_EX,"P-8a",JB_CC,"Hull, Mechanical, and Electrical",JB_H,"FFG",JB_CE,"Other HM&amp;E",JB_RC,"ALT")</f>
        <v/>
      </c>
      <c r="D135" s="37">
        <f>IFERROR(C135/C$145,0)</f>
        <v/>
      </c>
    </row>
    <row r="136" ht="10" customHeight="1">
      <c r="A136" s="30" t="inlineStr">
        <is>
          <t>Internal Communication (IC) Voice</t>
        </is>
      </c>
      <c r="B136" s="26" t="inlineStr">
        <is>
          <t>Hull, Mechanical, and Electrical</t>
        </is>
      </c>
      <c r="C136" s="49">
        <f>SUMIFS(JB_26BV,JB_B,1,JB_EX,"P-8a",JB_CC,"Hull, Mechanical, and Electrical",JB_H,"FFG",JB_CE,"Internal Communication (IC) Voice",JB_RC,"ALT")</f>
        <v/>
      </c>
      <c r="D136" s="37">
        <f>IFERROR(C136/C$145,0)</f>
        <v/>
      </c>
    </row>
    <row r="137" ht="10" customHeight="1">
      <c r="A137" s="30" t="inlineStr">
        <is>
          <t>Interior Wireless Communication System (IWCS)</t>
        </is>
      </c>
      <c r="B137" s="26" t="inlineStr">
        <is>
          <t>Hull, Mechanical, and Electrical</t>
        </is>
      </c>
      <c r="C137" s="49">
        <f>SUMIFS(JB_26BV,JB_B,1,JB_EX,"P-8a",JB_CC,"Hull, Mechanical, and Electrical",JB_H,"FFG",JB_CE,"Interior Wireless Communication System (IWCS)",JB_RC,"ALT")</f>
        <v/>
      </c>
      <c r="D137" s="37">
        <f>IFERROR(C137/C$145,0)</f>
        <v/>
      </c>
    </row>
    <row r="138" ht="10" customHeight="1">
      <c r="A138" s="30" t="inlineStr">
        <is>
          <t>Unclassified Video System (UVS)</t>
        </is>
      </c>
      <c r="B138" s="26" t="inlineStr">
        <is>
          <t>Hull, Mechanical, and Electrical</t>
        </is>
      </c>
      <c r="C138" s="49">
        <f>SUMIFS(JB_26BV,JB_B,1,JB_EX,"P-8a",JB_CC,"Hull, Mechanical, and Electrical",JB_H,"FFG",JB_CE,"Unclassified Video System (UVS)",JB_RC,"ALT")</f>
        <v/>
      </c>
      <c r="D138" s="37">
        <f>IFERROR(C138/C$145,0)</f>
        <v/>
      </c>
    </row>
    <row r="139" ht="10" customHeight="1">
      <c r="A139" s="30" t="inlineStr">
        <is>
          <t>Ship Control System-Government (SCS GOV)</t>
        </is>
      </c>
      <c r="B139" s="26" t="inlineStr">
        <is>
          <t>Hull, Mechanical, and Electrical</t>
        </is>
      </c>
      <c r="C139" s="49">
        <f>SUMIFS(JB_26BV,JB_B,1,JB_EX,"P-8a",JB_CC,"Hull, Mechanical, and Electrical",JB_H,"FFG",JB_CE,"Ship Control System-Government (SCS GOV)",JB_RC,"ALT")</f>
        <v/>
      </c>
      <c r="D139" s="37">
        <f>IFERROR(C139/C$145,0)</f>
        <v/>
      </c>
    </row>
    <row r="140" ht="10" customHeight="1">
      <c r="A140" s="30" t="inlineStr">
        <is>
          <t>Advanced Flight Deck Lighting System (AFDLS)</t>
        </is>
      </c>
      <c r="B140" s="26" t="inlineStr">
        <is>
          <t>Hull, Mechanical, and Electrical</t>
        </is>
      </c>
      <c r="C140" s="49">
        <f>SUMIFS(JB_26BV,JB_B,1,JB_EX,"P-8a",JB_CC,"Hull, Mechanical, and Electrical",JB_H,"FFG",JB_CE,"Advanced Flight Deck Lighting System (AFDLS)",JB_RC,"ALT")</f>
        <v/>
      </c>
      <c r="D140" s="37">
        <f>IFERROR(C140/C$145,0)</f>
        <v/>
      </c>
    </row>
    <row r="141" ht="10" customHeight="1">
      <c r="A141" s="30" t="inlineStr">
        <is>
          <t>MK 41 Vertical Launch System (VLS)- 32 Cell</t>
        </is>
      </c>
      <c r="B141" s="26" t="inlineStr">
        <is>
          <t>Ordnance</t>
        </is>
      </c>
      <c r="C141" s="49">
        <f>SUMIFS(JB_26BV,JB_B,1,JB_EX,"P-8a",JB_CC,"Ordnance",JB_H,"FFG",JB_CE,"MK 41 Vertical Launch System (VLS)- 32 Cell",JB_RC,"ALT")</f>
        <v/>
      </c>
      <c r="D141" s="37">
        <f>IFERROR(C141/C$145,0)</f>
        <v/>
      </c>
    </row>
    <row r="142" ht="10" customHeight="1">
      <c r="A142" s="30" t="inlineStr">
        <is>
          <t>MK 48 Gun Weapon System (GWS)</t>
        </is>
      </c>
      <c r="B142" s="26" t="inlineStr">
        <is>
          <t>Ordnance</t>
        </is>
      </c>
      <c r="C142" s="49">
        <f>SUMIFS(JB_26BV,JB_B,1,JB_EX,"P-8a",JB_CC,"Ordnance",JB_H,"FFG",JB_CE,"MK 48 Gun Weapon System (GWS)",JB_RC,"ALT")</f>
        <v/>
      </c>
      <c r="D142" s="37">
        <f>IFERROR(C142/C$145,0)</f>
        <v/>
      </c>
    </row>
    <row r="143" ht="10" customHeight="1">
      <c r="A143" s="30" t="inlineStr">
        <is>
          <t>Other Ordnance</t>
        </is>
      </c>
      <c r="B143" s="26" t="inlineStr">
        <is>
          <t>Ordnance</t>
        </is>
      </c>
      <c r="C143" s="49">
        <f>SUMIFS(JB_26BV,JB_B,1,JB_EX,"P-8a",JB_CC,"Ordnance",JB_H,"FFG",JB_CE,"Other Ordnance",JB_RC,"ALT")</f>
        <v/>
      </c>
      <c r="D143" s="37">
        <f>IFERROR(C143/C$145,0)</f>
        <v/>
      </c>
    </row>
    <row r="144" ht="10" customHeight="1">
      <c r="A144" s="30" t="inlineStr">
        <is>
          <t>MK 53 Decoy Launching System (DLS) (Nulka)- 4 Launcher</t>
        </is>
      </c>
      <c r="B144" s="26" t="inlineStr">
        <is>
          <t>Ordnance</t>
        </is>
      </c>
      <c r="C144" s="49">
        <f>SUMIFS(JB_26BV,JB_B,1,JB_EX,"P-8a",JB_CC,"Ordnance",JB_H,"FFG",JB_CE,"MK 53 Decoy Launching System (DLS) (Nulka)- 4 Launcher",JB_RC,"ALT")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C4ISR</t>
        </is>
      </c>
      <c r="B149" s="26" t="inlineStr">
        <is>
          <t>Electronics</t>
        </is>
      </c>
      <c r="C149" s="49">
        <f>SUMIFS(JB_26BV,JB_B,1,JB_EX,"P-8a",JB_CC,"Electronics",JB_H,"LPD",JB_CE,"C4ISR",JB_RC,"ALT")</f>
        <v/>
      </c>
      <c r="D149" s="37">
        <f>IFERROR(C149/C$182,0)</f>
        <v/>
      </c>
    </row>
    <row r="150" ht="10" customHeight="1">
      <c r="A150" s="30" t="inlineStr">
        <is>
          <t>Mission Systems</t>
        </is>
      </c>
      <c r="B150" s="26" t="inlineStr">
        <is>
          <t>Electronics</t>
        </is>
      </c>
      <c r="C150" s="49">
        <f>SUMIFS(JB_26BV,JB_B,1,JB_EX,"P-8a",JB_CC,"Electronics",JB_H,"LPD",JB_CE,"Mission Systems",JB_RC,"ALT")</f>
        <v/>
      </c>
      <c r="D150" s="37">
        <f>IFERROR(C150/C$182,0)</f>
        <v/>
      </c>
    </row>
    <row r="151" ht="10" customHeight="1">
      <c r="A151" s="30" t="inlineStr">
        <is>
          <t>Miscellaneous Electronics</t>
        </is>
      </c>
      <c r="B151" s="26" t="inlineStr">
        <is>
          <t>Electronics</t>
        </is>
      </c>
      <c r="C151" s="49">
        <f>SUMIFS(JB_26BV,JB_B,1,JB_EX,"P-8a",JB_CC,"Electronics",JB_H,"LPD",JB_CE,"Miscellaneous Electronics",JB_RC,"ALT")</f>
        <v/>
      </c>
      <c r="D151" s="37">
        <f>IFERROR(C151/C$182,0)</f>
        <v/>
      </c>
    </row>
    <row r="152" ht="10" customHeight="1">
      <c r="A152" s="30" t="inlineStr">
        <is>
          <t>Ship Self Defense System (SSDS)</t>
        </is>
      </c>
      <c r="B152" s="26" t="inlineStr">
        <is>
          <t>Electronics</t>
        </is>
      </c>
      <c r="C152" s="49">
        <f>SUMIFS(JB_26BV,JB_B,1,JB_EX,"P-8a",JB_CC,"Electronics",JB_H,"LPD",JB_CE,"Ship Self Defense System (SSDS)",JB_RC,"ALT")</f>
        <v/>
      </c>
      <c r="D152" s="37">
        <f>IFERROR(C152/C$182,0)</f>
        <v/>
      </c>
    </row>
    <row r="153" ht="10" customHeight="1">
      <c r="A153" s="30" t="inlineStr">
        <is>
          <t>AN/SLQ-32(V)6 Surface Electronic Warfare Improvement Program (SEWIP)</t>
        </is>
      </c>
      <c r="B153" s="26" t="inlineStr">
        <is>
          <t>Electronics</t>
        </is>
      </c>
      <c r="C153" s="49">
        <f>SUMIFS(JB_26BV,JB_B,1,JB_EX,"P-8a",JB_CC,"Electronics",JB_H,"LPD",JB_CE,"AN/SLQ-32(V)6 Surface Electronic Warfare Improvement Program (SEWIP)",JB_RC,"ALT")</f>
        <v/>
      </c>
      <c r="D153" s="37">
        <f>IFERROR(C153/C$182,0)</f>
        <v/>
      </c>
    </row>
    <row r="154" ht="10" customHeight="1">
      <c r="A154" s="30" t="inlineStr">
        <is>
          <t>Cooperative Engagement Capability (CEC)</t>
        </is>
      </c>
      <c r="B154" s="26" t="inlineStr">
        <is>
          <t>Electronics</t>
        </is>
      </c>
      <c r="C154" s="49">
        <f>SUMIFS(JB_26BV,JB_B,1,JB_EX,"P-8a",JB_CC,"Electronics",JB_H,"LPD",JB_CE,"Cooperative Engagement Capability (CEC)",JB_RC,"ALT")</f>
        <v/>
      </c>
      <c r="D154" s="37">
        <f>IFERROR(C154/C$182,0)</f>
        <v/>
      </c>
    </row>
    <row r="155" ht="10" customHeight="1">
      <c r="A155" s="30" t="inlineStr">
        <is>
          <t>Interrogator System IFF (Identification Friend or Foe)</t>
        </is>
      </c>
      <c r="B155" s="26" t="inlineStr">
        <is>
          <t>Electronics</t>
        </is>
      </c>
      <c r="C155" s="49">
        <f>SUMIFS(JB_26BV,JB_B,1,JB_EX,"P-8a",JB_CC,"Electronics",JB_H,"LPD",JB_CE,"Interrogator System IFF (Identification Friend or Foe)",JB_RC,"ALT")</f>
        <v/>
      </c>
      <c r="D155" s="37">
        <f>IFERROR(C155/C$182,0)</f>
        <v/>
      </c>
    </row>
    <row r="156" ht="10" customHeight="1">
      <c r="A156" s="30" t="inlineStr">
        <is>
          <t>IWS CSI</t>
        </is>
      </c>
      <c r="B156" s="26" t="inlineStr">
        <is>
          <t>Electronics</t>
        </is>
      </c>
      <c r="C156" s="49">
        <f>SUMIFS(JB_26BV,JB_B,1,JB_EX,"P-8a",JB_CC,"Electronics",JB_H,"LPD",JB_CE,"IWS CSI",JB_RC,"ALT")</f>
        <v/>
      </c>
      <c r="D156" s="37">
        <f>IFERROR(C156/C$182,0)</f>
        <v/>
      </c>
    </row>
    <row r="157" ht="10" customHeight="1">
      <c r="A157" s="30" t="inlineStr">
        <is>
          <t>AN/WSN-7(RLGN)</t>
        </is>
      </c>
      <c r="B157" s="26" t="inlineStr">
        <is>
          <t>Electronics</t>
        </is>
      </c>
      <c r="C157" s="49">
        <f>SUMIFS(JB_26BV,JB_B,1,JB_EX,"P-8a",JB_CC,"Electronics",JB_H,"LPD",JB_CE,"AN/WSN-7(RLGN)",JB_RC,"ALT")</f>
        <v/>
      </c>
      <c r="D157" s="37">
        <f>IFERROR(C157/C$182,0)</f>
        <v/>
      </c>
    </row>
    <row r="158" ht="10" customHeight="1">
      <c r="A158" s="30" t="inlineStr">
        <is>
          <t>HM&amp;E Condition System (HMECS)</t>
        </is>
      </c>
      <c r="B158" s="26" t="inlineStr">
        <is>
          <t>Electronics</t>
        </is>
      </c>
      <c r="C158" s="49">
        <f>SUMIFS(JB_26BV,JB_B,1,JB_EX,"P-8a",JB_CC,"Electronics",JB_H,"LPD",JB_CE,"HM&amp;E Condition System (HMECS)",JB_RC,"ALT")</f>
        <v/>
      </c>
      <c r="D158" s="37">
        <f>IFERROR(C158/C$182,0)</f>
        <v/>
      </c>
    </row>
    <row r="159" ht="10" customHeight="1">
      <c r="A159" s="30" t="inlineStr">
        <is>
          <t>Electronic Charting Display and Information Systems-Navy (ECDIS-N)</t>
        </is>
      </c>
      <c r="B159" s="26" t="inlineStr">
        <is>
          <t>Electronics</t>
        </is>
      </c>
      <c r="C159" s="49">
        <f>SUMIFS(JB_26BV,JB_B,1,JB_EX,"P-8a",JB_CC,"Electronics",JB_H,"LPD",JB_CE,"Electronic Charting Display and Information Systems-Navy (ECDIS-N)",JB_RC,"ALT")</f>
        <v/>
      </c>
      <c r="D159" s="37">
        <f>IFERROR(C159/C$182,0)</f>
        <v/>
      </c>
    </row>
    <row r="160" ht="10" customHeight="1">
      <c r="A160" s="30" t="inlineStr">
        <is>
          <t>Nulka Decoy Launching System (DLS)</t>
        </is>
      </c>
      <c r="B160" s="26" t="inlineStr">
        <is>
          <t>Electronics</t>
        </is>
      </c>
      <c r="C160" s="49">
        <f>SUMIFS(JB_26BV,JB_B,1,JB_EX,"P-8a",JB_CC,"Electronics",JB_H,"LPD",JB_CE,"Nulka Decoy Launching System (DLS)",JB_RC,"ALT")</f>
        <v/>
      </c>
      <c r="D160" s="37">
        <f>IFERROR(C160/C$182,0)</f>
        <v/>
      </c>
    </row>
    <row r="161" ht="10" customHeight="1">
      <c r="A161" s="30" t="inlineStr">
        <is>
          <t>Advanced Training Domain (ATD)</t>
        </is>
      </c>
      <c r="B161" s="26" t="inlineStr">
        <is>
          <t>Electronics</t>
        </is>
      </c>
      <c r="C161" s="49">
        <f>SUMIFS(JB_26BV,JB_B,1,JB_EX,"P-8a",JB_CC,"Electronics",JB_H,"LPD",JB_CE,"Advanced Training Domain (ATD)",JB_RC,"ALT")</f>
        <v/>
      </c>
      <c r="D161" s="37">
        <f>IFERROR(C161/C$182,0)</f>
        <v/>
      </c>
    </row>
    <row r="162" ht="10" customHeight="1">
      <c r="A162" s="30" t="inlineStr">
        <is>
          <t>Amphibious Assault Direction System (AADS)</t>
        </is>
      </c>
      <c r="B162" s="26" t="inlineStr">
        <is>
          <t>Electronics</t>
        </is>
      </c>
      <c r="C162" s="49">
        <f>SUMIFS(JB_26BV,JB_B,1,JB_EX,"P-8a",JB_CC,"Electronics",JB_H,"LPD",JB_CE,"Amphibious Assault Direction System (AADS)",JB_RC,"ALT")</f>
        <v/>
      </c>
      <c r="D162" s="37">
        <f>IFERROR(C162/C$182,0)</f>
        <v/>
      </c>
    </row>
    <row r="163" ht="10" customHeight="1">
      <c r="A163" s="30" t="inlineStr">
        <is>
          <t>DHYSL</t>
        </is>
      </c>
      <c r="B163" s="26" t="inlineStr">
        <is>
          <t>Electronics</t>
        </is>
      </c>
      <c r="C163" s="49">
        <f>SUMIFS(JB_26BV,JB_B,1,JB_EX,"P-8a",JB_CC,"Electronics",JB_H,"LPD",JB_CE,"DHYSL",JB_RC,"ALT")</f>
        <v/>
      </c>
      <c r="D163" s="37">
        <f>IFERROR(C163/C$182,0)</f>
        <v/>
      </c>
    </row>
    <row r="164" ht="10" customHeight="1">
      <c r="A164" s="30" t="inlineStr">
        <is>
          <t>AN/UQN-10</t>
        </is>
      </c>
      <c r="B164" s="26" t="inlineStr">
        <is>
          <t>Electronics</t>
        </is>
      </c>
      <c r="C164" s="49">
        <f>SUMIFS(JB_26BV,JB_B,1,JB_EX,"P-8a",JB_CC,"Electronics",JB_H,"LPD",JB_CE,"AN/UQN-10",JB_RC,"ALT")</f>
        <v/>
      </c>
      <c r="D164" s="37">
        <f>IFERROR(C164/C$182,0)</f>
        <v/>
      </c>
    </row>
    <row r="165" ht="10" customHeight="1">
      <c r="A165" s="30" t="inlineStr">
        <is>
          <t>RADIAC</t>
        </is>
      </c>
      <c r="B165" s="26" t="inlineStr">
        <is>
          <t>Electronics</t>
        </is>
      </c>
      <c r="C165" s="49">
        <f>SUMIFS(JB_26BV,JB_B,1,JB_EX,"P-8a",JB_CC,"Electronics",JB_H,"LPD",JB_CE,"RADIAC",JB_RC,"ALT")</f>
        <v/>
      </c>
      <c r="D165" s="37">
        <f>IFERROR(C165/C$182,0)</f>
        <v/>
      </c>
    </row>
    <row r="166" ht="10" customHeight="1">
      <c r="A166" s="30" t="inlineStr">
        <is>
          <t>Unclassified Video System (UVS)</t>
        </is>
      </c>
      <c r="B166" s="26" t="inlineStr">
        <is>
          <t>Hull, Mechanical, and Electrical</t>
        </is>
      </c>
      <c r="C166" s="49">
        <f>SUMIFS(JB_26BV,JB_B,1,JB_EX,"P-8a",JB_CC,"Hull, Mechanical, and Electrical",JB_H,"LPD",JB_CE,"Unclassified Video System (UVS)",JB_RC,"ALT")</f>
        <v/>
      </c>
      <c r="D166" s="37">
        <f>IFERROR(C166/C$182,0)</f>
        <v/>
      </c>
    </row>
    <row r="167" ht="10" customHeight="1">
      <c r="A167" s="30" t="inlineStr">
        <is>
          <t>Forklift Trucks</t>
        </is>
      </c>
      <c r="B167" s="26" t="inlineStr">
        <is>
          <t>Hull, Mechanical, and Electrical</t>
        </is>
      </c>
      <c r="C167" s="49">
        <f>SUMIFS(JB_26BV,JB_B,1,JB_EX,"P-8a",JB_CC,"Hull, Mechanical, and Electrical",JB_H,"LPD",JB_CE,"Forklift Trucks",JB_RC,"ALT")</f>
        <v/>
      </c>
      <c r="D167" s="37">
        <f>IFERROR(C167/C$182,0)</f>
        <v/>
      </c>
    </row>
    <row r="168" ht="10" customHeight="1">
      <c r="A168" s="30" t="inlineStr">
        <is>
          <t>Chemical Warfare Detectors</t>
        </is>
      </c>
      <c r="B168" s="26" t="inlineStr">
        <is>
          <t>Hull, Mechanical, and Electrical</t>
        </is>
      </c>
      <c r="C168" s="49">
        <f>SUMIFS(JB_26BV,JB_B,1,JB_EX,"P-8a",JB_CC,"Hull, Mechanical, and Electrical",JB_H,"LPD",JB_CE,"Chemical Warfare Detectors",JB_RC,"ALT")</f>
        <v/>
      </c>
      <c r="D168" s="37">
        <f>IFERROR(C168/C$182,0)</f>
        <v/>
      </c>
    </row>
    <row r="169" ht="10" customHeight="1">
      <c r="A169" s="30" t="inlineStr">
        <is>
          <t>Motor Operated Pilot Valve (MOPV)</t>
        </is>
      </c>
      <c r="B169" s="26" t="inlineStr">
        <is>
          <t>Hull, Mechanical, and Electrical</t>
        </is>
      </c>
      <c r="C169" s="49">
        <f>SUMIFS(JB_26BV,JB_B,1,JB_EX,"P-8a",JB_CC,"Hull, Mechanical, and Electrical",JB_H,"LPD",JB_CE,"Motor Operated Pilot Valve (MOPV)",JB_RC,"ALT")</f>
        <v/>
      </c>
      <c r="D169" s="37">
        <f>IFERROR(C169/C$182,0)</f>
        <v/>
      </c>
    </row>
    <row r="170" ht="10" customHeight="1">
      <c r="A170" s="30" t="inlineStr">
        <is>
          <t>Plastic Waste Processing EQP</t>
        </is>
      </c>
      <c r="B170" s="26" t="inlineStr">
        <is>
          <t>Hull, Mechanical, and Electrical</t>
        </is>
      </c>
      <c r="C170" s="49">
        <f>SUMIFS(JB_26BV,JB_B,1,JB_EX,"P-8a",JB_CC,"Hull, Mechanical, and Electrical",JB_H,"LPD",JB_CE,"Plastic Waste Processing EQP",JB_RC,"ALT")</f>
        <v/>
      </c>
      <c r="D170" s="37">
        <f>IFERROR(C170/C$182,0)</f>
        <v/>
      </c>
    </row>
    <row r="171" ht="10" customHeight="1">
      <c r="A171" s="30" t="inlineStr">
        <is>
          <t>Boats (Rigid Inflatable Boat, 7 meter)</t>
        </is>
      </c>
      <c r="B171" s="26" t="inlineStr">
        <is>
          <t>Hull, Mechanical, and Electrical</t>
        </is>
      </c>
      <c r="C171" s="49">
        <f>SUMIFS(JB_26BV,JB_B,1,JB_EX,"P-8a",JB_CC,"Hull, Mechanical, and Electrical",JB_H,"LPD",JB_CE,"Boats (Rigid Inflatable Boat, 7 meter)",JB_RC,"ALT")</f>
        <v/>
      </c>
      <c r="D171" s="37">
        <f>IFERROR(C171/C$182,0)</f>
        <v/>
      </c>
    </row>
    <row r="172" ht="10" customHeight="1">
      <c r="A172" s="30" t="inlineStr">
        <is>
          <t>Military Payroll System</t>
        </is>
      </c>
      <c r="B172" s="26" t="inlineStr">
        <is>
          <t>Hull, Mechanical, and Electrical</t>
        </is>
      </c>
      <c r="C172" s="49">
        <f>SUMIFS(JB_26BV,JB_B,1,JB_EX,"P-8a",JB_CC,"Hull, Mechanical, and Electrical",JB_H,"LPD",JB_CE,"Military Payroll System",JB_RC,"ALT")</f>
        <v/>
      </c>
      <c r="D172" s="37">
        <f>IFERROR(C172/C$182,0)</f>
        <v/>
      </c>
    </row>
    <row r="173" ht="10" customHeight="1">
      <c r="A173" s="30" t="inlineStr">
        <is>
          <t>Oily Water Separator</t>
        </is>
      </c>
      <c r="B173" s="26" t="inlineStr">
        <is>
          <t>Hull, Mechanical, and Electrical</t>
        </is>
      </c>
      <c r="C173" s="49">
        <f>SUMIFS(JB_26BV,JB_B,1,JB_EX,"P-8a",JB_CC,"Hull, Mechanical, and Electrical",JB_H,"LPD",JB_CE,"Oily Water Separator",JB_RC,"ALT")</f>
        <v/>
      </c>
      <c r="D173" s="37">
        <f>IFERROR(C173/C$182,0)</f>
        <v/>
      </c>
    </row>
    <row r="174" ht="10" customHeight="1">
      <c r="A174" s="30" t="inlineStr">
        <is>
          <t>EASR</t>
        </is>
      </c>
      <c r="B174" s="26" t="inlineStr">
        <is>
          <t>Ordnance</t>
        </is>
      </c>
      <c r="C174" s="49">
        <f>SUMIFS(JB_26BV,JB_B,1,JB_EX,"P-8a",JB_CC,"Ordnance",JB_H,"LPD",JB_CE,"EASR",JB_RC,"ALT")</f>
        <v/>
      </c>
      <c r="D174" s="37">
        <f>IFERROR(C174/C$182,0)</f>
        <v/>
      </c>
    </row>
    <row r="175" ht="10" customHeight="1">
      <c r="A175" s="30" t="inlineStr">
        <is>
          <t>RAM BLOCK II</t>
        </is>
      </c>
      <c r="B175" s="26" t="inlineStr">
        <is>
          <t>Ordnance</t>
        </is>
      </c>
      <c r="C175" s="49">
        <f>SUMIFS(JB_26BV,JB_B,1,JB_EX,"P-8a",JB_CC,"Ordnance",JB_H,"LPD",JB_CE,"RAM BLOCK II",JB_RC,"ALT")</f>
        <v/>
      </c>
      <c r="D175" s="37">
        <f>IFERROR(C175/C$182,0)</f>
        <v/>
      </c>
    </row>
    <row r="176" ht="10" customHeight="1">
      <c r="A176" s="30" t="inlineStr">
        <is>
          <t>MISCELLANEOUS ORDNANCE</t>
        </is>
      </c>
      <c r="B176" s="26" t="inlineStr">
        <is>
          <t>Ordnance</t>
        </is>
      </c>
      <c r="C176" s="49">
        <f>SUMIFS(JB_26BV,JB_B,1,JB_EX,"P-8a",JB_CC,"Ordnance",JB_H,"LPD",JB_CE,"MISCELLANEOUS ORDNANCE",JB_RC,"ALT")</f>
        <v/>
      </c>
      <c r="D176" s="37">
        <f>IFERROR(C176/C$182,0)</f>
        <v/>
      </c>
    </row>
    <row r="177" ht="10" customHeight="1">
      <c r="A177" s="30" t="inlineStr">
        <is>
          <t>MK 46 GUN</t>
        </is>
      </c>
      <c r="B177" s="26" t="inlineStr">
        <is>
          <t>Ordnance</t>
        </is>
      </c>
      <c r="C177" s="49">
        <f>SUMIFS(JB_26BV,JB_B,1,JB_EX,"P-8a",JB_CC,"Ordnance",JB_H,"LPD",JB_CE,"MK 46 GUN",JB_RC,"ALT")</f>
        <v/>
      </c>
      <c r="D177" s="37">
        <f>IFERROR(C177/C$182,0)</f>
        <v/>
      </c>
    </row>
    <row r="178" ht="10" customHeight="1">
      <c r="A178" s="30" t="inlineStr">
        <is>
          <t>AN/SPQ-9B Radar Set</t>
        </is>
      </c>
      <c r="B178" s="26" t="inlineStr">
        <is>
          <t>Ordnance</t>
        </is>
      </c>
      <c r="C178" s="49">
        <f>SUMIFS(JB_26BV,JB_B,1,JB_EX,"P-8a",JB_CC,"Ordnance",JB_H,"LPD",JB_CE,"AN/SPQ-9B Radar Set",JB_RC,"ALT")</f>
        <v/>
      </c>
      <c r="D178" s="37">
        <f>IFERROR(C178/C$182,0)</f>
        <v/>
      </c>
    </row>
    <row r="179" ht="10" customHeight="1">
      <c r="A179" s="30" t="inlineStr">
        <is>
          <t>ASGSI/HOSS/MWS Fit Control &amp; Inst Land Sys</t>
        </is>
      </c>
      <c r="B179" s="26" t="inlineStr">
        <is>
          <t>Ordnance</t>
        </is>
      </c>
      <c r="C179" s="49">
        <f>SUMIFS(JB_26BV,JB_B,1,JB_EX,"P-8a",JB_CC,"Ordnance",JB_H,"LPD",JB_CE,"ASGSI/HOSS/MWS Fit Control &amp; Inst Land Sys",JB_RC,"ALT")</f>
        <v/>
      </c>
      <c r="D179" s="37">
        <f>IFERROR(C179/C$182,0)</f>
        <v/>
      </c>
    </row>
    <row r="180" ht="10" customHeight="1">
      <c r="A180" s="30" t="inlineStr">
        <is>
          <t>Next Generation Surface Search Radar (NGSSR)</t>
        </is>
      </c>
      <c r="B180" s="26" t="inlineStr">
        <is>
          <t>Ordnance</t>
        </is>
      </c>
      <c r="C180" s="49">
        <f>SUMIFS(JB_26BV,JB_B,1,JB_EX,"P-8a",JB_CC,"Ordnance",JB_H,"LPD",JB_CE,"Next Generation Surface Search Radar (NGSSR)",JB_RC,"ALT")</f>
        <v/>
      </c>
      <c r="D180" s="37">
        <f>IFERROR(C180/C$182,0)</f>
        <v/>
      </c>
    </row>
    <row r="181" ht="10" customHeight="1">
      <c r="A181" s="30" t="inlineStr">
        <is>
          <t>ORDNANCE HANDLING EQUIPMENT</t>
        </is>
      </c>
      <c r="B181" s="26" t="inlineStr">
        <is>
          <t>Ordnance</t>
        </is>
      </c>
      <c r="C181" s="49">
        <f>SUMIFS(JB_26BV,JB_B,1,JB_EX,"P-8a",JB_CC,"Ordnance",JB_H,"LPD",JB_CE,"ORDNANCE HANDLING EQUIPMENT",JB_RC,"ALT")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49">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49">
        <f>SUMIFS(JB_26BV,JB_B,1,JB_EX,"P-8a",JB_CC,"Electronics",JB_H,"T-AO",JB_CE,"Minor Systems",JB_RC,"ALT")</f>
        <v/>
      </c>
      <c r="D193" s="37">
        <f>IFERROR(C193/C$206,0)</f>
        <v/>
      </c>
    </row>
    <row r="194" ht="10" customHeight="1">
      <c r="A194" s="30" t="inlineStr">
        <is>
          <t>Radio Communication System (RCS) TURNKEY</t>
        </is>
      </c>
      <c r="B194" s="26" t="inlineStr">
        <is>
          <t>Electronics</t>
        </is>
      </c>
      <c r="C194" s="49">
        <f>SUMIFS(JB_26BV,JB_B,1,JB_EX,"P-8a",JB_CC,"Electronics",JB_H,"T-AO",JB_CE,"Radio Communication System (RCS) TURNKEY",JB_RC,"ALT")</f>
        <v/>
      </c>
      <c r="D194" s="37">
        <f>IFERROR(C194/C$206,0)</f>
        <v/>
      </c>
    </row>
    <row r="195" ht="10" customHeight="1">
      <c r="A195" s="30" t="inlineStr">
        <is>
          <t>AN/SLQ-25 NIXIE</t>
        </is>
      </c>
      <c r="B195" s="26" t="inlineStr">
        <is>
          <t>Electronics</t>
        </is>
      </c>
      <c r="C195" s="49">
        <f>SUMIFS(JB_26BV,JB_B,1,JB_EX,"P-8a",JB_CC,"Electronics",JB_H,"T-AO",JB_CE,"AN/SLQ-25 NIXIE",JB_RC,"ALT")</f>
        <v/>
      </c>
      <c r="D195" s="37">
        <f>IFERROR(C195/C$206,0)</f>
        <v/>
      </c>
    </row>
    <row r="196" ht="10" customHeight="1">
      <c r="A196" s="30" t="inlineStr">
        <is>
          <t>Digital Modular Radio (DMR)</t>
        </is>
      </c>
      <c r="B196" s="26" t="inlineStr">
        <is>
          <t>Electronics</t>
        </is>
      </c>
      <c r="C196" s="49">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49">
        <f>SUMIFS(JB_26BV,JB_B,1,JB_EX,"P-8a",JB_CC,"Electronics",JB_H,"T-AO",JB_CE,"Commercial Broadband Satellite Program (CBSP)",JB_RC,"ALT")</f>
        <v/>
      </c>
      <c r="D197" s="37">
        <f>IFERROR(C197/C$206,0)</f>
        <v/>
      </c>
    </row>
    <row r="198" ht="10" customHeight="1">
      <c r="A198" s="30" t="inlineStr">
        <is>
          <t>OA-9277A</t>
        </is>
      </c>
      <c r="B198" s="26" t="inlineStr">
        <is>
          <t>Electronics</t>
        </is>
      </c>
      <c r="C198" s="49">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49">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49">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49">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49">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49">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49">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49">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High Speed Transport</t>
        </is>
      </c>
      <c r="B35" s="30" t="inlineStr">
        <is>
          <t>USN</t>
        </is>
      </c>
      <c r="C35"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5" s="37">
        <f>IFERROR(C35/C$55,0)</f>
        <v/>
      </c>
    </row>
    <row r="36" ht="10" customHeight="1">
      <c r="A36" s="30" t="inlineStr">
        <is>
          <t>Salvage Ships &amp; Fleet Ocean Tugs</t>
        </is>
      </c>
      <c r="B36" s="30" t="inlineStr">
        <is>
          <t>MSC</t>
        </is>
      </c>
      <c r="C36"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6" s="37">
        <f>IFERROR(C36/C$55,0)</f>
        <v/>
      </c>
    </row>
    <row r="37" ht="10" customHeight="1">
      <c r="A37" s="30" t="inlineStr">
        <is>
          <t>Unmanned Undersea Vehicles</t>
        </is>
      </c>
      <c r="B37" s="30" t="inlineStr">
        <is>
          <t>USN</t>
        </is>
      </c>
      <c r="C37"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7" s="37">
        <f>IFERROR(C37/C$55,0)</f>
        <v/>
      </c>
    </row>
    <row r="38" ht="10" customHeight="1">
      <c r="A38" s="30" t="inlineStr">
        <is>
          <t>Cargo &amp; Vehicle Cargo Ships</t>
        </is>
      </c>
      <c r="B38" s="30" t="inlineStr">
        <is>
          <t>USN</t>
        </is>
      </c>
      <c r="C38"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8" s="37">
        <f>IFERROR(C38/C$55,0)</f>
        <v/>
      </c>
    </row>
    <row r="39" ht="10" customHeight="1">
      <c r="A39" s="30" t="inlineStr">
        <is>
          <t>Aviation Logistics Support Ship</t>
        </is>
      </c>
      <c r="B39" s="30" t="inlineStr">
        <is>
          <t>USN</t>
        </is>
      </c>
      <c r="C39"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9" s="37">
        <f>IFERROR(C39/C$55,0)</f>
        <v/>
      </c>
    </row>
    <row r="40" ht="10" customHeight="1">
      <c r="A40" s="30" t="inlineStr">
        <is>
          <t>Research, Survey &amp; Instrumentation Ships</t>
        </is>
      </c>
      <c r="B40" s="30" t="inlineStr">
        <is>
          <t>MSC</t>
        </is>
      </c>
      <c r="C40"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0" s="37">
        <f>IFERROR(C40/C$55,0)</f>
        <v/>
      </c>
    </row>
    <row r="41" ht="10" customHeight="1">
      <c r="A41" s="30" t="inlineStr">
        <is>
          <t>Crane Ship</t>
        </is>
      </c>
      <c r="B41" s="30" t="inlineStr">
        <is>
          <t>USN</t>
        </is>
      </c>
      <c r="C41" s="31">
        <f>SUMIFS(JB_26BV,JB_B,2,JB_W,"Crane Ship",JB_RC,"ADD")+SUMIFS(JB_26BV,JB_B,3,JB_W,"Crane Ship",JB_RC,"ADD")+SUMIFS(JB_26BV,JB_B,4,JB_W,"Crane Ship",JB_RC,"ADD")+SUMIFS(JB_26BV,JB_B,5,JB_W,"Crane Ship",JB_RC,"ADD")+SUMIFS(JB_26BV,JB_B,6,JB_W,"Crane Ship",JB_RC,"ADD")+SUMIFS(JB_26BV,JB_B,7,JB_W,"Crane Ship",JB_RC,"ADD")</f>
        <v/>
      </c>
      <c r="D41" s="37">
        <f>IFERROR(C41/C$55,0)</f>
        <v/>
      </c>
    </row>
    <row r="42" ht="10" customHeight="1">
      <c r="A42" s="30" t="inlineStr">
        <is>
          <t>Submarine Escort Ship</t>
        </is>
      </c>
      <c r="B42" s="30" t="inlineStr">
        <is>
          <t>USN</t>
        </is>
      </c>
      <c r="C42"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2" s="37">
        <f>IFERROR(C42/C$55,0)</f>
        <v/>
      </c>
    </row>
    <row r="43" ht="10" customHeight="1">
      <c r="A43" s="30" t="inlineStr">
        <is>
          <t>General Auxiliary</t>
        </is>
      </c>
      <c r="B43" s="30" t="inlineStr">
        <is>
          <t>USN</t>
        </is>
      </c>
      <c r="C43"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3" s="37">
        <f>IFERROR(C43/C$55,0)</f>
        <v/>
      </c>
    </row>
    <row r="44" ht="10" customHeight="1">
      <c r="A44" s="30" t="inlineStr">
        <is>
          <t>Hospital Ship</t>
        </is>
      </c>
      <c r="B44" s="30" t="inlineStr">
        <is>
          <t>MSC</t>
        </is>
      </c>
      <c r="C44" s="31">
        <f>SUMIFS(JB_26BV,JB_B,2,JB_W,"Hospital Ship",JB_RC,"ADD")+SUMIFS(JB_26BV,JB_B,3,JB_W,"Hospital Ship",JB_RC,"ADD")+SUMIFS(JB_26BV,JB_B,4,JB_W,"Hospital Ship",JB_RC,"ADD")+SUMIFS(JB_26BV,JB_B,5,JB_W,"Hospital Ship",JB_RC,"ADD")+SUMIFS(JB_26BV,JB_B,6,JB_W,"Hospital Ship",JB_RC,"ADD")+SUMIFS(JB_26BV,JB_B,7,JB_W,"Hospital Ship",JB_RC,"ADD")</f>
        <v/>
      </c>
      <c r="D44" s="37">
        <f>IFERROR(C44/C$55,0)</f>
        <v/>
      </c>
    </row>
    <row r="45" ht="10" customHeight="1">
      <c r="A45" s="30" t="inlineStr">
        <is>
          <t>Material Support Ships</t>
        </is>
      </c>
      <c r="B45" s="30" t="inlineStr">
        <is>
          <t>USN</t>
        </is>
      </c>
      <c r="C45"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5" s="37">
        <f>IFERROR(C45/C$55,0)</f>
        <v/>
      </c>
    </row>
    <row r="46" ht="10" customHeight="1">
      <c r="A46" s="30" t="inlineStr">
        <is>
          <t>Combat Logistics Ships</t>
        </is>
      </c>
      <c r="B46" s="30" t="inlineStr">
        <is>
          <t>MSC</t>
        </is>
      </c>
      <c r="C4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6" s="37">
        <f>IFERROR(C46/C$55,0)</f>
        <v/>
      </c>
    </row>
    <row r="47" ht="10" customHeight="1">
      <c r="A47" s="30" t="inlineStr">
        <is>
          <t>Unmanned Surface Vehicles</t>
        </is>
      </c>
      <c r="B47" s="30" t="inlineStr">
        <is>
          <t>USN</t>
        </is>
      </c>
      <c r="C47"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Fast Response Cutters</t>
        </is>
      </c>
      <c r="B49" s="30" t="inlineStr">
        <is>
          <t>USCG</t>
        </is>
      </c>
      <c r="C49"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49" s="37">
        <f>IFERROR(C49/C$55,0)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IFERROR(C50/C$55,0)</f>
        <v/>
      </c>
    </row>
    <row r="51" ht="10" customHeight="1">
      <c r="A51" s="30" t="inlineStr">
        <is>
          <t>Waterways Commerce Cutters</t>
        </is>
      </c>
      <c r="B51" s="30" t="inlineStr">
        <is>
          <t>USCG</t>
        </is>
      </c>
      <c r="C51"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1" s="37">
        <f>IFERROR(C51/C$55,0)</f>
        <v/>
      </c>
    </row>
    <row r="52" ht="10" customHeight="1">
      <c r="A52" s="30" t="inlineStr">
        <is>
          <t>Coastal Buoy Tenders</t>
        </is>
      </c>
      <c r="B52" s="30" t="inlineStr">
        <is>
          <t>USCG</t>
        </is>
      </c>
      <c r="C52"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2" s="37">
        <f>IFERROR(C52/C$55,0)</f>
        <v/>
      </c>
    </row>
    <row r="53" ht="10" customHeight="1">
      <c r="A53" s="30" t="inlineStr">
        <is>
          <t>Icebreakers, Oceangoing</t>
        </is>
      </c>
      <c r="B53" s="30" t="inlineStr">
        <is>
          <t>USCG</t>
        </is>
      </c>
      <c r="C53"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3" s="37">
        <f>IFERROR(C53/C$55,0)</f>
        <v/>
      </c>
    </row>
    <row r="54" ht="10" customHeight="1">
      <c r="A54" s="30" t="inlineStr">
        <is>
          <t>Offshore Patrol Cutter</t>
        </is>
      </c>
      <c r="B54" s="30" t="inlineStr">
        <is>
          <t>USCG</t>
        </is>
      </c>
      <c r="C54"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O8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9">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Cargo &amp; Vehicle Cargo Ships</t>
        </is>
      </c>
      <c r="B21" s="30" t="inlineStr">
        <is>
          <t>USN</t>
        </is>
      </c>
      <c r="C21" s="31">
        <f>SUMIFS(JB_26BV,JB_B,2,JB_W,"Cargo &amp; Vehicle Cargo Ships",JB_RC,"ADD")</f>
        <v/>
      </c>
      <c r="D21" s="31">
        <f>SUMIFS(JB_26BV,JB_B,4,JB_W,"Cargo &amp; Vehicle Cargo Ships",JB_RC,"ADD")</f>
        <v/>
      </c>
      <c r="E21" s="31">
        <f>C21+D21</f>
        <v/>
      </c>
      <c r="F21" s="37">
        <f>IFERROR(E21/E$40,0)</f>
        <v/>
      </c>
    </row>
    <row r="22" ht="10" customHeight="1">
      <c r="A22" s="30" t="inlineStr">
        <is>
          <t>High Speed Transport</t>
        </is>
      </c>
      <c r="B22" s="30" t="inlineStr">
        <is>
          <t>USN</t>
        </is>
      </c>
      <c r="C22" s="31">
        <f>SUMIFS(JB_26BV,JB_B,2,JB_W,"High Speed Transport",JB_RC,"ADD")</f>
        <v/>
      </c>
      <c r="D22" s="31">
        <f>SUMIFS(JB_26BV,JB_B,4,JB_W,"High Speed Transport",JB_RC,"ADD")</f>
        <v/>
      </c>
      <c r="E22" s="31">
        <f>C22+D22</f>
        <v/>
      </c>
      <c r="F22" s="37">
        <f>IFERROR(E22/E$40,0)</f>
        <v/>
      </c>
    </row>
    <row r="23" ht="10" customHeight="1">
      <c r="A23" s="30" t="inlineStr">
        <is>
          <t>Research, Survey &amp; Instrumentation Ships</t>
        </is>
      </c>
      <c r="B23" s="30" t="inlineStr">
        <is>
          <t>MSC</t>
        </is>
      </c>
      <c r="C23" s="31">
        <f>SUMIFS(JB_26BV,JB_B,2,JB_W,"Research, Survey &amp; Instrumentation Ships",JB_RC,"ADD")</f>
        <v/>
      </c>
      <c r="D23" s="31">
        <f>SUMIFS(JB_26BV,JB_B,4,JB_W,"Research, Survey &amp; Instrumentation Ships",JB_RC,"ADD")</f>
        <v/>
      </c>
      <c r="E23" s="31">
        <f>C23+D23</f>
        <v/>
      </c>
      <c r="F23" s="37">
        <f>IFERROR(E23/E$40,0)</f>
        <v/>
      </c>
    </row>
    <row r="24" ht="10" customHeight="1">
      <c r="A24" s="30" t="inlineStr">
        <is>
          <t>Crane Ship</t>
        </is>
      </c>
      <c r="B24" s="30" t="inlineStr">
        <is>
          <t>USN</t>
        </is>
      </c>
      <c r="C24" s="31">
        <f>SUMIFS(JB_26BV,JB_B,2,JB_W,"Crane Ship",JB_RC,"ADD")</f>
        <v/>
      </c>
      <c r="D24" s="31">
        <f>SUMIFS(JB_26BV,JB_B,4,JB_W,"Crane Ship",JB_RC,"ADD")</f>
        <v/>
      </c>
      <c r="E24" s="31">
        <f>C24+D24</f>
        <v/>
      </c>
      <c r="F24" s="37">
        <f>IFERROR(E24/E$40,0)</f>
        <v/>
      </c>
    </row>
    <row r="25" ht="10" customHeight="1">
      <c r="A25" s="30" t="inlineStr">
        <is>
          <t>Submarine Escort Ship</t>
        </is>
      </c>
      <c r="B25" s="30" t="inlineStr">
        <is>
          <t>USN</t>
        </is>
      </c>
      <c r="C25" s="31">
        <f>SUMIFS(JB_26BV,JB_B,2,JB_W,"Submarine Escort Ship",JB_RC,"ADD")</f>
        <v/>
      </c>
      <c r="D25" s="31">
        <f>SUMIFS(JB_26BV,JB_B,4,JB_W,"Submarine Escort Ship",JB_RC,"ADD")</f>
        <v/>
      </c>
      <c r="E25" s="31">
        <f>C25+D25</f>
        <v/>
      </c>
      <c r="F25" s="37">
        <f>IFERROR(E25/E$40,0)</f>
        <v/>
      </c>
    </row>
    <row r="26" ht="10" customHeight="1">
      <c r="A26" s="30" t="inlineStr">
        <is>
          <t>General Auxiliary</t>
        </is>
      </c>
      <c r="B26" s="30" t="inlineStr">
        <is>
          <t>USN</t>
        </is>
      </c>
      <c r="C26" s="31">
        <f>SUMIFS(JB_26BV,JB_B,2,JB_W,"General Auxiliary",JB_RC,"ADD")</f>
        <v/>
      </c>
      <c r="D26" s="31">
        <f>SUMIFS(JB_26BV,JB_B,4,JB_W,"General Auxiliary",JB_RC,"ADD")</f>
        <v/>
      </c>
      <c r="E26" s="31">
        <f>C26+D26</f>
        <v/>
      </c>
      <c r="F26" s="37">
        <f>IFERROR(E26/E$40,0)</f>
        <v/>
      </c>
    </row>
    <row r="27" ht="10" customHeight="1">
      <c r="A27" s="30" t="inlineStr">
        <is>
          <t>Hospital Ship</t>
        </is>
      </c>
      <c r="B27" s="30" t="inlineStr">
        <is>
          <t>MSC</t>
        </is>
      </c>
      <c r="C27" s="31">
        <f>SUMIFS(JB_26BV,JB_B,2,JB_W,"Hospital Ship",JB_RC,"ADD")</f>
        <v/>
      </c>
      <c r="D27" s="31">
        <f>SUMIFS(JB_26BV,JB_B,4,JB_W,"Hospital Ship",JB_RC,"ADD")</f>
        <v/>
      </c>
      <c r="E27" s="31">
        <f>C27+D27</f>
        <v/>
      </c>
      <c r="F27" s="37">
        <f>IFERROR(E27/E$40,0)</f>
        <v/>
      </c>
    </row>
    <row r="28" ht="10" customHeight="1">
      <c r="A28" s="30" t="inlineStr">
        <is>
          <t>Material Support Ships</t>
        </is>
      </c>
      <c r="B28" s="30" t="inlineStr">
        <is>
          <t>USN</t>
        </is>
      </c>
      <c r="C28" s="31">
        <f>SUMIFS(JB_26BV,JB_B,2,JB_W,"Material Support Ships",JB_RC,"ADD")</f>
        <v/>
      </c>
      <c r="D28" s="31">
        <f>SUMIFS(JB_26BV,JB_B,4,JB_W,"Material Support Ships",JB_RC,"ADD")</f>
        <v/>
      </c>
      <c r="E28" s="31">
        <f>C28+D28</f>
        <v/>
      </c>
      <c r="F28" s="37">
        <f>IFERROR(E28/E$40,0)</f>
        <v/>
      </c>
    </row>
    <row r="29" ht="10" customHeight="1">
      <c r="A29" s="30" t="inlineStr">
        <is>
          <t>Combat Logistics Ships</t>
        </is>
      </c>
      <c r="B29" s="30" t="inlineStr">
        <is>
          <t>MSC</t>
        </is>
      </c>
      <c r="C29" s="31">
        <f>SUMIFS(JB_26BV,JB_B,2,JB_W,"Combat Logistics Ships",JB_RC,"ADD")</f>
        <v/>
      </c>
      <c r="D29" s="31">
        <f>SUMIFS(JB_26BV,JB_B,4,JB_W,"Combat Logistics Ships",JB_RC,"ADD")</f>
        <v/>
      </c>
      <c r="E29" s="31">
        <f>C29+D29</f>
        <v/>
      </c>
      <c r="F29" s="37">
        <f>IFERROR(E29/E$40,0)</f>
        <v/>
      </c>
    </row>
    <row r="30" ht="10" customHeight="1">
      <c r="A30" s="30" t="inlineStr">
        <is>
          <t>Salvage Ships &amp; Fleet Ocean Tugs</t>
        </is>
      </c>
      <c r="B30" s="30" t="inlineStr">
        <is>
          <t>MSC</t>
        </is>
      </c>
      <c r="C30" s="31">
        <f>SUMIFS(JB_26BV,JB_B,2,JB_W,"Salvage Ships &amp; Fleet Ocean Tugs",JB_RC,"ADD")</f>
        <v/>
      </c>
      <c r="D30" s="31">
        <f>SUMIFS(JB_26BV,JB_B,4,JB_W,"Salvage Ships &amp; Fleet Ocean Tugs",JB_RC,"ADD")</f>
        <v/>
      </c>
      <c r="E30" s="31">
        <f>C30+D30</f>
        <v/>
      </c>
      <c r="F30" s="37">
        <f>IFERROR(E30/E$40,0)</f>
        <v/>
      </c>
    </row>
    <row r="31" ht="10" customHeight="1">
      <c r="A31" s="30" t="inlineStr">
        <is>
          <t>Unmanned Surface Vehicles</t>
        </is>
      </c>
      <c r="B31" s="30" t="inlineStr">
        <is>
          <t>USN</t>
        </is>
      </c>
      <c r="C31" s="31">
        <f>SUMIFS(JB_26BV,JB_B,2,JB_W,"Unmanned Surface Vehicles",JB_RC,"ADD")</f>
        <v/>
      </c>
      <c r="D31" s="31">
        <f>SUMIFS(JB_26BV,JB_B,4,JB_W,"Unmanned Surface Vehicles",JB_RC,"ADD")</f>
        <v/>
      </c>
      <c r="E31" s="31">
        <f>C31+D31</f>
        <v/>
      </c>
      <c r="F31" s="37">
        <f>IFERROR(E31/E$40,0)</f>
        <v/>
      </c>
    </row>
    <row r="32" ht="10" customHeight="1">
      <c r="A32" s="30" t="inlineStr">
        <is>
          <t>Aviation Logistics Support Ship</t>
        </is>
      </c>
      <c r="B32" s="30" t="inlineStr">
        <is>
          <t>USN</t>
        </is>
      </c>
      <c r="C32" s="31">
        <f>SUMIFS(JB_26BV,JB_B,2,JB_W,"Aviation Logistics Support Ship",JB_RC,"ADD")</f>
        <v/>
      </c>
      <c r="D32" s="31">
        <f>SUMIFS(JB_26BV,JB_B,4,JB_W,"Aviation Logistics Support Ship",JB_RC,"ADD")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Icebreakers, Oceangoing</t>
        </is>
      </c>
      <c r="B34" s="30" t="inlineStr">
        <is>
          <t>USCG</t>
        </is>
      </c>
      <c r="C34" s="31">
        <f>SUMIFS(JB_26BV,JB_B,2,JB_W,"Icebreakers, Oceangoing",JB_RC,"ADD")</f>
        <v/>
      </c>
      <c r="D34" s="31">
        <f>SUMIFS(JB_26BV,JB_B,4,JB_W,"Icebreakers, Oceangoing",JB_RC,"ADD")</f>
        <v/>
      </c>
      <c r="E34" s="31">
        <f>C34+D34</f>
        <v/>
      </c>
      <c r="F34" s="37">
        <f>IFERROR(E34/E$40,0)</f>
        <v/>
      </c>
    </row>
    <row r="35" ht="10" customHeight="1">
      <c r="A35" s="30" t="inlineStr">
        <is>
          <t>Fast Response Cutters</t>
        </is>
      </c>
      <c r="B35" s="30" t="inlineStr">
        <is>
          <t>USCG</t>
        </is>
      </c>
      <c r="C35" s="31">
        <f>SUMIFS(JB_26BV,JB_B,2,JB_W,"Fast Response Cutters",JB_RC,"ADD")</f>
        <v/>
      </c>
      <c r="D35" s="31">
        <f>SUMIFS(JB_26BV,JB_B,4,JB_W,"Fast Response Cutters",JB_RC,"ADD")</f>
        <v/>
      </c>
      <c r="E35" s="31">
        <f>C35+D35</f>
        <v/>
      </c>
      <c r="F35" s="37">
        <f>IFERROR(E35/E$40,0)</f>
        <v/>
      </c>
    </row>
    <row r="36" ht="10" customHeight="1">
      <c r="A36" s="30" t="inlineStr">
        <is>
          <t>Offshore Patrol Cutter</t>
        </is>
      </c>
      <c r="B36" s="30" t="inlineStr">
        <is>
          <t>USCG</t>
        </is>
      </c>
      <c r="C36" s="31">
        <f>SUMIFS(JB_26BV,JB_B,2,JB_W,"Offshore Patrol Cutter",JB_RC,"ADD")</f>
        <v/>
      </c>
      <c r="D36" s="31">
        <f>SUMIFS(JB_26BV,JB_B,4,JB_W,"Offshore Patrol Cutter",JB_RC,"ADD")</f>
        <v/>
      </c>
      <c r="E36" s="31">
        <f>C36+D36</f>
        <v/>
      </c>
      <c r="F36" s="37">
        <f>IFERROR(E36/E$40,0)</f>
        <v/>
      </c>
    </row>
    <row r="37" ht="10" customHeight="1">
      <c r="A37" s="30" t="inlineStr">
        <is>
          <t>Icebreakers, Great Lakes</t>
        </is>
      </c>
      <c r="B37" s="30" t="inlineStr">
        <is>
          <t>USCG</t>
        </is>
      </c>
      <c r="C37" s="31">
        <f>SUMIFS(JB_26BV,JB_B,2,JB_W,"Icebreakers, Great Lakes",JB_RC,"ADD")</f>
        <v/>
      </c>
      <c r="D37" s="31">
        <f>SUMIFS(JB_26BV,JB_B,4,JB_W,"Icebreakers, Great Lakes",JB_RC,"ADD")</f>
        <v/>
      </c>
      <c r="E37" s="31">
        <f>C37+D37</f>
        <v/>
      </c>
      <c r="F37" s="37">
        <f>IFERROR(E37/E$40,0)</f>
        <v/>
      </c>
    </row>
    <row r="38" ht="10" customHeight="1">
      <c r="A38" s="30" t="inlineStr">
        <is>
          <t>Waterways Commerce Cutters</t>
        </is>
      </c>
      <c r="B38" s="30" t="inlineStr">
        <is>
          <t>USCG</t>
        </is>
      </c>
      <c r="C38" s="31">
        <f>SUMIFS(JB_26BV,JB_B,2,JB_W,"Waterways Commerce Cutters",JB_RC,"ADD")</f>
        <v/>
      </c>
      <c r="D38" s="31">
        <f>SUMIFS(JB_26BV,JB_B,4,JB_W,"Waterways Commerce Cutters",JB_RC,"ADD")</f>
        <v/>
      </c>
      <c r="E38" s="31">
        <f>C38+D38</f>
        <v/>
      </c>
      <c r="F38" s="37">
        <f>IFERROR(E38/E$40,0)</f>
        <v/>
      </c>
    </row>
    <row r="39" ht="10" customHeight="1">
      <c r="A39" s="30" t="inlineStr">
        <is>
          <t>Coastal Buoy Tenders</t>
        </is>
      </c>
      <c r="B39" s="30" t="inlineStr">
        <is>
          <t>USCG</t>
        </is>
      </c>
      <c r="C39" s="31">
        <f>SUMIFS(JB_26BV,JB_B,2,JB_W,"Coastal Buoy Tenders",JB_RC,"ADD")</f>
        <v/>
      </c>
      <c r="D39" s="31">
        <f>SUMIFS(JB_26BV,JB_B,4,JB_W,"Coastal Buoy Tenders",JB_RC,"ADD")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FY2026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SUMIFS(JB_26BV,JB_B,2,JB_H,"DDG",JB_RC,"ADD")</f>
        <v/>
      </c>
      <c r="E46" s="31">
        <f>SUMIFS(JB_26BV,JB_B,4,JB_H,"DDG",JB_RC,"ADD")</f>
        <v/>
      </c>
      <c r="F46" s="31">
        <f>D46+E46</f>
        <v/>
      </c>
      <c r="G46" s="37">
        <f>IFERROR(F46/F$58,0)</f>
        <v/>
      </c>
    </row>
    <row r="47" ht="10" customHeight="1">
      <c r="A47" s="30" t="inlineStr">
        <is>
          <t>LCS</t>
        </is>
      </c>
      <c r="B47" s="30" t="inlineStr">
        <is>
          <t>Surface Combatants</t>
        </is>
      </c>
      <c r="C47" s="30" t="inlineStr">
        <is>
          <t>USN</t>
        </is>
      </c>
      <c r="D47" s="31">
        <f>SUMIFS(JB_26BV,JB_B,2,JB_H,"LCS",JB_RC,"ADD")</f>
        <v/>
      </c>
      <c r="E47" s="31">
        <f>SUMIFS(JB_26BV,JB_B,4,JB_H,"LCS",JB_RC,"ADD")</f>
        <v/>
      </c>
      <c r="F47" s="31">
        <f>D47+E47</f>
        <v/>
      </c>
      <c r="G47" s="37">
        <f>IFERROR(F47/F$58,0)</f>
        <v/>
      </c>
    </row>
    <row r="48" ht="10" customHeight="1">
      <c r="A48" s="30" t="inlineStr">
        <is>
          <t>LHD</t>
        </is>
      </c>
      <c r="B48" s="30" t="inlineStr">
        <is>
          <t>Amphibious Warfare Ships</t>
        </is>
      </c>
      <c r="C48" s="30" t="inlineStr">
        <is>
          <t>USN</t>
        </is>
      </c>
      <c r="D48" s="31">
        <f>SUMIFS(JB_26BV,JB_B,2,JB_H,"LHD",JB_RC,"ADD")</f>
        <v/>
      </c>
      <c r="E48" s="31">
        <f>SUMIFS(JB_26BV,JB_B,4,JB_H,"LHD",JB_RC,"ADD")</f>
        <v/>
      </c>
      <c r="F48" s="31">
        <f>D48+E48</f>
        <v/>
      </c>
      <c r="G48" s="37">
        <f>IFERROR(F48/F$58,0)</f>
        <v/>
      </c>
    </row>
    <row r="49" ht="10" customHeight="1">
      <c r="A49" s="30" t="inlineStr">
        <is>
          <t>LPD</t>
        </is>
      </c>
      <c r="B49" s="30" t="inlineStr">
        <is>
          <t>Amphibious Warfare Ships</t>
        </is>
      </c>
      <c r="C49" s="30" t="inlineStr">
        <is>
          <t>USN</t>
        </is>
      </c>
      <c r="D49" s="31">
        <f>SUMIFS(JB_26BV,JB_B,2,JB_H,"LPD",JB_RC,"ADD")</f>
        <v/>
      </c>
      <c r="E49" s="31">
        <f>SUMIFS(JB_26BV,JB_B,4,JB_H,"LPD",JB_RC,"ADD")</f>
        <v/>
      </c>
      <c r="F49" s="31">
        <f>D49+E49</f>
        <v/>
      </c>
      <c r="G49" s="37">
        <f>IFERROR(F49/F$58,0)</f>
        <v/>
      </c>
    </row>
    <row r="50" ht="10" customHeight="1">
      <c r="A50" s="30" t="inlineStr">
        <is>
          <t>CG</t>
        </is>
      </c>
      <c r="B50" s="30" t="inlineStr">
        <is>
          <t>Surface Combatants</t>
        </is>
      </c>
      <c r="C50" s="30" t="inlineStr">
        <is>
          <t>USN</t>
        </is>
      </c>
      <c r="D50" s="31">
        <f>SUMIFS(JB_26BV,JB_B,2,JB_H,"CG",JB_RC,"ADD")</f>
        <v/>
      </c>
      <c r="E50" s="31">
        <f>SUMIFS(JB_26BV,JB_B,4,JB_H,"CG",JB_RC,"ADD")</f>
        <v/>
      </c>
      <c r="F50" s="31">
        <f>D50+E50</f>
        <v/>
      </c>
      <c r="G50" s="37">
        <f>IFERROR(F50/F$58,0)</f>
        <v/>
      </c>
    </row>
    <row r="51" ht="10" customHeight="1">
      <c r="A51" s="30" t="inlineStr">
        <is>
          <t>LSD</t>
        </is>
      </c>
      <c r="B51" s="30" t="inlineStr">
        <is>
          <t>Amphibious Warfare Ships</t>
        </is>
      </c>
      <c r="C51" s="30" t="inlineStr">
        <is>
          <t>USN</t>
        </is>
      </c>
      <c r="D51" s="31">
        <f>SUMIFS(JB_26BV,JB_B,2,JB_H,"LSD",JB_RC,"ADD")</f>
        <v/>
      </c>
      <c r="E51" s="31">
        <f>SUMIFS(JB_26BV,JB_B,4,JB_H,"LSD",JB_RC,"ADD")</f>
        <v/>
      </c>
      <c r="F51" s="31">
        <f>D51+E51</f>
        <v/>
      </c>
      <c r="G51" s="37">
        <f>IFERROR(F51/F$58,0)</f>
        <v/>
      </c>
    </row>
    <row r="52" ht="10" customHeight="1">
      <c r="A52" s="30" t="inlineStr">
        <is>
          <t>LHA</t>
        </is>
      </c>
      <c r="B52" s="30" t="inlineStr">
        <is>
          <t>Amphibious Warfare Ships</t>
        </is>
      </c>
      <c r="C52" s="30" t="inlineStr">
        <is>
          <t>USN</t>
        </is>
      </c>
      <c r="D52" s="31">
        <f>SUMIFS(JB_26BV,JB_B,2,JB_H,"LHA",JB_RC,"ADD")</f>
        <v/>
      </c>
      <c r="E52" s="31">
        <f>SUMIFS(JB_26BV,JB_B,4,JB_H,"LHA",JB_RC,"ADD")</f>
        <v/>
      </c>
      <c r="F52" s="31">
        <f>D52+E52</f>
        <v/>
      </c>
      <c r="G52" s="37">
        <f>IFERROR(F52/F$58,0)</f>
        <v/>
      </c>
    </row>
    <row r="53" ht="10" customHeight="1">
      <c r="A53" s="30" t="inlineStr">
        <is>
          <t>T-AGOS</t>
        </is>
      </c>
      <c r="B53" s="30" t="inlineStr">
        <is>
          <t>Surveillance Ships</t>
        </is>
      </c>
      <c r="C53" s="30" t="inlineStr">
        <is>
          <t>MSC</t>
        </is>
      </c>
      <c r="D53" s="31">
        <f>SUMIFS(JB_26BV,JB_B,2,JB_H,"T-AGOS",JB_RC,"ADD")</f>
        <v/>
      </c>
      <c r="E53" s="31">
        <f>SUMIFS(JB_26BV,JB_B,4,JB_H,"T-AGOS",JB_RC,"ADD")</f>
        <v/>
      </c>
      <c r="F53" s="31">
        <f>D53+E53</f>
        <v/>
      </c>
      <c r="G53" s="37">
        <f>IFERROR(F53/F$58,0)</f>
        <v/>
      </c>
    </row>
    <row r="54" ht="10" customHeight="1">
      <c r="A54" s="30" t="inlineStr">
        <is>
          <t>ESB</t>
        </is>
      </c>
      <c r="B54" s="30" t="inlineStr">
        <is>
          <t>Expeditionary &amp; Seabasing Ships</t>
        </is>
      </c>
      <c r="C54" s="30" t="inlineStr">
        <is>
          <t>USN</t>
        </is>
      </c>
      <c r="D54" s="31">
        <f>SUMIFS(JB_26BV,JB_B,2,JB_H,"ESB",JB_RC,"ADD")</f>
        <v/>
      </c>
      <c r="E54" s="31">
        <f>SUMIFS(JB_26BV,JB_B,4,JB_H,"ESB",JB_RC,"ADD")</f>
        <v/>
      </c>
      <c r="F54" s="31">
        <f>D54+E54</f>
        <v/>
      </c>
      <c r="G54" s="37">
        <f>IFERROR(F54/F$58,0)</f>
        <v/>
      </c>
    </row>
    <row r="55" ht="10" customHeight="1">
      <c r="A55" s="30" t="inlineStr">
        <is>
          <t>MCM</t>
        </is>
      </c>
      <c r="B55" s="30" t="inlineStr">
        <is>
          <t>Mine Warfare</t>
        </is>
      </c>
      <c r="C55" s="30" t="inlineStr">
        <is>
          <t>USN</t>
        </is>
      </c>
      <c r="D55" s="31">
        <f>SUMIFS(JB_26BV,JB_B,2,JB_H,"MCM",JB_RC,"ADD")</f>
        <v/>
      </c>
      <c r="E55" s="31">
        <f>SUMIFS(JB_26BV,JB_B,4,JB_H,"MCM",JB_RC,"ADD")</f>
        <v/>
      </c>
      <c r="F55" s="31">
        <f>D55+E55</f>
        <v/>
      </c>
      <c r="G55" s="37">
        <f>IFERROR(F55/F$58,0)</f>
        <v/>
      </c>
    </row>
    <row r="56" ht="10" customHeight="1">
      <c r="A56" s="30" t="inlineStr">
        <is>
          <t>LCC</t>
        </is>
      </c>
      <c r="B56" s="30" t="inlineStr">
        <is>
          <t>Command Ships</t>
        </is>
      </c>
      <c r="C56" s="30" t="inlineStr">
        <is>
          <t>USN</t>
        </is>
      </c>
      <c r="D56" s="31">
        <f>SUMIFS(JB_26BV,JB_B,2,JB_H,"LCC",JB_RC,"ADD")</f>
        <v/>
      </c>
      <c r="E56" s="31">
        <f>SUMIFS(JB_26BV,JB_B,4,JB_H,"LCC",JB_RC,"ADD")</f>
        <v/>
      </c>
      <c r="F56" s="31">
        <f>D56+E56</f>
        <v/>
      </c>
      <c r="G56" s="37">
        <f>IFERROR(F56/F$58,0)</f>
        <v/>
      </c>
    </row>
    <row r="57" ht="10" customHeight="1">
      <c r="A57" s="30" t="inlineStr">
        <is>
          <t>WMSL</t>
        </is>
      </c>
      <c r="B57" s="30" t="inlineStr">
        <is>
          <t>National Security Cutters</t>
        </is>
      </c>
      <c r="C57" s="30" t="inlineStr">
        <is>
          <t>USCG</t>
        </is>
      </c>
      <c r="D57" s="31">
        <f>SUMIFS(JB_26BV,JB_B,2,JB_H,"WMSL",JB_RC,"ADD")</f>
        <v/>
      </c>
      <c r="E57" s="31">
        <f>SUMIFS(JB_26BV,JB_B,4,JB_H,"WMSL",JB_RC,"ADD")</f>
        <v/>
      </c>
      <c r="F57" s="31">
        <f>D57+E57</f>
        <v/>
      </c>
      <c r="G57" s="37">
        <f>IFERROR(F57/F$58,0)</f>
        <v/>
      </c>
    </row>
    <row r="58" ht="10" customHeight="1">
      <c r="A58" s="32" t="inlineStr">
        <is>
          <t>MRO SAM (all programs)</t>
        </is>
      </c>
      <c r="B58" s="32" t="inlineStr"/>
      <c r="C58" s="32" t="inlineStr"/>
      <c r="D58" s="33">
        <f>SUM(D46:D57)</f>
        <v/>
      </c>
      <c r="E58" s="33">
        <f>SUM(E46:E57)</f>
        <v/>
      </c>
      <c r="F58" s="33">
        <f>SUM(F46:F57)</f>
        <v/>
      </c>
      <c r="G58" s="38" t="n">
        <v>1</v>
      </c>
    </row>
    <row r="59" ht="10" customHeight="1"/>
    <row r="60" ht="10" customHeight="1"/>
    <row r="61" ht="10" customHeight="1">
      <c r="A61" s="27" t="inlineStr">
        <is>
          <t>(C→D) Bridge: All Programs → Cost-Element Coverage</t>
        </is>
      </c>
      <c r="B61" s="28" t="n"/>
    </row>
    <row r="62" ht="10" customHeight="1">
      <c r="A62" s="30" t="inlineStr">
        <is>
          <t>MRO SAM (all programs)</t>
        </is>
      </c>
      <c r="B62" s="31">
        <f>F58</f>
        <v/>
      </c>
    </row>
    <row r="63" ht="10" customHeight="1">
      <c r="A63" s="30" t="inlineStr">
        <is>
          <t xml:space="preserve">  Less: DDG (Surface Combatants — no P-5c)</t>
        </is>
      </c>
      <c r="B63" s="31">
        <f>-(SUMIFS(JB_26BV,JB_B,2,JB_H,"DDG",JB_RC,"ADD")+SUMIFS(JB_26BV,JB_B,4,JB_H,"DDG",JB_RC,"ADD"))</f>
        <v/>
      </c>
    </row>
    <row r="64" ht="10" customHeight="1">
      <c r="A64" s="30" t="inlineStr">
        <is>
          <t xml:space="preserve">  Less: LCS (Surface Combatants — no P-5c)</t>
        </is>
      </c>
      <c r="B64" s="31">
        <f>-(SUMIFS(JB_26BV,JB_B,2,JB_H,"LCS",JB_RC,"ADD")+SUMIFS(JB_26BV,JB_B,4,JB_H,"LCS",JB_RC,"ADD"))</f>
        <v/>
      </c>
    </row>
    <row r="65" ht="10" customHeight="1">
      <c r="A65" s="30" t="inlineStr">
        <is>
          <t xml:space="preserve">  Less: LHD (Amphibious Warfare Ships — no P-5c)</t>
        </is>
      </c>
      <c r="B65" s="31">
        <f>-(SUMIFS(JB_26BV,JB_B,2,JB_H,"LHD",JB_RC,"ADD")+SUMIFS(JB_26BV,JB_B,4,JB_H,"LHD",JB_RC,"ADD"))</f>
        <v/>
      </c>
    </row>
    <row r="66" ht="10" customHeight="1">
      <c r="A66" s="30" t="inlineStr">
        <is>
          <t xml:space="preserve">  Less: LPD (Amphibious Warfare Ships — no P-5c)</t>
        </is>
      </c>
      <c r="B66" s="31">
        <f>-(SUMIFS(JB_26BV,JB_B,2,JB_H,"LPD",JB_RC,"ADD")+SUMIFS(JB_26BV,JB_B,4,JB_H,"LPD",JB_RC,"ADD"))</f>
        <v/>
      </c>
    </row>
    <row r="67" ht="10" customHeight="1">
      <c r="A67" s="30" t="inlineStr">
        <is>
          <t xml:space="preserve">  Less: CG (Surface Combatants — no P-5c)</t>
        </is>
      </c>
      <c r="B67" s="31">
        <f>-(SUMIFS(JB_26BV,JB_B,2,JB_H,"CG",JB_RC,"ADD")+SUMIFS(JB_26BV,JB_B,4,JB_H,"CG",JB_RC,"ADD"))</f>
        <v/>
      </c>
    </row>
    <row r="68" ht="10" customHeight="1">
      <c r="A68" s="30" t="inlineStr">
        <is>
          <t xml:space="preserve">  Less: LSD (Amphibious Warfare Ships — no P-5c)</t>
        </is>
      </c>
      <c r="B68" s="31">
        <f>-(SUMIFS(JB_26BV,JB_B,2,JB_H,"LSD",JB_RC,"ADD")+SUMIFS(JB_26BV,JB_B,4,JB_H,"LSD",JB_RC,"ADD"))</f>
        <v/>
      </c>
    </row>
    <row r="69" ht="10" customHeight="1">
      <c r="A69" s="30" t="inlineStr">
        <is>
          <t xml:space="preserve">  Less: LHA (Amphibious Warfare Ships — no P-5c)</t>
        </is>
      </c>
      <c r="B69" s="31">
        <f>-(SUMIFS(JB_26BV,JB_B,2,JB_H,"LHA",JB_RC,"ADD")+SUMIFS(JB_26BV,JB_B,4,JB_H,"LHA",JB_RC,"ADD"))</f>
        <v/>
      </c>
    </row>
    <row r="70" ht="10" customHeight="1">
      <c r="A70" s="30" t="inlineStr">
        <is>
          <t xml:space="preserve">  Less: T-AGOS (Surveillance Ships — no P-5c)</t>
        </is>
      </c>
      <c r="B70" s="31">
        <f>-(SUMIFS(JB_26BV,JB_B,2,JB_H,"T-AGOS",JB_RC,"ADD")+SUMIFS(JB_26BV,JB_B,4,JB_H,"T-AGOS",JB_RC,"ADD"))</f>
        <v/>
      </c>
    </row>
    <row r="71" ht="10" customHeight="1">
      <c r="A71" s="30" t="inlineStr">
        <is>
          <t xml:space="preserve">  Less: ESB (Expeditionary &amp; Seabasing Ships — no P-5c)</t>
        </is>
      </c>
      <c r="B71" s="31">
        <f>-(SUMIFS(JB_26BV,JB_B,2,JB_H,"ESB",JB_RC,"ADD")+SUMIFS(JB_26BV,JB_B,4,JB_H,"ESB",JB_RC,"ADD"))</f>
        <v/>
      </c>
    </row>
    <row r="72" ht="10" customHeight="1">
      <c r="A72" s="30" t="inlineStr">
        <is>
          <t xml:space="preserve">  Less: MCM (Mine Warfare — no P-5c)</t>
        </is>
      </c>
      <c r="B72" s="31">
        <f>-(SUMIFS(JB_26BV,JB_B,2,JB_H,"MCM",JB_RC,"ADD")+SUMIFS(JB_26BV,JB_B,4,JB_H,"MCM",JB_RC,"ADD"))</f>
        <v/>
      </c>
    </row>
    <row r="73" ht="10" customHeight="1">
      <c r="A73" s="30" t="inlineStr">
        <is>
          <t xml:space="preserve">  Less: LCC (Command Ships — no P-5c)</t>
        </is>
      </c>
      <c r="B73" s="31">
        <f>-(SUMIFS(JB_26BV,JB_B,2,JB_H,"LCC",JB_RC,"ADD")+SUMIFS(JB_26BV,JB_B,4,JB_H,"LCC",JB_RC,"ADD"))</f>
        <v/>
      </c>
    </row>
    <row r="74" ht="10" customHeight="1">
      <c r="A74" s="30" t="inlineStr">
        <is>
          <t xml:space="preserve">  Less: WMSL (National Security Cutters, USCG — no P-5c)</t>
        </is>
      </c>
      <c r="B74" s="31">
        <f>-(SUMIFS(JB_26BV,JB_B,2,JB_H,"WMSL",JB_RC,"ADD")+SUMIFS(JB_26BV,JB_B,4,JB_H,"WMSL",JB_RC,"ADD"))</f>
        <v/>
      </c>
    </row>
    <row r="75" ht="10" customHeight="1">
      <c r="A75" s="32" t="inlineStr">
        <is>
          <t>MRO SAM (cost-element coverage)</t>
        </is>
      </c>
      <c r="B75" s="33">
        <f>SUM(B62:B74)</f>
        <v/>
      </c>
    </row>
    <row r="76" ht="10" customHeight="1"/>
    <row r="77" ht="10" customHeight="1"/>
    <row r="78" ht="10" customHeight="1">
      <c r="A78" s="27" t="inlineStr">
        <is>
          <t>(D) MRO SAM — SDM vs Modernization by Hull (Mekko)</t>
        </is>
      </c>
      <c r="B78" s="28" t="n"/>
      <c r="C78" s="28" t="n"/>
      <c r="D78" s="28" t="n"/>
      <c r="E78" s="28" t="n"/>
      <c r="F78" s="28" t="n"/>
      <c r="G78" s="28" t="n"/>
      <c r="H78" s="28" t="n"/>
      <c r="I78" s="28" t="n"/>
      <c r="J78" s="28" t="n"/>
      <c r="K78" s="28" t="n"/>
      <c r="L78" s="28" t="n"/>
      <c r="M78" s="28" t="n"/>
      <c r="N78" s="28" t="n"/>
    </row>
    <row r="79" ht="10" customHeight="1">
      <c r="A79" s="39" t="n"/>
      <c r="B79" s="40" t="inlineStr">
        <is>
          <t>USN</t>
        </is>
      </c>
      <c r="C79" s="39" t="n"/>
      <c r="D79" s="39" t="n"/>
      <c r="E79" s="39" t="n"/>
      <c r="F79" s="39" t="n"/>
      <c r="G79" s="39" t="n"/>
      <c r="H79" s="39" t="n"/>
      <c r="I79" s="39" t="n"/>
      <c r="J79" s="39" t="n"/>
      <c r="K79" s="39" t="n"/>
      <c r="L79" s="39" t="n"/>
      <c r="M79" s="40" t="inlineStr">
        <is>
          <t>USCG</t>
        </is>
      </c>
      <c r="N79" s="41" t="n"/>
    </row>
    <row r="80" ht="10" customHeight="1">
      <c r="A80" s="29" t="inlineStr">
        <is>
          <t>Work Type</t>
        </is>
      </c>
      <c r="B80" s="42" t="inlineStr">
        <is>
          <t>DDG</t>
        </is>
      </c>
      <c r="C80" s="29" t="inlineStr">
        <is>
          <t>LCS</t>
        </is>
      </c>
      <c r="D80" s="29" t="inlineStr">
        <is>
          <t>LHD</t>
        </is>
      </c>
      <c r="E80" s="29" t="inlineStr">
        <is>
          <t>LPD</t>
        </is>
      </c>
      <c r="F80" s="29" t="inlineStr">
        <is>
          <t>CG</t>
        </is>
      </c>
      <c r="G80" s="29" t="inlineStr">
        <is>
          <t>LSD</t>
        </is>
      </c>
      <c r="H80" s="29" t="inlineStr">
        <is>
          <t>LHA</t>
        </is>
      </c>
      <c r="I80" s="29" t="inlineStr">
        <is>
          <t>T-AGOS</t>
        </is>
      </c>
      <c r="J80" s="29" t="inlineStr">
        <is>
          <t>ESB</t>
        </is>
      </c>
      <c r="K80" s="29" t="inlineStr">
        <is>
          <t>MCM</t>
        </is>
      </c>
      <c r="L80" s="29" t="inlineStr">
        <is>
          <t>LCC</t>
        </is>
      </c>
      <c r="M80" s="42" t="inlineStr">
        <is>
          <t>WMSL</t>
        </is>
      </c>
      <c r="N80" s="42" t="inlineStr">
        <is>
          <t>Total</t>
        </is>
      </c>
    </row>
    <row r="81" ht="10" customHeight="1">
      <c r="A81" s="30" t="inlineStr">
        <is>
          <t>Scheduled Depot Maintenance</t>
        </is>
      </c>
      <c r="B81" s="43">
        <f>IFERROR((SUMIFS(JB_26BV,JB_B,2,JB_H,"DDG",JB_RC,"ADD"))/B$83,0)</f>
        <v/>
      </c>
      <c r="C81" s="37">
        <f>IFERROR((SUMIFS(JB_26BV,JB_B,2,JB_H,"LCS",JB_RC,"ADD"))/C$83,0)</f>
        <v/>
      </c>
      <c r="D81" s="37">
        <f>IFERROR((SUMIFS(JB_26BV,JB_B,2,JB_H,"LHD",JB_RC,"ADD"))/D$83,0)</f>
        <v/>
      </c>
      <c r="E81" s="37">
        <f>IFERROR((SUMIFS(JB_26BV,JB_B,2,JB_H,"LPD",JB_RC,"ADD"))/E$83,0)</f>
        <v/>
      </c>
      <c r="F81" s="37">
        <f>IFERROR((SUMIFS(JB_26BV,JB_B,2,JB_H,"CG",JB_RC,"ADD"))/F$83,0)</f>
        <v/>
      </c>
      <c r="G81" s="37">
        <f>IFERROR((SUMIFS(JB_26BV,JB_B,2,JB_H,"LSD",JB_RC,"ADD"))/G$83,0)</f>
        <v/>
      </c>
      <c r="H81" s="37">
        <f>IFERROR((SUMIFS(JB_26BV,JB_B,2,JB_H,"LHA",JB_RC,"ADD"))/H$83,0)</f>
        <v/>
      </c>
      <c r="I81" s="37">
        <f>IFERROR((SUMIFS(JB_26BV,JB_B,2,JB_H,"T-AGOS",JB_RC,"ADD"))/I$83,0)</f>
        <v/>
      </c>
      <c r="J81" s="37">
        <f>IFERROR((SUMIFS(JB_26BV,JB_B,2,JB_H,"ESB",JB_RC,"ADD"))/J$83,0)</f>
        <v/>
      </c>
      <c r="K81" s="37">
        <f>IFERROR((SUMIFS(JB_26BV,JB_B,2,JB_H,"MCM",JB_RC,"ADD"))/K$83,0)</f>
        <v/>
      </c>
      <c r="L81" s="37">
        <f>IFERROR((SUMIFS(JB_26BV,JB_B,2,JB_H,"LCC",JB_RC,"ADD"))/L$83,0)</f>
        <v/>
      </c>
      <c r="M81" s="43">
        <f>IFERROR((SUMIFS(JB_26BV,JB_B,2,JB_H,"WMSL",JB_RC,"ADD"))/M$83,0)</f>
        <v/>
      </c>
      <c r="N81" s="43">
        <f>IFERROR(1-N82,0)</f>
        <v/>
      </c>
    </row>
    <row r="82" ht="10" customHeight="1">
      <c r="A82" s="30" t="inlineStr">
        <is>
          <t>Modernization</t>
        </is>
      </c>
      <c r="B82" s="43">
        <f>IFERROR((SUMIFS(JB_26BV,JB_B,4,JB_H,"DDG",JB_RC,"ADD"))/B$83,0)</f>
        <v/>
      </c>
      <c r="C82" s="37">
        <f>IFERROR((SUMIFS(JB_26BV,JB_B,4,JB_H,"LCS",JB_RC,"ADD"))/C$83,0)</f>
        <v/>
      </c>
      <c r="D82" s="37">
        <f>IFERROR((SUMIFS(JB_26BV,JB_B,4,JB_H,"LHD",JB_RC,"ADD"))/D$83,0)</f>
        <v/>
      </c>
      <c r="E82" s="37">
        <f>IFERROR((SUMIFS(JB_26BV,JB_B,4,JB_H,"LPD",JB_RC,"ADD"))/E$83,0)</f>
        <v/>
      </c>
      <c r="F82" s="37">
        <f>IFERROR((SUMIFS(JB_26BV,JB_B,4,JB_H,"CG",JB_RC,"ADD"))/F$83,0)</f>
        <v/>
      </c>
      <c r="G82" s="37">
        <f>IFERROR((SUMIFS(JB_26BV,JB_B,4,JB_H,"LSD",JB_RC,"ADD"))/G$83,0)</f>
        <v/>
      </c>
      <c r="H82" s="37">
        <f>IFERROR((SUMIFS(JB_26BV,JB_B,4,JB_H,"LHA",JB_RC,"ADD"))/H$83,0)</f>
        <v/>
      </c>
      <c r="I82" s="37">
        <f>IFERROR((SUMIFS(JB_26BV,JB_B,4,JB_H,"T-AGOS",JB_RC,"ADD"))/I$83,0)</f>
        <v/>
      </c>
      <c r="J82" s="37">
        <f>IFERROR((SUMIFS(JB_26BV,JB_B,4,JB_H,"ESB",JB_RC,"ADD"))/J$83,0)</f>
        <v/>
      </c>
      <c r="K82" s="37">
        <f>IFERROR((SUMIFS(JB_26BV,JB_B,4,JB_H,"MCM",JB_RC,"ADD"))/K$83,0)</f>
        <v/>
      </c>
      <c r="L82" s="37">
        <f>IFERROR((SUMIFS(JB_26BV,JB_B,4,JB_H,"LCC",JB_RC,"ADD"))/L$83,0)</f>
        <v/>
      </c>
      <c r="M82" s="43">
        <f>IFERROR((SUMIFS(JB_26BV,JB_B,4,JB_H,"WMSL",JB_RC,"ADD"))/M$83,0)</f>
        <v/>
      </c>
      <c r="N82" s="43">
        <f>IFERROR((SUMIFS(JB_26BV,JB_B,4,JB_H,"DDG",JB_RC,"ADD")+SUMIFS(JB_26BV,JB_B,4,JB_H,"LCS",JB_RC,"ADD")+SUMIFS(JB_26BV,JB_B,4,JB_H,"LHD",JB_RC,"ADD")+SUMIFS(JB_26BV,JB_B,4,JB_H,"LPD",JB_RC,"ADD")+SUMIFS(JB_26BV,JB_B,4,JB_H,"CG",JB_RC,"ADD")+SUMIFS(JB_26BV,JB_B,4,JB_H,"LSD",JB_RC,"ADD")+SUMIFS(JB_26BV,JB_B,4,JB_H,"LHA",JB_RC,"ADD")+SUMIFS(JB_26BV,JB_B,4,JB_H,"T-AGOS",JB_RC,"ADD")+SUMIFS(JB_26BV,JB_B,4,JB_H,"ESB",JB_RC,"ADD")+SUMIFS(JB_26BV,JB_B,4,JB_H,"MCM",JB_RC,"ADD")+SUMIFS(JB_26BV,JB_B,4,JB_H,"LCC",JB_RC,"ADD")+SUMIFS(JB_26BV,JB_B,4,JB_H,"WMSL",JB_RC,"ADD"))/N$83,0)</f>
        <v/>
      </c>
    </row>
    <row r="83" ht="10" customHeight="1">
      <c r="A83" s="32" t="inlineStr">
        <is>
          <t>Total ($K)</t>
        </is>
      </c>
      <c r="B83" s="44">
        <f>SUMIFS(JB_26BV,JB_B,2,JB_H,"DDG",JB_RC,"ADD")+SUMIFS(JB_26BV,JB_B,4,JB_H,"DDG",JB_RC,"ADD")</f>
        <v/>
      </c>
      <c r="C83" s="33">
        <f>SUMIFS(JB_26BV,JB_B,2,JB_H,"LCS",JB_RC,"ADD")+SUMIFS(JB_26BV,JB_B,4,JB_H,"LCS",JB_RC,"ADD")</f>
        <v/>
      </c>
      <c r="D83" s="33">
        <f>SUMIFS(JB_26BV,JB_B,2,JB_H,"LHD",JB_RC,"ADD")+SUMIFS(JB_26BV,JB_B,4,JB_H,"LHD",JB_RC,"ADD")</f>
        <v/>
      </c>
      <c r="E83" s="33">
        <f>SUMIFS(JB_26BV,JB_B,2,JB_H,"LPD",JB_RC,"ADD")+SUMIFS(JB_26BV,JB_B,4,JB_H,"LPD",JB_RC,"ADD")</f>
        <v/>
      </c>
      <c r="F83" s="33">
        <f>SUMIFS(JB_26BV,JB_B,2,JB_H,"CG",JB_RC,"ADD")+SUMIFS(JB_26BV,JB_B,4,JB_H,"CG",JB_RC,"ADD")</f>
        <v/>
      </c>
      <c r="G83" s="33">
        <f>SUMIFS(JB_26BV,JB_B,2,JB_H,"LSD",JB_RC,"ADD")+SUMIFS(JB_26BV,JB_B,4,JB_H,"LSD",JB_RC,"ADD")</f>
        <v/>
      </c>
      <c r="H83" s="33">
        <f>SUMIFS(JB_26BV,JB_B,2,JB_H,"LHA",JB_RC,"ADD")+SUMIFS(JB_26BV,JB_B,4,JB_H,"LHA",JB_RC,"ADD")</f>
        <v/>
      </c>
      <c r="I83" s="33">
        <f>SUMIFS(JB_26BV,JB_B,2,JB_H,"T-AGOS",JB_RC,"ADD")+SUMIFS(JB_26BV,JB_B,4,JB_H,"T-AGOS",JB_RC,"ADD")</f>
        <v/>
      </c>
      <c r="J83" s="33">
        <f>SUMIFS(JB_26BV,JB_B,2,JB_H,"ESB",JB_RC,"ADD")+SUMIFS(JB_26BV,JB_B,4,JB_H,"ESB",JB_RC,"ADD")</f>
        <v/>
      </c>
      <c r="K83" s="33">
        <f>SUMIFS(JB_26BV,JB_B,2,JB_H,"MCM",JB_RC,"ADD")+SUMIFS(JB_26BV,JB_B,4,JB_H,"MCM",JB_RC,"ADD")</f>
        <v/>
      </c>
      <c r="L83" s="33">
        <f>SUMIFS(JB_26BV,JB_B,2,JB_H,"LCC",JB_RC,"ADD")+SUMIFS(JB_26BV,JB_B,4,JB_H,"LCC",JB_RC,"ADD")</f>
        <v/>
      </c>
      <c r="M83" s="44">
        <f>SUMIFS(JB_26BV,JB_B,2,JB_H,"WMSL",JB_RC,"ADD")+SUMIFS(JB_26BV,JB_B,4,JB_H,"WMSL",JB_RC,"ADD")</f>
        <v/>
      </c>
      <c r="N83" s="44">
        <f>SUM(B83:M83)</f>
        <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High Speed Transport</t>
        </is>
      </c>
      <c r="B28" s="30" t="inlineStr">
        <is>
          <t>USN</t>
        </is>
      </c>
      <c r="C28" s="31">
        <f>SUMIFS(JB_27BV,JB_B,1,JB_W,"High Speed Transport",JB_RC,"ADD")</f>
        <v/>
      </c>
      <c r="D28" s="37">
        <f>IFERROR(C28/C$44,0)</f>
        <v/>
      </c>
    </row>
    <row r="29" ht="10" customHeight="1">
      <c r="A29" s="30" t="inlineStr">
        <is>
          <t>Salvage Ships &amp; Fleet Ocean Tugs</t>
        </is>
      </c>
      <c r="B29" s="30" t="inlineStr">
        <is>
          <t>MSC</t>
        </is>
      </c>
      <c r="C29" s="31">
        <f>SUMIFS(JB_27BV,JB_B,1,JB_W,"Salvage Ships &amp; Fleet Ocean Tugs",JB_RC,"ADD")</f>
        <v/>
      </c>
      <c r="D29" s="37">
        <f>IFERROR(C29/C$44,0)</f>
        <v/>
      </c>
    </row>
    <row r="30" ht="10" customHeight="1">
      <c r="A30" s="30" t="inlineStr">
        <is>
          <t>Aviation Logistics Support Ship</t>
        </is>
      </c>
      <c r="B30" s="30" t="inlineStr">
        <is>
          <t>USN</t>
        </is>
      </c>
      <c r="C30" s="31">
        <f>SUMIFS(JB_27BV,JB_B,1,JB_W,"Aviation Logistics Support Ship",JB_RC,"ADD")</f>
        <v/>
      </c>
      <c r="D30" s="37">
        <f>IFERROR(C30/C$44,0)</f>
        <v/>
      </c>
    </row>
    <row r="31" ht="10" customHeight="1">
      <c r="A31" s="30" t="inlineStr">
        <is>
          <t>Research, Survey &amp; Instrumentation Ships</t>
        </is>
      </c>
      <c r="B31" s="30" t="inlineStr">
        <is>
          <t>MSC</t>
        </is>
      </c>
      <c r="C31" s="31">
        <f>SUMIFS(JB_27BV,JB_B,1,JB_W,"Research, Survey &amp; Instrumentation Ships",JB_RC,"ADD")</f>
        <v/>
      </c>
      <c r="D31" s="37">
        <f>IFERROR(C31/C$44,0)</f>
        <v/>
      </c>
    </row>
    <row r="32" ht="10" customHeight="1">
      <c r="A32" s="30" t="inlineStr">
        <is>
          <t>Crane Ship</t>
        </is>
      </c>
      <c r="B32" s="30" t="inlineStr">
        <is>
          <t>USN</t>
        </is>
      </c>
      <c r="C32" s="31">
        <f>SUMIFS(JB_27BV,JB_B,1,JB_W,"Crane Ship",JB_RC,"ADD")</f>
        <v/>
      </c>
      <c r="D32" s="37">
        <f>IFERROR(C32/C$44,0)</f>
        <v/>
      </c>
    </row>
    <row r="33" ht="10" customHeight="1">
      <c r="A33" s="30" t="inlineStr">
        <is>
          <t>Mine Warfare</t>
        </is>
      </c>
      <c r="B33" s="30" t="inlineStr">
        <is>
          <t>USN</t>
        </is>
      </c>
      <c r="C33" s="31">
        <f>SUMIFS(JB_27BV,JB_B,1,JB_W,"Mine Warfare",JB_RC,"ADD")</f>
        <v/>
      </c>
      <c r="D33" s="37">
        <f>IFERROR(C33/C$44,0)</f>
        <v/>
      </c>
    </row>
    <row r="34" ht="10" customHeight="1">
      <c r="A34" s="30" t="inlineStr">
        <is>
          <t>Submarine Escort Ship</t>
        </is>
      </c>
      <c r="B34" s="30" t="inlineStr">
        <is>
          <t>USN</t>
        </is>
      </c>
      <c r="C34" s="31">
        <f>SUMIFS(JB_27BV,JB_B,1,JB_W,"Submarine Escort Ship",JB_RC,"ADD")</f>
        <v/>
      </c>
      <c r="D34" s="37">
        <f>IFERROR(C34/C$44,0)</f>
        <v/>
      </c>
    </row>
    <row r="35" ht="10" customHeight="1">
      <c r="A35" s="30" t="inlineStr">
        <is>
          <t>Command Ships</t>
        </is>
      </c>
      <c r="B35" s="30" t="inlineStr">
        <is>
          <t>USN</t>
        </is>
      </c>
      <c r="C35" s="31">
        <f>SUMIFS(JB_27BV,JB_B,1,JB_W,"Command Ships",JB_RC,"ADD")</f>
        <v/>
      </c>
      <c r="D35" s="37">
        <f>IFERROR(C35/C$44,0)</f>
        <v/>
      </c>
    </row>
    <row r="36" ht="10" customHeight="1">
      <c r="A36" s="30" t="inlineStr">
        <is>
          <t>General Auxiliary</t>
        </is>
      </c>
      <c r="B36" s="30" t="inlineStr">
        <is>
          <t>USN</t>
        </is>
      </c>
      <c r="C36" s="31">
        <f>SUMIFS(JB_27BV,JB_B,1,JB_W,"General Auxiliary",JB_RC,"ADD")</f>
        <v/>
      </c>
      <c r="D36" s="37">
        <f>IFERROR(C36/C$44,0)</f>
        <v/>
      </c>
    </row>
    <row r="37" ht="10" customHeight="1">
      <c r="A37" s="30" t="inlineStr">
        <is>
          <t>Fast Response Cutters</t>
        </is>
      </c>
      <c r="B37" s="30" t="inlineStr">
        <is>
          <t>USCG</t>
        </is>
      </c>
      <c r="C37" s="31">
        <f>SUMIFS(JB_27BV,JB_B,1,JB_W,"Fast Response Cutters",JB_RC,"ADD")</f>
        <v/>
      </c>
      <c r="D37" s="37">
        <f>IFERROR(C37/C$44,0)</f>
        <v/>
      </c>
    </row>
    <row r="38" ht="10" customHeight="1">
      <c r="A38" s="30" t="inlineStr">
        <is>
          <t>National Security Cutters</t>
        </is>
      </c>
      <c r="B38" s="30" t="inlineStr">
        <is>
          <t>USCG</t>
        </is>
      </c>
      <c r="C38" s="31">
        <f>SUMIFS(JB_27BV,JB_B,1,JB_W,"National Security Cutters",JB_RC,"ADD")</f>
        <v/>
      </c>
      <c r="D38" s="37">
        <f>IFERROR(C38/C$44,0)</f>
        <v/>
      </c>
    </row>
    <row r="39" ht="10" customHeight="1">
      <c r="A39" s="30" t="inlineStr">
        <is>
          <t>Icebreakers, Great Lakes</t>
        </is>
      </c>
      <c r="B39" s="30" t="inlineStr">
        <is>
          <t>USCG</t>
        </is>
      </c>
      <c r="C39" s="31">
        <f>SUMIFS(JB_27BV,JB_B,1,JB_W,"Icebreakers, Great Lakes",JB_RC,"ADD")</f>
        <v/>
      </c>
      <c r="D39" s="37">
        <f>IFERROR(C39/C$44,0)</f>
        <v/>
      </c>
    </row>
    <row r="40" ht="10" customHeight="1">
      <c r="A40" s="30" t="inlineStr">
        <is>
          <t>Waterways Commerce Cutters</t>
        </is>
      </c>
      <c r="B40" s="30" t="inlineStr">
        <is>
          <t>USCG</t>
        </is>
      </c>
      <c r="C40" s="31">
        <f>SUMIFS(JB_27BV,JB_B,1,JB_W,"Waterways Commerce Cutters",JB_RC,"ADD")</f>
        <v/>
      </c>
      <c r="D40" s="37">
        <f>IFERROR(C40/C$44,0)</f>
        <v/>
      </c>
    </row>
    <row r="41" ht="10" customHeight="1">
      <c r="A41" s="30" t="inlineStr">
        <is>
          <t>Coastal Buoy Tenders</t>
        </is>
      </c>
      <c r="B41" s="30" t="inlineStr">
        <is>
          <t>USCG</t>
        </is>
      </c>
      <c r="C41" s="31">
        <f>SUMIFS(JB_27BV,JB_B,1,JB_W,"Coastal Buoy Tenders",JB_RC,"ADD")</f>
        <v/>
      </c>
      <c r="D41" s="37">
        <f>IFERROR(C41/C$44,0)</f>
        <v/>
      </c>
    </row>
    <row r="42" ht="10" customHeight="1">
      <c r="A42" s="30" t="inlineStr">
        <is>
          <t>Icebreakers, Oceangoing</t>
        </is>
      </c>
      <c r="B42" s="30" t="inlineStr">
        <is>
          <t>USCG</t>
        </is>
      </c>
      <c r="C42" s="31">
        <f>SUMIFS(JB_27BV,JB_B,1,JB_W,"Icebreakers, Oceangoing",JB_RC,"ADD")</f>
        <v/>
      </c>
      <c r="D42" s="37">
        <f>IFERROR(C42/C$44,0)</f>
        <v/>
      </c>
    </row>
    <row r="43" ht="10" customHeight="1">
      <c r="A43" s="30" t="inlineStr">
        <is>
          <t>Offshore Patrol Cutter</t>
        </is>
      </c>
      <c r="B43" s="30" t="inlineStr">
        <is>
          <t>USCG</t>
        </is>
      </c>
      <c r="C43" s="31">
        <f>SUMIFS(JB_27BV,JB_B,1,JB_W,"Offshore Patrol Cutter",JB_RC,"ADD")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High Speed Transport</t>
        </is>
      </c>
      <c r="B32" s="30" t="inlineStr">
        <is>
          <t>USN</t>
        </is>
      </c>
      <c r="C32"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2" s="37">
        <f>IFERROR(C32/C$53,0)</f>
        <v/>
      </c>
    </row>
    <row r="33" ht="10" customHeight="1">
      <c r="A33" s="30" t="inlineStr">
        <is>
          <t>Salvage Ships &amp; Fleet Ocean Tugs</t>
        </is>
      </c>
      <c r="B33" s="30" t="inlineStr">
        <is>
          <t>MSC</t>
        </is>
      </c>
      <c r="C33"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3" s="37">
        <f>IFERROR(C33/C$53,0)</f>
        <v/>
      </c>
    </row>
    <row r="34" ht="10" customHeight="1">
      <c r="A34" s="30" t="inlineStr">
        <is>
          <t>Unmanned Undersea Vehicles</t>
        </is>
      </c>
      <c r="B34" s="30" t="inlineStr">
        <is>
          <t>USN</t>
        </is>
      </c>
      <c r="C34"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4" s="37">
        <f>IFERROR(C34/C$53,0)</f>
        <v/>
      </c>
    </row>
    <row r="35" ht="10" customHeight="1">
      <c r="A35" s="30" t="inlineStr">
        <is>
          <t>Cargo &amp; Vehicle Cargo Ships</t>
        </is>
      </c>
      <c r="B35" s="30" t="inlineStr">
        <is>
          <t>USN</t>
        </is>
      </c>
      <c r="C35"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5" s="37">
        <f>IFERROR(C35/C$53,0)</f>
        <v/>
      </c>
    </row>
    <row r="36" ht="10" customHeight="1">
      <c r="A36" s="30" t="inlineStr">
        <is>
          <t>Aviation Logistics Support Ship</t>
        </is>
      </c>
      <c r="B36" s="30" t="inlineStr">
        <is>
          <t>USN</t>
        </is>
      </c>
      <c r="C36"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6" s="37">
        <f>IFERROR(C36/C$53,0)</f>
        <v/>
      </c>
    </row>
    <row r="37" ht="10" customHeight="1">
      <c r="A37" s="30" t="inlineStr">
        <is>
          <t>Research, Survey &amp; Instrumentation Ships</t>
        </is>
      </c>
      <c r="B37" s="30" t="inlineStr">
        <is>
          <t>MSC</t>
        </is>
      </c>
      <c r="C37"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7" s="37">
        <f>IFERROR(C37/C$53,0)</f>
        <v/>
      </c>
    </row>
    <row r="38" ht="10" customHeight="1">
      <c r="A38" s="30" t="inlineStr">
        <is>
          <t>Crane Ship</t>
        </is>
      </c>
      <c r="B38" s="30" t="inlineStr">
        <is>
          <t>USN</t>
        </is>
      </c>
      <c r="C38" s="31">
        <f>SUMIFS(JB_27BV,JB_B,2,JB_W,"Crane Ship",JB_RC,"ADD")+SUMIFS(JB_27BV,JB_B,3,JB_W,"Crane Ship",JB_RC,"ADD")+SUMIFS(JB_27BV,JB_B,4,JB_W,"Crane Ship",JB_RC,"ADD")+SUMIFS(JB_27BV,JB_B,5,JB_W,"Crane Ship",JB_RC,"ADD")+SUMIFS(JB_27BV,JB_B,6,JB_W,"Crane Ship",JB_RC,"ADD")+SUMIFS(JB_27BV,JB_B,7,JB_W,"Crane Ship",JB_RC,"ADD")</f>
        <v/>
      </c>
      <c r="D38" s="37">
        <f>IFERROR(C38/C$53,0)</f>
        <v/>
      </c>
    </row>
    <row r="39" ht="10" customHeight="1">
      <c r="A39" s="30" t="inlineStr">
        <is>
          <t>Mine Warfare</t>
        </is>
      </c>
      <c r="B39" s="30" t="inlineStr">
        <is>
          <t>USN</t>
        </is>
      </c>
      <c r="C39" s="31">
        <f>SUMIFS(JB_27BV,JB_B,2,JB_W,"Mine Warfare",JB_RC,"ADD")+SUMIFS(JB_27BV,JB_B,3,JB_W,"Mine Warfare",JB_RC,"ADD")+SUMIFS(JB_27BV,JB_B,4,JB_W,"Mine Warfare",JB_RC,"ADD")+SUMIFS(JB_27BV,JB_B,5,JB_W,"Mine Warfare",JB_RC,"ADD")+SUMIFS(JB_27BV,JB_B,6,JB_W,"Mine Warfare",JB_RC,"ADD")+SUMIFS(JB_27BV,JB_B,7,JB_W,"Mine Warfare",JB_RC,"ADD")</f>
        <v/>
      </c>
      <c r="D39" s="37">
        <f>IFERROR(C39/C$53,0)</f>
        <v/>
      </c>
    </row>
    <row r="40" ht="10" customHeight="1">
      <c r="A40" s="30" t="inlineStr">
        <is>
          <t>Submarine Escort Ship</t>
        </is>
      </c>
      <c r="B40" s="30" t="inlineStr">
        <is>
          <t>USN</t>
        </is>
      </c>
      <c r="C40"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0" s="37">
        <f>IFERROR(C40/C$53,0)</f>
        <v/>
      </c>
    </row>
    <row r="41" ht="10" customHeight="1">
      <c r="A41" s="30" t="inlineStr">
        <is>
          <t>General Auxiliary</t>
        </is>
      </c>
      <c r="B41" s="30" t="inlineStr">
        <is>
          <t>USN</t>
        </is>
      </c>
      <c r="C4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1" s="37">
        <f>IFERROR(C41/C$53,0)</f>
        <v/>
      </c>
    </row>
    <row r="42" ht="10" customHeight="1">
      <c r="A42" s="30" t="inlineStr">
        <is>
          <t>Hospital Ship</t>
        </is>
      </c>
      <c r="B42" s="30" t="inlineStr">
        <is>
          <t>MSC</t>
        </is>
      </c>
      <c r="C42" s="31">
        <f>SUMIFS(JB_27BV,JB_B,2,JB_W,"Hospital Ship",JB_RC,"ADD")+SUMIFS(JB_27BV,JB_B,3,JB_W,"Hospital Ship",JB_RC,"ADD")+SUMIFS(JB_27BV,JB_B,4,JB_W,"Hospital Ship",JB_RC,"ADD")+SUMIFS(JB_27BV,JB_B,5,JB_W,"Hospital Ship",JB_RC,"ADD")+SUMIFS(JB_27BV,JB_B,6,JB_W,"Hospital Ship",JB_RC,"ADD")+SUMIFS(JB_27BV,JB_B,7,JB_W,"Hospital Ship",JB_RC,"ADD")</f>
        <v/>
      </c>
      <c r="D42" s="37">
        <f>IFERROR(C42/C$53,0)</f>
        <v/>
      </c>
    </row>
    <row r="43" ht="10" customHeight="1">
      <c r="A43" s="30" t="inlineStr">
        <is>
          <t>Material Support Ships</t>
        </is>
      </c>
      <c r="B43" s="30" t="inlineStr">
        <is>
          <t>USN</t>
        </is>
      </c>
      <c r="C43"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3" s="37">
        <f>IFERROR(C43/C$53,0)</f>
        <v/>
      </c>
    </row>
    <row r="44" ht="10" customHeight="1">
      <c r="A44" s="30" t="inlineStr">
        <is>
          <t>Combat Logistics Ships</t>
        </is>
      </c>
      <c r="B44" s="30" t="inlineStr">
        <is>
          <t>MSC</t>
        </is>
      </c>
      <c r="C44"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44" s="37">
        <f>IFERROR(C44/C$53,0)</f>
        <v/>
      </c>
    </row>
    <row r="45" ht="10" customHeight="1">
      <c r="A45" s="30" t="inlineStr">
        <is>
          <t>Unmanned Surface Vehicles</t>
        </is>
      </c>
      <c r="B45" s="30" t="inlineStr">
        <is>
          <t>USN</t>
        </is>
      </c>
      <c r="C45"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5" s="37">
        <f>IFERROR(C45/C$53,0)</f>
        <v/>
      </c>
    </row>
    <row r="46" ht="10" customHeight="1">
      <c r="A46" s="30" t="inlineStr">
        <is>
          <t>Fast Response Cutters</t>
        </is>
      </c>
      <c r="B46" s="30" t="inlineStr">
        <is>
          <t>USCG</t>
        </is>
      </c>
      <c r="C46"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6" s="37">
        <f>IFERROR(C46/C$53,0)</f>
        <v/>
      </c>
    </row>
    <row r="47" ht="10" customHeight="1">
      <c r="A47" s="30" t="inlineStr">
        <is>
          <t>National Security Cutters</t>
        </is>
      </c>
      <c r="B47" s="30" t="inlineStr">
        <is>
          <t>USCG</t>
        </is>
      </c>
      <c r="C47"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7" s="37">
        <f>IFERROR(C47/C$53,0)</f>
        <v/>
      </c>
    </row>
    <row r="48" ht="10" customHeight="1">
      <c r="A48" s="30" t="inlineStr">
        <is>
          <t>Icebreakers, Great Lakes</t>
        </is>
      </c>
      <c r="B48" s="30" t="inlineStr">
        <is>
          <t>USCG</t>
        </is>
      </c>
      <c r="C48"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8" s="37">
        <f>IFERROR(C48/C$53,0)</f>
        <v/>
      </c>
    </row>
    <row r="49" ht="10" customHeight="1">
      <c r="A49" s="30" t="inlineStr">
        <is>
          <t>Waterways Commerce Cutters</t>
        </is>
      </c>
      <c r="B49" s="30" t="inlineStr">
        <is>
          <t>USCG</t>
        </is>
      </c>
      <c r="C49"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9" s="37">
        <f>IFERROR(C49/C$53,0)</f>
        <v/>
      </c>
    </row>
    <row r="50" ht="10" customHeight="1">
      <c r="A50" s="30" t="inlineStr">
        <is>
          <t>Coastal Buoy Tenders</t>
        </is>
      </c>
      <c r="B50" s="30" t="inlineStr">
        <is>
          <t>USCG</t>
        </is>
      </c>
      <c r="C50"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0" s="37">
        <f>IFERROR(C50/C$53,0)</f>
        <v/>
      </c>
    </row>
    <row r="51" ht="10" customHeight="1">
      <c r="A51" s="30" t="inlineStr">
        <is>
          <t>Icebreakers, Oceangoing</t>
        </is>
      </c>
      <c r="B51" s="30" t="inlineStr">
        <is>
          <t>USCG</t>
        </is>
      </c>
      <c r="C51"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1" s="37">
        <f>IFERROR(C51/C$53,0)</f>
        <v/>
      </c>
    </row>
    <row r="52" ht="10" customHeight="1">
      <c r="A52" s="30" t="inlineStr">
        <is>
          <t>Offshore Patrol Cutter</t>
        </is>
      </c>
      <c r="B52" s="30" t="inlineStr">
        <is>
          <t>USCG</t>
        </is>
      </c>
      <c r="C52"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I7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10" customHeight="1">
      <c r="A1" s="24" t="inlineStr">
        <is>
          <t>MRO SAM — FY2027 ($K)</t>
        </is>
      </c>
      <c r="B1" s="25" t="n"/>
      <c r="C1" s="25" t="n"/>
      <c r="D1" s="25" t="n"/>
      <c r="E1" s="25" t="n"/>
      <c r="F1" s="25" t="n"/>
      <c r="G1" s="25" t="n"/>
      <c r="H1" s="25" t="n"/>
      <c r="I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9">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Cargo &amp; Vehicle Cargo Ships</t>
        </is>
      </c>
      <c r="B18" s="30" t="inlineStr">
        <is>
          <t>USN</t>
        </is>
      </c>
      <c r="C18" s="31">
        <f>SUMIFS(JB_27BV,JB_B,2,JB_W,"Cargo &amp; Vehicle Cargo Ships",JB_RC,"ADD")</f>
        <v/>
      </c>
      <c r="D18" s="31">
        <f>SUMIFS(JB_27BV,JB_B,4,JB_W,"Cargo &amp; Vehicle Cargo Ships",JB_RC,"ADD")</f>
        <v/>
      </c>
      <c r="E18" s="31">
        <f>C18+D18</f>
        <v/>
      </c>
      <c r="F18" s="37">
        <f>IFERROR(E18/E$40,0)</f>
        <v/>
      </c>
    </row>
    <row r="19" ht="10" customHeight="1">
      <c r="A19" s="30" t="inlineStr">
        <is>
          <t>High Speed Transport</t>
        </is>
      </c>
      <c r="B19" s="30" t="inlineStr">
        <is>
          <t>USN</t>
        </is>
      </c>
      <c r="C19" s="31">
        <f>SUMIFS(JB_27BV,JB_B,2,JB_W,"High Speed Transport",JB_RC,"ADD")</f>
        <v/>
      </c>
      <c r="D19" s="31">
        <f>SUMIFS(JB_27BV,JB_B,4,JB_W,"High Speed Transport",JB_RC,"ADD")</f>
        <v/>
      </c>
      <c r="E19" s="31">
        <f>C19+D19</f>
        <v/>
      </c>
      <c r="F19" s="37">
        <f>IFERROR(E19/E$40,0)</f>
        <v/>
      </c>
    </row>
    <row r="20" ht="10" customHeight="1">
      <c r="A20" s="30" t="inlineStr">
        <is>
          <t>Research, Survey &amp; Instrumentation Ships</t>
        </is>
      </c>
      <c r="B20" s="30" t="inlineStr">
        <is>
          <t>MSC</t>
        </is>
      </c>
      <c r="C20" s="31">
        <f>SUMIFS(JB_27BV,JB_B,2,JB_W,"Research, Survey &amp; Instrumentation Ships",JB_RC,"ADD")</f>
        <v/>
      </c>
      <c r="D20" s="31">
        <f>SUMIFS(JB_27BV,JB_B,4,JB_W,"Research, Survey &amp; Instrumentation Ships",JB_RC,"ADD")</f>
        <v/>
      </c>
      <c r="E20" s="31">
        <f>C20+D20</f>
        <v/>
      </c>
      <c r="F20" s="37">
        <f>IFERROR(E20/E$40,0)</f>
        <v/>
      </c>
    </row>
    <row r="21" ht="10" customHeight="1">
      <c r="A21" s="30" t="inlineStr">
        <is>
          <t>Crane Ship</t>
        </is>
      </c>
      <c r="B21" s="30" t="inlineStr">
        <is>
          <t>USN</t>
        </is>
      </c>
      <c r="C21" s="31">
        <f>SUMIFS(JB_27BV,JB_B,2,JB_W,"Crane Ship",JB_RC,"ADD")</f>
        <v/>
      </c>
      <c r="D21" s="31">
        <f>SUMIFS(JB_27BV,JB_B,4,JB_W,"Crane Ship",JB_RC,"ADD")</f>
        <v/>
      </c>
      <c r="E21" s="31">
        <f>C21+D21</f>
        <v/>
      </c>
      <c r="F21" s="37">
        <f>IFERROR(E21/E$40,0)</f>
        <v/>
      </c>
    </row>
    <row r="22" ht="10" customHeight="1">
      <c r="A22" s="30" t="inlineStr">
        <is>
          <t>Mine Warfare</t>
        </is>
      </c>
      <c r="B22" s="30" t="inlineStr">
        <is>
          <t>USN</t>
        </is>
      </c>
      <c r="C22" s="31">
        <f>SUMIFS(JB_27BV,JB_B,2,JB_W,"Mine Warfare",JB_RC,"ADD")</f>
        <v/>
      </c>
      <c r="D22" s="31">
        <f>SUMIFS(JB_27BV,JB_B,4,JB_W,"Mine Warfare",JB_RC,"ADD")</f>
        <v/>
      </c>
      <c r="E22" s="31">
        <f>C22+D22</f>
        <v/>
      </c>
      <c r="F22" s="37">
        <f>IFERROR(E22/E$40,0)</f>
        <v/>
      </c>
    </row>
    <row r="23" ht="10" customHeight="1">
      <c r="A23" s="30" t="inlineStr">
        <is>
          <t>Submarine Escort Ship</t>
        </is>
      </c>
      <c r="B23" s="30" t="inlineStr">
        <is>
          <t>USN</t>
        </is>
      </c>
      <c r="C23" s="31">
        <f>SUMIFS(JB_27BV,JB_B,2,JB_W,"Submarine Escort Ship",JB_RC,"ADD")</f>
        <v/>
      </c>
      <c r="D23" s="31">
        <f>SUMIFS(JB_27BV,JB_B,4,JB_W,"Submarine Escort Ship",JB_RC,"ADD")</f>
        <v/>
      </c>
      <c r="E23" s="31">
        <f>C23+D23</f>
        <v/>
      </c>
      <c r="F23" s="37">
        <f>IFERROR(E23/E$40,0)</f>
        <v/>
      </c>
    </row>
    <row r="24" ht="10" customHeight="1">
      <c r="A24" s="30" t="inlineStr">
        <is>
          <t>Command Ships</t>
        </is>
      </c>
      <c r="B24" s="30" t="inlineStr">
        <is>
          <t>USN</t>
        </is>
      </c>
      <c r="C24" s="31">
        <f>SUMIFS(JB_27BV,JB_B,2,JB_W,"Command Ships",JB_RC,"ADD")</f>
        <v/>
      </c>
      <c r="D24" s="31">
        <f>SUMIFS(JB_27BV,JB_B,4,JB_W,"Command Ships",JB_RC,"ADD")</f>
        <v/>
      </c>
      <c r="E24" s="31">
        <f>C24+D24</f>
        <v/>
      </c>
      <c r="F24" s="37">
        <f>IFERROR(E24/E$40,0)</f>
        <v/>
      </c>
    </row>
    <row r="25" ht="10" customHeight="1">
      <c r="A25" s="30" t="inlineStr">
        <is>
          <t>General Auxiliary</t>
        </is>
      </c>
      <c r="B25" s="30" t="inlineStr">
        <is>
          <t>USN</t>
        </is>
      </c>
      <c r="C25" s="31">
        <f>SUMIFS(JB_27BV,JB_B,2,JB_W,"General Auxiliary",JB_RC,"ADD")</f>
        <v/>
      </c>
      <c r="D25" s="31">
        <f>SUMIFS(JB_27BV,JB_B,4,JB_W,"General Auxiliary",JB_RC,"ADD")</f>
        <v/>
      </c>
      <c r="E25" s="31">
        <f>C25+D25</f>
        <v/>
      </c>
      <c r="F25" s="37">
        <f>IFERROR(E25/E$40,0)</f>
        <v/>
      </c>
    </row>
    <row r="26" ht="10" customHeight="1">
      <c r="A26" s="30" t="inlineStr">
        <is>
          <t>Hospital Ship</t>
        </is>
      </c>
      <c r="B26" s="30" t="inlineStr">
        <is>
          <t>MSC</t>
        </is>
      </c>
      <c r="C26" s="31">
        <f>SUMIFS(JB_27BV,JB_B,2,JB_W,"Hospital Ship",JB_RC,"ADD")</f>
        <v/>
      </c>
      <c r="D26" s="31">
        <f>SUMIFS(JB_27BV,JB_B,4,JB_W,"Hospital Ship",JB_RC,"ADD")</f>
        <v/>
      </c>
      <c r="E26" s="31">
        <f>C26+D26</f>
        <v/>
      </c>
      <c r="F26" s="37">
        <f>IFERROR(E26/E$40,0)</f>
        <v/>
      </c>
    </row>
    <row r="27" ht="10" customHeight="1">
      <c r="A27" s="30" t="inlineStr">
        <is>
          <t>Material Support Ships</t>
        </is>
      </c>
      <c r="B27" s="30" t="inlineStr">
        <is>
          <t>USN</t>
        </is>
      </c>
      <c r="C27" s="31">
        <f>SUMIFS(JB_27BV,JB_B,2,JB_W,"Material Support Ships",JB_RC,"ADD")</f>
        <v/>
      </c>
      <c r="D27" s="31">
        <f>SUMIFS(JB_27BV,JB_B,4,JB_W,"Material Support Ships",JB_RC,"ADD")</f>
        <v/>
      </c>
      <c r="E27" s="31">
        <f>C27+D27</f>
        <v/>
      </c>
      <c r="F27" s="37">
        <f>IFERROR(E27/E$40,0)</f>
        <v/>
      </c>
    </row>
    <row r="28" ht="10" customHeight="1">
      <c r="A28" s="30" t="inlineStr">
        <is>
          <t>Combat Logistics Ships</t>
        </is>
      </c>
      <c r="B28" s="30" t="inlineStr">
        <is>
          <t>MSC</t>
        </is>
      </c>
      <c r="C28" s="31">
        <f>SUMIFS(JB_27BV,JB_B,2,JB_W,"Combat Logistics Ships",JB_RC,"ADD")</f>
        <v/>
      </c>
      <c r="D28" s="31">
        <f>SUMIFS(JB_27BV,JB_B,4,JB_W,"Combat Logistics Ships",JB_RC,"ADD")</f>
        <v/>
      </c>
      <c r="E28" s="31">
        <f>C28+D28</f>
        <v/>
      </c>
      <c r="F28" s="37">
        <f>IFERROR(E28/E$40,0)</f>
        <v/>
      </c>
    </row>
    <row r="29" ht="10" customHeight="1">
      <c r="A29" s="30" t="inlineStr">
        <is>
          <t>Expeditionary &amp; Seabasing Ships</t>
        </is>
      </c>
      <c r="B29" s="30" t="inlineStr">
        <is>
          <t>USN</t>
        </is>
      </c>
      <c r="C29" s="31">
        <f>SUMIFS(JB_27BV,JB_B,2,JB_W,"Expeditionary &amp; Seabasing Ships",JB_RC,"ADD")</f>
        <v/>
      </c>
      <c r="D29" s="31">
        <f>SUMIFS(JB_27BV,JB_B,4,JB_W,"Expeditionary &amp; Seabasing Ships",JB_RC,"ADD")</f>
        <v/>
      </c>
      <c r="E29" s="31">
        <f>C29+D29</f>
        <v/>
      </c>
      <c r="F29" s="37">
        <f>IFERROR(E29/E$40,0)</f>
        <v/>
      </c>
    </row>
    <row r="30" ht="10" customHeight="1">
      <c r="A30" s="30" t="inlineStr">
        <is>
          <t>Salvage Ships &amp; Fleet Ocean Tugs</t>
        </is>
      </c>
      <c r="B30" s="30" t="inlineStr">
        <is>
          <t>MSC</t>
        </is>
      </c>
      <c r="C30" s="31">
        <f>SUMIFS(JB_27BV,JB_B,2,JB_W,"Salvage Ships &amp; Fleet Ocean Tugs",JB_RC,"ADD")</f>
        <v/>
      </c>
      <c r="D30" s="31">
        <f>SUMIFS(JB_27BV,JB_B,4,JB_W,"Salvage Ships &amp; Fleet Ocean Tugs",JB_RC,"ADD")</f>
        <v/>
      </c>
      <c r="E30" s="31">
        <f>C30+D30</f>
        <v/>
      </c>
      <c r="F30" s="37">
        <f>IFERROR(E30/E$40,0)</f>
        <v/>
      </c>
    </row>
    <row r="31" ht="10" customHeight="1">
      <c r="A31" s="30" t="inlineStr">
        <is>
          <t>Unmanned Surface Vehicles</t>
        </is>
      </c>
      <c r="B31" s="30" t="inlineStr">
        <is>
          <t>USN</t>
        </is>
      </c>
      <c r="C31" s="31">
        <f>SUMIFS(JB_27BV,JB_B,2,JB_W,"Unmanned Surface Vehicles",JB_RC,"ADD")</f>
        <v/>
      </c>
      <c r="D31" s="31">
        <f>SUMIFS(JB_27BV,JB_B,4,JB_W,"Unmanned Surface Vehicles",JB_RC,"ADD")</f>
        <v/>
      </c>
      <c r="E31" s="31">
        <f>C31+D31</f>
        <v/>
      </c>
      <c r="F31" s="37">
        <f>IFERROR(E31/E$40,0)</f>
        <v/>
      </c>
    </row>
    <row r="32" ht="10" customHeight="1">
      <c r="A32" s="30" t="inlineStr">
        <is>
          <t>Aviation Logistics Support Ship</t>
        </is>
      </c>
      <c r="B32" s="30" t="inlineStr">
        <is>
          <t>USN</t>
        </is>
      </c>
      <c r="C32" s="31">
        <f>SUMIFS(JB_27BV,JB_B,2,JB_W,"Aviation Logistics Support Ship",JB_RC,"ADD")</f>
        <v/>
      </c>
      <c r="D32" s="31">
        <f>SUMIFS(JB_27BV,JB_B,4,JB_W,"Aviation Logistics Support Ship",JB_RC,"ADD")</f>
        <v/>
      </c>
      <c r="E32" s="31">
        <f>C32+D32</f>
        <v/>
      </c>
      <c r="F32" s="37">
        <f>IFERROR(E32/E$40,0)</f>
        <v/>
      </c>
    </row>
    <row r="33" ht="10" customHeight="1">
      <c r="A33" s="30" t="inlineStr">
        <is>
          <t>Icebreakers, Oceangoing</t>
        </is>
      </c>
      <c r="B33" s="30" t="inlineStr">
        <is>
          <t>USCG</t>
        </is>
      </c>
      <c r="C33" s="31">
        <f>SUMIFS(JB_27BV,JB_B,2,JB_W,"Icebreakers, Oceangoing",JB_RC,"ADD")</f>
        <v/>
      </c>
      <c r="D33" s="31">
        <f>SUMIFS(JB_27BV,JB_B,4,JB_W,"Icebreakers, Oceangoing",JB_RC,"ADD")</f>
        <v/>
      </c>
      <c r="E33" s="31">
        <f>C33+D33</f>
        <v/>
      </c>
      <c r="F33" s="37">
        <f>IFERROR(E33/E$40,0)</f>
        <v/>
      </c>
    </row>
    <row r="34" ht="10" customHeight="1">
      <c r="A34" s="30" t="inlineStr">
        <is>
          <t>Fast Response Cutters</t>
        </is>
      </c>
      <c r="B34" s="30" t="inlineStr">
        <is>
          <t>USCG</t>
        </is>
      </c>
      <c r="C34" s="31">
        <f>SUMIFS(JB_27BV,JB_B,2,JB_W,"Fast Response Cutters",JB_RC,"ADD")</f>
        <v/>
      </c>
      <c r="D34" s="31">
        <f>SUMIFS(JB_27BV,JB_B,4,JB_W,"Fast Response Cutters",JB_RC,"ADD")</f>
        <v/>
      </c>
      <c r="E34" s="31">
        <f>C34+D34</f>
        <v/>
      </c>
      <c r="F34" s="37">
        <f>IFERROR(E34/E$40,0)</f>
        <v/>
      </c>
    </row>
    <row r="35" ht="10" customHeight="1">
      <c r="A35" s="30" t="inlineStr">
        <is>
          <t>Offshore Patrol Cutter</t>
        </is>
      </c>
      <c r="B35" s="30" t="inlineStr">
        <is>
          <t>USCG</t>
        </is>
      </c>
      <c r="C35" s="31">
        <f>SUMIFS(JB_27BV,JB_B,2,JB_W,"Offshore Patrol Cutter",JB_RC,"ADD")</f>
        <v/>
      </c>
      <c r="D35" s="31">
        <f>SUMIFS(JB_27BV,JB_B,4,JB_W,"Offshore Patrol Cutter",JB_RC,"ADD")</f>
        <v/>
      </c>
      <c r="E35" s="31">
        <f>C35+D35</f>
        <v/>
      </c>
      <c r="F35" s="37">
        <f>IFERROR(E35/E$40,0)</f>
        <v/>
      </c>
    </row>
    <row r="36" ht="10" customHeight="1">
      <c r="A36" s="30" t="inlineStr">
        <is>
          <t>National Security Cutters</t>
        </is>
      </c>
      <c r="B36" s="30" t="inlineStr">
        <is>
          <t>USCG</t>
        </is>
      </c>
      <c r="C36" s="31">
        <f>SUMIFS(JB_27BV,JB_B,2,JB_W,"National Security Cutters",JB_RC,"ADD")</f>
        <v/>
      </c>
      <c r="D36" s="31">
        <f>SUMIFS(JB_27BV,JB_B,4,JB_W,"National Security Cutters",JB_RC,"ADD")</f>
        <v/>
      </c>
      <c r="E36" s="31">
        <f>C36+D36</f>
        <v/>
      </c>
      <c r="F36" s="37">
        <f>IFERROR(E36/E$40,0)</f>
        <v/>
      </c>
    </row>
    <row r="37" ht="10" customHeight="1">
      <c r="A37" s="30" t="inlineStr">
        <is>
          <t>Icebreakers, Great Lakes</t>
        </is>
      </c>
      <c r="B37" s="30" t="inlineStr">
        <is>
          <t>USCG</t>
        </is>
      </c>
      <c r="C37" s="31">
        <f>SUMIFS(JB_27BV,JB_B,2,JB_W,"Icebreakers, Great Lakes",JB_RC,"ADD")</f>
        <v/>
      </c>
      <c r="D37" s="31">
        <f>SUMIFS(JB_27BV,JB_B,4,JB_W,"Icebreakers, Great Lakes",JB_RC,"ADD")</f>
        <v/>
      </c>
      <c r="E37" s="31">
        <f>C37+D37</f>
        <v/>
      </c>
      <c r="F37" s="37">
        <f>IFERROR(E37/E$40,0)</f>
        <v/>
      </c>
    </row>
    <row r="38" ht="10" customHeight="1">
      <c r="A38" s="30" t="inlineStr">
        <is>
          <t>Waterways Commerce Cutters</t>
        </is>
      </c>
      <c r="B38" s="30" t="inlineStr">
        <is>
          <t>USCG</t>
        </is>
      </c>
      <c r="C38" s="31">
        <f>SUMIFS(JB_27BV,JB_B,2,JB_W,"Waterways Commerce Cutters",JB_RC,"ADD")</f>
        <v/>
      </c>
      <c r="D38" s="31">
        <f>SUMIFS(JB_27BV,JB_B,4,JB_W,"Waterways Commerce Cutters",JB_RC,"ADD")</f>
        <v/>
      </c>
      <c r="E38" s="31">
        <f>C38+D38</f>
        <v/>
      </c>
      <c r="F38" s="37">
        <f>IFERROR(E38/E$40,0)</f>
        <v/>
      </c>
    </row>
    <row r="39" ht="10" customHeight="1">
      <c r="A39" s="30" t="inlineStr">
        <is>
          <t>Coastal Buoy Tenders</t>
        </is>
      </c>
      <c r="B39" s="30" t="inlineStr">
        <is>
          <t>USCG</t>
        </is>
      </c>
      <c r="C39" s="31">
        <f>SUMIFS(JB_27BV,JB_B,2,JB_W,"Coastal Buoy Tenders",JB_RC,"ADD")</f>
        <v/>
      </c>
      <c r="D39" s="31">
        <f>SUMIFS(JB_27BV,JB_B,4,JB_W,"Coastal Buoy Tenders",JB_RC,"ADD")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FY2027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SUMIFS(JB_27BV,JB_B,2,JB_H,"DDG",JB_RC,"ADD")</f>
        <v/>
      </c>
      <c r="E46" s="31">
        <f>SUMIFS(JB_27BV,JB_B,4,JB_H,"DDG",JB_RC,"ADD")</f>
        <v/>
      </c>
      <c r="F46" s="31">
        <f>D46+E46</f>
        <v/>
      </c>
      <c r="G46" s="37">
        <f>IFERROR(F46/F$52,0)</f>
        <v/>
      </c>
    </row>
    <row r="47" ht="10" customHeight="1">
      <c r="A47" s="30" t="inlineStr">
        <is>
          <t>LCS</t>
        </is>
      </c>
      <c r="B47" s="30" t="inlineStr">
        <is>
          <t>Surface Combatants</t>
        </is>
      </c>
      <c r="C47" s="30" t="inlineStr">
        <is>
          <t>USN</t>
        </is>
      </c>
      <c r="D47" s="31">
        <f>SUMIFS(JB_27BV,JB_B,2,JB_H,"LCS",JB_RC,"ADD")</f>
        <v/>
      </c>
      <c r="E47" s="31">
        <f>SUMIFS(JB_27BV,JB_B,4,JB_H,"LCS",JB_RC,"ADD")</f>
        <v/>
      </c>
      <c r="F47" s="31">
        <f>D47+E47</f>
        <v/>
      </c>
      <c r="G47" s="37">
        <f>IFERROR(F47/F$52,0)</f>
        <v/>
      </c>
    </row>
    <row r="48" ht="10" customHeight="1">
      <c r="A48" s="30" t="inlineStr">
        <is>
          <t>LPD</t>
        </is>
      </c>
      <c r="B48" s="30" t="inlineStr">
        <is>
          <t>Amphibious Warfare Ships</t>
        </is>
      </c>
      <c r="C48" s="30" t="inlineStr">
        <is>
          <t>USN</t>
        </is>
      </c>
      <c r="D48" s="31">
        <f>SUMIFS(JB_27BV,JB_B,2,JB_H,"LPD",JB_RC,"ADD")</f>
        <v/>
      </c>
      <c r="E48" s="31">
        <f>SUMIFS(JB_27BV,JB_B,4,JB_H,"LPD",JB_RC,"ADD")</f>
        <v/>
      </c>
      <c r="F48" s="31">
        <f>D48+E48</f>
        <v/>
      </c>
      <c r="G48" s="37">
        <f>IFERROR(F48/F$52,0)</f>
        <v/>
      </c>
    </row>
    <row r="49" ht="10" customHeight="1">
      <c r="A49" s="30" t="inlineStr">
        <is>
          <t>LHD</t>
        </is>
      </c>
      <c r="B49" s="30" t="inlineStr">
        <is>
          <t>Amphibious Warfare Ships</t>
        </is>
      </c>
      <c r="C49" s="30" t="inlineStr">
        <is>
          <t>USN</t>
        </is>
      </c>
      <c r="D49" s="31">
        <f>SUMIFS(JB_27BV,JB_B,2,JB_H,"LHD",JB_RC,"ADD")</f>
        <v/>
      </c>
      <c r="E49" s="31">
        <f>SUMIFS(JB_27BV,JB_B,4,JB_H,"LHD",JB_RC,"ADD")</f>
        <v/>
      </c>
      <c r="F49" s="31">
        <f>D49+E49</f>
        <v/>
      </c>
      <c r="G49" s="37">
        <f>IFERROR(F49/F$52,0)</f>
        <v/>
      </c>
    </row>
    <row r="50" ht="10" customHeight="1">
      <c r="A50" s="30" t="inlineStr">
        <is>
          <t>T-AGOS</t>
        </is>
      </c>
      <c r="B50" s="30" t="inlineStr">
        <is>
          <t>Surveillance Ships</t>
        </is>
      </c>
      <c r="C50" s="30" t="inlineStr">
        <is>
          <t>MSC</t>
        </is>
      </c>
      <c r="D50" s="31">
        <f>SUMIFS(JB_27BV,JB_B,2,JB_H,"T-AGOS",JB_RC,"ADD")</f>
        <v/>
      </c>
      <c r="E50" s="31">
        <f>SUMIFS(JB_27BV,JB_B,4,JB_H,"T-AGOS",JB_RC,"ADD")</f>
        <v/>
      </c>
      <c r="F50" s="31">
        <f>D50+E50</f>
        <v/>
      </c>
      <c r="G50" s="37">
        <f>IFERROR(F50/F$52,0)</f>
        <v/>
      </c>
    </row>
    <row r="51" ht="10" customHeight="1">
      <c r="A51" s="30" t="inlineStr">
        <is>
          <t>LSD</t>
        </is>
      </c>
      <c r="B51" s="30" t="inlineStr">
        <is>
          <t>Amphibious Warfare Ships</t>
        </is>
      </c>
      <c r="C51" s="30" t="inlineStr">
        <is>
          <t>USN</t>
        </is>
      </c>
      <c r="D51" s="31">
        <f>SUMIFS(JB_27BV,JB_B,2,JB_H,"LSD",JB_RC,"ADD")</f>
        <v/>
      </c>
      <c r="E51" s="31">
        <f>SUMIFS(JB_27BV,JB_B,4,JB_H,"LSD",JB_RC,"ADD")</f>
        <v/>
      </c>
      <c r="F51" s="31">
        <f>D51+E51</f>
        <v/>
      </c>
      <c r="G51" s="37">
        <f>IFERROR(F51/F$52,0)</f>
        <v/>
      </c>
    </row>
    <row r="52" ht="10" customHeight="1">
      <c r="A52" s="32" t="inlineStr">
        <is>
          <t>MRO SAM (all programs)</t>
        </is>
      </c>
      <c r="B52" s="32" t="inlineStr"/>
      <c r="C52" s="32" t="inlineStr"/>
      <c r="D52" s="33">
        <f>SUM(D46:D51)</f>
        <v/>
      </c>
      <c r="E52" s="33">
        <f>SUM(E46:E51)</f>
        <v/>
      </c>
      <c r="F52" s="33">
        <f>SUM(F46:F51)</f>
        <v/>
      </c>
      <c r="G52" s="38" t="n">
        <v>1</v>
      </c>
    </row>
    <row r="53" ht="10" customHeight="1"/>
    <row r="54" ht="10" customHeight="1"/>
    <row r="55" ht="10" customHeight="1">
      <c r="A55" s="27" t="inlineStr">
        <is>
          <t>(C→D) Bridge: All Programs → Cost-Element Coverage</t>
        </is>
      </c>
      <c r="B55" s="28" t="n"/>
    </row>
    <row r="56" ht="10" customHeight="1">
      <c r="A56" s="30" t="inlineStr">
        <is>
          <t>MRO SAM (all programs)</t>
        </is>
      </c>
      <c r="B56" s="31">
        <f>F52</f>
        <v/>
      </c>
    </row>
    <row r="57" ht="10" customHeight="1">
      <c r="A57" s="30" t="inlineStr">
        <is>
          <t xml:space="preserve">  Less: DDG (Surface Combatants — no P-5c)</t>
        </is>
      </c>
      <c r="B57" s="31">
        <f>-(SUMIFS(JB_27BV,JB_B,2,JB_H,"DDG",JB_RC,"ADD")+SUMIFS(JB_27BV,JB_B,4,JB_H,"DDG",JB_RC,"ADD"))</f>
        <v/>
      </c>
    </row>
    <row r="58" ht="10" customHeight="1">
      <c r="A58" s="30" t="inlineStr">
        <is>
          <t xml:space="preserve">  Less: LCS (Surface Combatants — no P-5c)</t>
        </is>
      </c>
      <c r="B58" s="31">
        <f>-(SUMIFS(JB_27BV,JB_B,2,JB_H,"LCS",JB_RC,"ADD")+SUMIFS(JB_27BV,JB_B,4,JB_H,"LCS",JB_RC,"ADD"))</f>
        <v/>
      </c>
    </row>
    <row r="59" ht="10" customHeight="1">
      <c r="A59" s="30" t="inlineStr">
        <is>
          <t xml:space="preserve">  Less: LPD (Amphibious Warfare Ships — no P-5c)</t>
        </is>
      </c>
      <c r="B59" s="31">
        <f>-(SUMIFS(JB_27BV,JB_B,2,JB_H,"LPD",JB_RC,"ADD")+SUMIFS(JB_27BV,JB_B,4,JB_H,"LPD",JB_RC,"ADD"))</f>
        <v/>
      </c>
    </row>
    <row r="60" ht="10" customHeight="1">
      <c r="A60" s="30" t="inlineStr">
        <is>
          <t xml:space="preserve">  Less: LHD (Amphibious Warfare Ships — no P-5c)</t>
        </is>
      </c>
      <c r="B60" s="31">
        <f>-(SUMIFS(JB_27BV,JB_B,2,JB_H,"LHD",JB_RC,"ADD")+SUMIFS(JB_27BV,JB_B,4,JB_H,"LHD",JB_RC,"ADD"))</f>
        <v/>
      </c>
    </row>
    <row r="61" ht="10" customHeight="1">
      <c r="A61" s="30" t="inlineStr">
        <is>
          <t xml:space="preserve">  Less: T-AGOS (Surveillance Ships — no P-5c)</t>
        </is>
      </c>
      <c r="B61" s="31">
        <f>-(SUMIFS(JB_27BV,JB_B,2,JB_H,"T-AGOS",JB_RC,"ADD")+SUMIFS(JB_27BV,JB_B,4,JB_H,"T-AGOS",JB_RC,"ADD"))</f>
        <v/>
      </c>
    </row>
    <row r="62" ht="10" customHeight="1">
      <c r="A62" s="30" t="inlineStr">
        <is>
          <t xml:space="preserve">  Less: LSD (Amphibious Warfare Ships — no P-5c)</t>
        </is>
      </c>
      <c r="B62" s="31">
        <f>-(SUMIFS(JB_27BV,JB_B,2,JB_H,"LSD",JB_RC,"ADD")+SUMIFS(JB_27BV,JB_B,4,JB_H,"LSD",JB_RC,"ADD"))</f>
        <v/>
      </c>
    </row>
    <row r="63" ht="10" customHeight="1">
      <c r="A63" s="32" t="inlineStr">
        <is>
          <t>MRO SAM (cost-element coverage)</t>
        </is>
      </c>
      <c r="B63" s="33">
        <f>SUM(B56:B62)</f>
        <v/>
      </c>
    </row>
    <row r="64" ht="10" customHeight="1"/>
    <row r="65" ht="10" customHeight="1"/>
    <row r="66" ht="10" customHeight="1">
      <c r="A66" s="27" t="inlineStr">
        <is>
          <t>(D) MRO SAM — SDM vs Modernization by Hull (Mekko)</t>
        </is>
      </c>
      <c r="B66" s="28" t="n"/>
      <c r="C66" s="28" t="n"/>
      <c r="D66" s="28" t="n"/>
      <c r="E66" s="28" t="n"/>
      <c r="F66" s="28" t="n"/>
      <c r="G66" s="28" t="n"/>
      <c r="H66" s="28" t="n"/>
    </row>
    <row r="67" ht="10" customHeight="1">
      <c r="A67" s="39" t="n"/>
      <c r="B67" s="40" t="inlineStr">
        <is>
          <t>USN</t>
        </is>
      </c>
      <c r="C67" s="39" t="n"/>
      <c r="D67" s="39" t="n"/>
      <c r="E67" s="39" t="n"/>
      <c r="F67" s="39" t="n"/>
      <c r="G67" s="39" t="n"/>
      <c r="H67" s="41" t="n"/>
    </row>
    <row r="68" ht="10" customHeight="1">
      <c r="A68" s="29" t="inlineStr">
        <is>
          <t>Work Type</t>
        </is>
      </c>
      <c r="B68" s="42" t="inlineStr">
        <is>
          <t>DDG</t>
        </is>
      </c>
      <c r="C68" s="29" t="inlineStr">
        <is>
          <t>LCS</t>
        </is>
      </c>
      <c r="D68" s="29" t="inlineStr">
        <is>
          <t>LPD</t>
        </is>
      </c>
      <c r="E68" s="29" t="inlineStr">
        <is>
          <t>LHD</t>
        </is>
      </c>
      <c r="F68" s="29" t="inlineStr">
        <is>
          <t>T-AGOS</t>
        </is>
      </c>
      <c r="G68" s="29" t="inlineStr">
        <is>
          <t>LSD</t>
        </is>
      </c>
      <c r="H68" s="42" t="inlineStr">
        <is>
          <t>Total</t>
        </is>
      </c>
    </row>
    <row r="69" ht="10" customHeight="1">
      <c r="A69" s="30" t="inlineStr">
        <is>
          <t>Scheduled Depot Maintenance</t>
        </is>
      </c>
      <c r="B69" s="43">
        <f>IFERROR((SUMIFS(JB_27BV,JB_B,2,JB_H,"DDG",JB_RC,"ADD"))/B$71,0)</f>
        <v/>
      </c>
      <c r="C69" s="37">
        <f>IFERROR((SUMIFS(JB_27BV,JB_B,2,JB_H,"LCS",JB_RC,"ADD"))/C$71,0)</f>
        <v/>
      </c>
      <c r="D69" s="37">
        <f>IFERROR((SUMIFS(JB_27BV,JB_B,2,JB_H,"LPD",JB_RC,"ADD"))/D$71,0)</f>
        <v/>
      </c>
      <c r="E69" s="37">
        <f>IFERROR((SUMIFS(JB_27BV,JB_B,2,JB_H,"LHD",JB_RC,"ADD"))/E$71,0)</f>
        <v/>
      </c>
      <c r="F69" s="37">
        <f>IFERROR((SUMIFS(JB_27BV,JB_B,2,JB_H,"T-AGOS",JB_RC,"ADD"))/F$71,0)</f>
        <v/>
      </c>
      <c r="G69" s="37">
        <f>IFERROR((SUMIFS(JB_27BV,JB_B,2,JB_H,"LSD",JB_RC,"ADD"))/G$71,0)</f>
        <v/>
      </c>
      <c r="H69" s="43">
        <f>IFERROR(1-H70,0)</f>
        <v/>
      </c>
    </row>
    <row r="70" ht="10" customHeight="1">
      <c r="A70" s="30" t="inlineStr">
        <is>
          <t>Modernization</t>
        </is>
      </c>
      <c r="B70" s="43">
        <f>IFERROR((SUMIFS(JB_27BV,JB_B,4,JB_H,"DDG",JB_RC,"ADD"))/B$71,0)</f>
        <v/>
      </c>
      <c r="C70" s="37">
        <f>IFERROR((SUMIFS(JB_27BV,JB_B,4,JB_H,"LCS",JB_RC,"ADD"))/C$71,0)</f>
        <v/>
      </c>
      <c r="D70" s="37">
        <f>IFERROR((SUMIFS(JB_27BV,JB_B,4,JB_H,"LPD",JB_RC,"ADD"))/D$71,0)</f>
        <v/>
      </c>
      <c r="E70" s="37">
        <f>IFERROR((SUMIFS(JB_27BV,JB_B,4,JB_H,"LHD",JB_RC,"ADD"))/E$71,0)</f>
        <v/>
      </c>
      <c r="F70" s="37">
        <f>IFERROR((SUMIFS(JB_27BV,JB_B,4,JB_H,"T-AGOS",JB_RC,"ADD"))/F$71,0)</f>
        <v/>
      </c>
      <c r="G70" s="37">
        <f>IFERROR((SUMIFS(JB_27BV,JB_B,4,JB_H,"LSD",JB_RC,"ADD"))/G$71,0)</f>
        <v/>
      </c>
      <c r="H70" s="43">
        <f>IFERROR((SUMIFS(JB_27BV,JB_B,4,JB_H,"DDG",JB_RC,"ADD")+SUMIFS(JB_27BV,JB_B,4,JB_H,"LCS",JB_RC,"ADD")+SUMIFS(JB_27BV,JB_B,4,JB_H,"LPD",JB_RC,"ADD")+SUMIFS(JB_27BV,JB_B,4,JB_H,"LHD",JB_RC,"ADD")+SUMIFS(JB_27BV,JB_B,4,JB_H,"T-AGOS",JB_RC,"ADD")+SUMIFS(JB_27BV,JB_B,4,JB_H,"LSD",JB_RC,"ADD"))/H$71,0)</f>
        <v/>
      </c>
    </row>
    <row r="71" ht="10" customHeight="1">
      <c r="A71" s="32" t="inlineStr">
        <is>
          <t>Total ($K)</t>
        </is>
      </c>
      <c r="B71" s="44">
        <f>SUMIFS(JB_27BV,JB_B,2,JB_H,"DDG",JB_RC,"ADD")+SUMIFS(JB_27BV,JB_B,4,JB_H,"DDG",JB_RC,"ADD")</f>
        <v/>
      </c>
      <c r="C71" s="33">
        <f>SUMIFS(JB_27BV,JB_B,2,JB_H,"LCS",JB_RC,"ADD")+SUMIFS(JB_27BV,JB_B,4,JB_H,"LCS",JB_RC,"ADD")</f>
        <v/>
      </c>
      <c r="D71" s="33">
        <f>SUMIFS(JB_27BV,JB_B,2,JB_H,"LPD",JB_RC,"ADD")+SUMIFS(JB_27BV,JB_B,4,JB_H,"LPD",JB_RC,"ADD")</f>
        <v/>
      </c>
      <c r="E71" s="33">
        <f>SUMIFS(JB_27BV,JB_B,2,JB_H,"LHD",JB_RC,"ADD")+SUMIFS(JB_27BV,JB_B,4,JB_H,"LHD",JB_RC,"ADD")</f>
        <v/>
      </c>
      <c r="F71" s="33">
        <f>SUMIFS(JB_27BV,JB_B,2,JB_H,"T-AGOS",JB_RC,"ADD")+SUMIFS(JB_27BV,JB_B,4,JB_H,"T-AGOS",JB_RC,"ADD")</f>
        <v/>
      </c>
      <c r="G71" s="33">
        <f>SUMIFS(JB_27BV,JB_B,2,JB_H,"LSD",JB_RC,"ADD")+SUMIFS(JB_27BV,JB_B,4,JB_H,"LSD",JB_RC,"ADD")</f>
        <v/>
      </c>
      <c r="H71" s="44">
        <f>SUM(B71:G71)</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and modernization/alteration installation) and outsourceable vessel types (excludes Submarines, Aircraft Carriers &amp; UUVs). Sized at hull-program level. Cost-element coverage (P-5c/P-8a) is not available for MRO work — justification books do not break maintenance spending by Electronics / HM&amp;E / Ordnance the way they do for new construction.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2026-04-14T02:19:37Z</dcterms:modified>
  <cp:lastModifiedBy>Brendan Toole</cp:lastModifiedBy>
</cp:coreProperties>
</file>